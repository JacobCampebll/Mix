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6.xml" ContentType="application/vnd.openxmlformats-officedocument.drawing+xml"/>
  <Override PartName="/xl/charts/chart10.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harts/chart11.xml" ContentType="application/vnd.openxmlformats-officedocument.drawingml.chart+xml"/>
  <Override PartName="/xl/drawings/drawing9.xml" ContentType="application/vnd.openxmlformats-officedocument.drawingml.chartshapes+xml"/>
  <Override PartName="/xl/drawings/drawing10.xml" ContentType="application/vnd.openxmlformats-officedocument.drawing+xml"/>
  <Override PartName="/xl/activeX/activeX36.xml" ContentType="application/vnd.ms-office.activeX+xml"/>
  <Override PartName="/xl/activeX/activeX36.bin" ContentType="application/vnd.ms-office.activeX"/>
  <Override PartName="/xl/drawings/drawing11.xml" ContentType="application/vnd.openxmlformats-officedocument.drawing+xml"/>
  <Override PartName="/xl/activeX/activeX37.xml" ContentType="application/vnd.ms-office.activeX+xml"/>
  <Override PartName="/xl/activeX/activeX37.bin" ContentType="application/vnd.ms-office.activeX"/>
  <Override PartName="/xl/drawings/drawing12.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omments2.xml" ContentType="application/vnd.openxmlformats-officedocument.spreadsheetml.comments+xml"/>
  <Override PartName="/xl/drawings/drawing13.xml" ContentType="application/vnd.openxmlformats-officedocument.drawing+xml"/>
  <Override PartName="/xl/activeX/activeX40.xml" ContentType="application/vnd.ms-office.activeX+xml"/>
  <Override PartName="/xl/activeX/activeX40.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tables/table5.xml" ContentType="application/vnd.openxmlformats-officedocument.spreadsheetml.table+xml"/>
  <Override PartName="/xl/comments5.xml" ContentType="application/vnd.openxmlformats-officedocument.spreadsheetml.comments+xml"/>
  <Override PartName="/xl/tables/table6.xml" ContentType="application/vnd.openxmlformats-officedocument.spreadsheetml.table+xml"/>
  <Override PartName="/xl/comments6.xml" ContentType="application/vnd.openxmlformats-officedocument.spreadsheetml.comments+xml"/>
  <Override PartName="/xl/tables/table7.xml" ContentType="application/vnd.openxmlformats-officedocument.spreadsheetml.table+xml"/>
  <Override PartName="/xl/comments7.xml" ContentType="application/vnd.openxmlformats-officedocument.spreadsheetml.comments+xml"/>
  <Override PartName="/xl/tables/table8.xml" ContentType="application/vnd.openxmlformats-officedocument.spreadsheetml.table+xml"/>
  <Override PartName="/xl/comments8.xml" ContentType="application/vnd.openxmlformats-officedocument.spreadsheetml.comments+xml"/>
  <Override PartName="/xl/tables/table9.xml" ContentType="application/vnd.openxmlformats-officedocument.spreadsheetml.table+xml"/>
  <Override PartName="/xl/comments9.xml" ContentType="application/vnd.openxmlformats-officedocument.spreadsheetml.comments+xml"/>
  <Override PartName="/xl/tables/table10.xml" ContentType="application/vnd.openxmlformats-officedocument.spreadsheetml.table+xml"/>
  <Override PartName="/xl/comments10.xml" ContentType="application/vnd.openxmlformats-officedocument.spreadsheetml.comments+xml"/>
  <Override PartName="/xl/tables/table11.xml" ContentType="application/vnd.openxmlformats-officedocument.spreadsheetml.table+xml"/>
  <Override PartName="/xl/comments11.xml" ContentType="application/vnd.openxmlformats-officedocument.spreadsheetml.comments+xml"/>
  <Override PartName="/xl/tables/table12.xml" ContentType="application/vnd.openxmlformats-officedocument.spreadsheetml.table+xml"/>
  <Override PartName="/xl/comments1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andrew.denmark\Desktop\"/>
    </mc:Choice>
  </mc:AlternateContent>
  <xr:revisionPtr revIDLastSave="0" documentId="13_ncr:1_{D8A40086-E093-4657-8D61-C7014221948B}" xr6:coauthVersionLast="47" xr6:coauthVersionMax="47" xr10:uidLastSave="{00000000-0000-0000-0000-000000000000}"/>
  <bookViews>
    <workbookView xWindow="-120" yWindow="-120" windowWidth="29040" windowHeight="15720" tabRatio="845" xr2:uid="{00000000-000D-0000-FFFF-FFFF00000000}"/>
  </bookViews>
  <sheets>
    <sheet name="Design Data" sheetId="1" r:id="rId1"/>
    <sheet name="Rand. #'s (cont.)" sheetId="2" state="veryHidden" r:id="rId2"/>
    <sheet name="Polish-Resistant Data" sheetId="37" state="veryHidden" r:id="rId3"/>
    <sheet name="Recycle Data" sheetId="38" state="veryHidden" r:id="rId4"/>
    <sheet name="Project Items" sheetId="12" r:id="rId5"/>
    <sheet name="1-Pt. Check" sheetId="3" r:id="rId6"/>
    <sheet name="Graphs" sheetId="4" r:id="rId7"/>
    <sheet name="0.45 Power Chart" sheetId="33" state="veryHidden" r:id="rId8"/>
    <sheet name="0.45 Power Chart-Master Range" sheetId="35" state="veryHidden" r:id="rId9"/>
    <sheet name="TSR" sheetId="6" r:id="rId10"/>
    <sheet name="Performance Specimens" sheetId="39" state="veryHidden" r:id="rId11"/>
    <sheet name="KYCT Data" sheetId="41" state="veryHidden" r:id="rId12"/>
    <sheet name="Hamburg Data" sheetId="43" state="veryHidden" r:id="rId13"/>
    <sheet name="Error" sheetId="9" state="veryHidden" r:id="rId14"/>
    <sheet name="Chart Data" sheetId="7" state="veryHidden" r:id="rId15"/>
    <sheet name="Workbook Edits" sheetId="17" state="veryHidden" r:id="rId16"/>
    <sheet name="discipline" sheetId="18" state="veryHidden" r:id="rId17"/>
    <sheet name="AMMIXPACK" sheetId="13" state="veryHidden" r:id="rId18"/>
    <sheet name="t_smpl" sheetId="19" state="veryHidden" r:id="rId19"/>
    <sheet name="t_cont_smpl" sheetId="20" state="veryHidden" r:id="rId20"/>
    <sheet name="t_rmks_dtl" sheetId="21" state="veryHidden" r:id="rId21"/>
    <sheet name="t_smpl_tst" sheetId="22" state="veryHidden" r:id="rId22"/>
    <sheet name="t_smpl_tstr" sheetId="23" state="veryHidden" r:id="rId23"/>
    <sheet name="t_tst_rslt_hdr" sheetId="24" state="veryHidden" r:id="rId24"/>
    <sheet name="t_tst_rslt_dtl" sheetId="44" state="veryHidden" r:id="rId25"/>
    <sheet name="t_superpave" sheetId="26" state="veryHidden" r:id="rId26"/>
    <sheet name="t_bit_conc_mixblnd" sheetId="29" state="veryHidden" r:id="rId27"/>
    <sheet name="RndGenerator" sheetId="8" state="veryHidden" r:id=""/>
  </sheets>
  <functionGroups builtInGroupCount="19"/>
  <externalReferences>
    <externalReference r:id="rId28"/>
    <externalReference r:id="rId29"/>
    <externalReference r:id="rId30"/>
    <externalReference r:id="rId31"/>
    <externalReference r:id="rId32"/>
    <externalReference r:id="rId33"/>
  </externalReferences>
  <definedNames>
    <definedName name="_xlnm._FilterDatabase" localSheetId="14" hidden="1">'Chart Data'!$A$49:$G$177</definedName>
    <definedName name="_xlnm._FilterDatabase" localSheetId="16" hidden="1">discipline!$A$1:$E$2</definedName>
    <definedName name="_xlnm._FilterDatabase" localSheetId="4" hidden="1">'Project Items'!$A$5:$C$99</definedName>
    <definedName name="_xlnm._FilterDatabase" localSheetId="26" hidden="1">t_bit_conc_mixblnd!$B$7:$L$14</definedName>
    <definedName name="_xlnm._FilterDatabase" localSheetId="19" hidden="1">t_cont_smpl!$B$7:$H$8</definedName>
    <definedName name="_xlnm._FilterDatabase" localSheetId="20" hidden="1">t_rmks_dtl!$B$7:$G$8</definedName>
    <definedName name="_xlnm._FilterDatabase" localSheetId="18" hidden="1">t_smpl!$B$7:$BC$8</definedName>
    <definedName name="_xlnm._FilterDatabase" localSheetId="21" hidden="1">t_smpl_tst!$B$7:$K$8</definedName>
    <definedName name="_xlnm._FilterDatabase" localSheetId="22" hidden="1">t_smpl_tstr!$B$7:$G$8</definedName>
    <definedName name="_xlnm._FilterDatabase" localSheetId="25" hidden="1">t_superpave!$B$7:$AJ$8</definedName>
    <definedName name="_xlnm._FilterDatabase" localSheetId="24" hidden="1">t_tst_rslt_dtl!$B$7:$I$342</definedName>
    <definedName name="_xlnm._FilterDatabase" localSheetId="23" hidden="1">t_tst_rslt_hdr!$B$7:$H$8</definedName>
    <definedName name="_xleta.IF" hidden="1" xlm="1">#NAME?</definedName>
    <definedName name="_xlpm.r" hidden="1" xlm="1">#NAME?</definedName>
    <definedName name="Age" localSheetId="12">#REF!</definedName>
    <definedName name="Age" localSheetId="10">#REF!</definedName>
    <definedName name="Age" localSheetId="2">#REF!</definedName>
    <definedName name="Age" localSheetId="4">[1]Drop_Downs_and_Tables!#REF!</definedName>
    <definedName name="Age" localSheetId="24">#REF!</definedName>
    <definedName name="Age">#REF!</definedName>
    <definedName name="agg" localSheetId="12">#REF!</definedName>
    <definedName name="agg" localSheetId="10">#REF!</definedName>
    <definedName name="agg" localSheetId="2">#REF!</definedName>
    <definedName name="agg" localSheetId="4">[1]Drop_Downs_and_Tables!#REF!</definedName>
    <definedName name="agg" localSheetId="24">#REF!</definedName>
    <definedName name="agg">#REF!</definedName>
    <definedName name="AggMatCode">'Chart Data'!$AQ$1:$AQ$44</definedName>
    <definedName name="Aggsize" localSheetId="4">[1]Drop_Downs_and_Tables!#REF!</definedName>
    <definedName name="Aggsize" localSheetId="24">'Chart Data'!$AR$1:$AR$137</definedName>
    <definedName name="Aggsize">'Chart Data'!$AR$1:$AR$137</definedName>
    <definedName name="AirVoids">'KYCT Data'!$Y$24</definedName>
    <definedName name="Answer" localSheetId="4">[1]Drop_Downs_and_Tables!#REF!</definedName>
    <definedName name="Answer">'[2]Drop Downs and Tables'!$A$23:$A$24</definedName>
    <definedName name="CellType" localSheetId="12">[3]Drop_Downs_and_Tables!#REF!</definedName>
    <definedName name="CellType" localSheetId="10">[3]Drop_Downs_and_Tables!#REF!</definedName>
    <definedName name="CellType" localSheetId="2">[3]Drop_Downs_and_Tables!#REF!</definedName>
    <definedName name="CellType" localSheetId="4">[4]Drop_Downs_and_Tables!#REF!</definedName>
    <definedName name="CellType" localSheetId="26">[5]Drop_Downs_and_Tables!#REF!</definedName>
    <definedName name="CellType" localSheetId="20">[5]Drop_Downs_and_Tables!#REF!</definedName>
    <definedName name="CellType" localSheetId="18">[5]Drop_Downs_and_Tables!#REF!</definedName>
    <definedName name="CellType" localSheetId="21">[5]Drop_Downs_and_Tables!#REF!</definedName>
    <definedName name="CellType" localSheetId="22">[5]Drop_Downs_and_Tables!#REF!</definedName>
    <definedName name="CellType" localSheetId="25">[5]Drop_Downs_and_Tables!#REF!</definedName>
    <definedName name="CellType" localSheetId="24">[3]Drop_Downs_and_Tables!#REF!</definedName>
    <definedName name="CellType" localSheetId="23">[5]Drop_Downs_and_Tables!#REF!</definedName>
    <definedName name="CellType">[3]Drop_Downs_and_Tables!#REF!</definedName>
    <definedName name="Class" localSheetId="4">[1]Drop_Downs_and_Tables!#REF!</definedName>
    <definedName name="COM_Port">'KYCT Data'!$S$32</definedName>
    <definedName name="COM_Settings">'KYCT Data'!$S$33</definedName>
    <definedName name="Correction" localSheetId="12">#REF!</definedName>
    <definedName name="Correction" localSheetId="10">#REF!</definedName>
    <definedName name="Correction" localSheetId="2">#REF!</definedName>
    <definedName name="correction" localSheetId="4">[1]Drop_Downs_and_Tables!#REF!</definedName>
    <definedName name="correction" localSheetId="26">[5]Drop_Downs_and_Tables!$A$26:$A$27</definedName>
    <definedName name="correction" localSheetId="20">[5]Drop_Downs_and_Tables!$A$26:$A$27</definedName>
    <definedName name="correction" localSheetId="18">[5]Drop_Downs_and_Tables!$A$26:$A$27</definedName>
    <definedName name="correction" localSheetId="21">[5]Drop_Downs_and_Tables!$A$26:$A$27</definedName>
    <definedName name="correction" localSheetId="22">[5]Drop_Downs_and_Tables!$A$26:$A$27</definedName>
    <definedName name="correction" localSheetId="25">[5]Drop_Downs_and_Tables!$A$26:$A$27</definedName>
    <definedName name="Correction" localSheetId="24">#REF!</definedName>
    <definedName name="correction" localSheetId="23">[5]Drop_Downs_and_Tables!$A$26:$A$27</definedName>
    <definedName name="Correction">#REF!</definedName>
    <definedName name="CT_Index">'KYCT Data'!$Y$21</definedName>
    <definedName name="CylinderSize" localSheetId="12">#REF!</definedName>
    <definedName name="CylinderSize" localSheetId="10">#REF!</definedName>
    <definedName name="CylinderSize" localSheetId="2">#REF!</definedName>
    <definedName name="CylinderSize" localSheetId="24">#REF!</definedName>
    <definedName name="CylinderSize">#REF!</definedName>
    <definedName name="disp75">'KYCT Data'!$Y$14</definedName>
    <definedName name="District" localSheetId="12">[3]Drop_Downs_and_Tables!#REF!</definedName>
    <definedName name="District" localSheetId="10">[3]Drop_Downs_and_Tables!#REF!</definedName>
    <definedName name="District" localSheetId="2">[3]Drop_Downs_and_Tables!#REF!</definedName>
    <definedName name="District" localSheetId="4">[4]Drop_Downs_and_Tables!#REF!</definedName>
    <definedName name="District" localSheetId="26">[5]Drop_Downs_and_Tables!#REF!</definedName>
    <definedName name="District" localSheetId="20">[5]Drop_Downs_and_Tables!#REF!</definedName>
    <definedName name="District" localSheetId="18">[5]Drop_Downs_and_Tables!#REF!</definedName>
    <definedName name="District" localSheetId="21">[5]Drop_Downs_and_Tables!#REF!</definedName>
    <definedName name="District" localSheetId="22">[5]Drop_Downs_and_Tables!#REF!</definedName>
    <definedName name="District" localSheetId="25">[5]Drop_Downs_and_Tables!#REF!</definedName>
    <definedName name="District" localSheetId="24">[3]Drop_Downs_and_Tables!#REF!</definedName>
    <definedName name="District" localSheetId="23">[5]Drop_Downs_and_Tables!#REF!</definedName>
    <definedName name="District">[3]Drop_Downs_and_Tables!#REF!</definedName>
    <definedName name="EnergyOfFailure">'KYCT Data'!$Y$20</definedName>
    <definedName name="First_Data_Point">'KYCT Data'!$B$31</definedName>
    <definedName name="FirstRow" localSheetId="12">#REF!</definedName>
    <definedName name="FirstRow" localSheetId="11">'KYCT Data'!$S$6</definedName>
    <definedName name="FirstRow" localSheetId="24">#REF!</definedName>
    <definedName name="FirstRow">#REF!</definedName>
    <definedName name="fracture" localSheetId="12">#REF!</definedName>
    <definedName name="fracture" localSheetId="10">#REF!</definedName>
    <definedName name="fracture" localSheetId="2">#REF!</definedName>
    <definedName name="fracture" localSheetId="4">[1]Drop_Downs_and_Tables!#REF!</definedName>
    <definedName name="fracture" localSheetId="24">#REF!</definedName>
    <definedName name="fracture">#REF!</definedName>
    <definedName name="l_at_PeakStability">'KYCT Data'!$X$29</definedName>
    <definedName name="LabUnits" localSheetId="24">'Chart Data'!$AV$1:$AV$14</definedName>
    <definedName name="LabUnits">'Chart Data'!$AV$1:$AV$14</definedName>
    <definedName name="load" localSheetId="12">#REF!</definedName>
    <definedName name="load" localSheetId="10">#REF!</definedName>
    <definedName name="load" localSheetId="2">#REF!</definedName>
    <definedName name="load" localSheetId="4">[1]Drop_Downs_and_Tables!#REF!</definedName>
    <definedName name="load" localSheetId="24">#REF!</definedName>
    <definedName name="load">#REF!</definedName>
    <definedName name="Location" localSheetId="12">[3]Drop_Downs_and_Tables!#REF!</definedName>
    <definedName name="Location" localSheetId="10">[3]Drop_Downs_and_Tables!#REF!</definedName>
    <definedName name="Location" localSheetId="2">[3]Drop_Downs_and_Tables!#REF!</definedName>
    <definedName name="Location" localSheetId="4">[4]Drop_Downs_and_Tables!#REF!</definedName>
    <definedName name="Location" localSheetId="26">[5]Drop_Downs_and_Tables!#REF!</definedName>
    <definedName name="Location" localSheetId="20">[5]Drop_Downs_and_Tables!#REF!</definedName>
    <definedName name="Location" localSheetId="18">[5]Drop_Downs_and_Tables!#REF!</definedName>
    <definedName name="Location" localSheetId="21">[5]Drop_Downs_and_Tables!#REF!</definedName>
    <definedName name="Location" localSheetId="22">[5]Drop_Downs_and_Tables!#REF!</definedName>
    <definedName name="Location" localSheetId="25">[5]Drop_Downs_and_Tables!#REF!</definedName>
    <definedName name="Location" localSheetId="24">[3]Drop_Downs_and_Tables!#REF!</definedName>
    <definedName name="Location" localSheetId="23">[5]Drop_Downs_and_Tables!#REF!</definedName>
    <definedName name="Location">[3]Drop_Downs_and_Tables!#REF!</definedName>
    <definedName name="MaxStability">'KYCT Data'!$S$31</definedName>
    <definedName name="OptionButton8">"Option Button 8"</definedName>
    <definedName name="pass" localSheetId="26">[5]Drop_Downs_and_Tables!$A$48:$A$51</definedName>
    <definedName name="pass" localSheetId="20">[5]Drop_Downs_and_Tables!$A$48:$A$51</definedName>
    <definedName name="pass" localSheetId="18">[5]Drop_Downs_and_Tables!$A$48:$A$51</definedName>
    <definedName name="pass" localSheetId="21">[5]Drop_Downs_and_Tables!$A$48:$A$51</definedName>
    <definedName name="pass" localSheetId="22">[5]Drop_Downs_and_Tables!$A$48:$A$51</definedName>
    <definedName name="pass" localSheetId="25">[5]Drop_Downs_and_Tables!$A$48:$A$51</definedName>
    <definedName name="pass" localSheetId="23">[5]Drop_Downs_and_Tables!$A$48:$A$51</definedName>
    <definedName name="PeakStability">'KYCT Data'!$Y$6</definedName>
    <definedName name="_xlnm.Print_Area" localSheetId="5">'1-Pt. Check'!$A$1:$H$37</definedName>
    <definedName name="_xlnm.Print_Area" localSheetId="17">AMMIXPACK!$A$1:$Z$248</definedName>
    <definedName name="_xlnm.Print_Area" localSheetId="14">'Chart Data'!$A$1:$J$41</definedName>
    <definedName name="_xlnm.Print_Area" localSheetId="0">'Design Data'!$A$1:$U$82</definedName>
    <definedName name="_xlnm.Print_Area" localSheetId="6">Graphs!$A$1:$K$171</definedName>
    <definedName name="_xlnm.Print_Area" localSheetId="12">'Hamburg Data'!$A$1:$O$32</definedName>
    <definedName name="_xlnm.Print_Area" localSheetId="10">'Performance Specimens'!$A$1:$O$45</definedName>
    <definedName name="_xlnm.Print_Area" localSheetId="2">'Polish-Resistant Data'!$A$1:$G$47</definedName>
    <definedName name="_xlnm.Print_Area" localSheetId="4">'Project Items'!$A$2:$D$46</definedName>
    <definedName name="_xlnm.Print_Area" localSheetId="1">'Rand. #''s (cont.)'!$A$1:$U$105</definedName>
    <definedName name="_xlnm.Print_Area" localSheetId="9">TSR!$A$1:$O$61</definedName>
    <definedName name="_xlnm.Print_Titles" localSheetId="17">AMMIXPACK!$1:$1</definedName>
    <definedName name="Project_ID">'KYCT Data'!$B$4</definedName>
    <definedName name="RowsAtTop">'KYCT Data'!$S$6</definedName>
    <definedName name="SampleUnit" localSheetId="12">#REF!</definedName>
    <definedName name="SampleUnit" localSheetId="10">#REF!</definedName>
    <definedName name="SampleUnit" localSheetId="2">#REF!</definedName>
    <definedName name="SampleUnit" localSheetId="24">#REF!</definedName>
    <definedName name="SampleUnit">#REF!</definedName>
    <definedName name="SelectedSpecimen_X">'KYCT Data'!$X$31:$X$706</definedName>
    <definedName name="SelectedSpecimen_Y">'KYCT Data'!$Y$31:$Y$706</definedName>
    <definedName name="SelectedTest">'KYCT Data'!$X$5:$Y$706</definedName>
    <definedName name="Series1_Name">'KYCT Data'!$B$16</definedName>
    <definedName name="Series2_Name">'KYCT Data'!$D$16</definedName>
    <definedName name="Series3_Name">'KYCT Data'!$F$16</definedName>
    <definedName name="Series4_Name">'KYCT Data'!$H$16</definedName>
    <definedName name="Series5_Name">'KYCT Data'!$J$16</definedName>
    <definedName name="Series6_Name">'KYCT Data'!$L$16</definedName>
    <definedName name="Series7_Name">'KYCT Data'!$N$16</definedName>
    <definedName name="Series8_Name">'KYCT Data'!$P$16</definedName>
    <definedName name="SeriesName">'KYCT Data'!$Y$16</definedName>
    <definedName name="slope75">'KYCT Data'!$Y$18</definedName>
    <definedName name="slump" localSheetId="12">#REF!</definedName>
    <definedName name="slump" localSheetId="10">#REF!</definedName>
    <definedName name="slump" localSheetId="2">#REF!</definedName>
    <definedName name="slump" localSheetId="4">[1]Drop_Downs_and_Tables!#REF!</definedName>
    <definedName name="slump" localSheetId="24">#REF!</definedName>
    <definedName name="slump">#REF!</definedName>
    <definedName name="SMPLSTAT" localSheetId="12">#REF!</definedName>
    <definedName name="SMPLSTAT" localSheetId="10">#REF!</definedName>
    <definedName name="SMPLSTAT" localSheetId="2">#REF!</definedName>
    <definedName name="SMPLSTAT" localSheetId="24">#REF!</definedName>
    <definedName name="SMPLSTAT">#REF!</definedName>
    <definedName name="Spec_diam">'KYCT Data'!$Y$25</definedName>
    <definedName name="Spec_t">'KYCT Data'!$Y$26</definedName>
    <definedName name="Spec_temp">'KYCT Data'!$Y$23</definedName>
    <definedName name="SpreadsheetType" localSheetId="12">#REF!</definedName>
    <definedName name="SpreadsheetType" localSheetId="10">#REF!</definedName>
    <definedName name="SpreadsheetType" localSheetId="2">#REF!</definedName>
    <definedName name="SpreadsheetType" localSheetId="4">[4]Drop_Downs_and_Tables!$A$58:$A$59</definedName>
    <definedName name="SpreadsheetType" localSheetId="24">#REF!</definedName>
    <definedName name="SpreadsheetType">#REF!</definedName>
    <definedName name="SpringLimitsData" localSheetId="11">'KYCT Data'!$W$31:$AA$331</definedName>
    <definedName name="SpringLimitsFirstCell">'KYCT Data'!$W$31</definedName>
    <definedName name="strength" localSheetId="12">#REF!</definedName>
    <definedName name="strength" localSheetId="10">#REF!</definedName>
    <definedName name="strength" localSheetId="2">#REF!</definedName>
    <definedName name="strength" localSheetId="4">[1]Drop_Downs_and_Tables!#REF!</definedName>
    <definedName name="strength" localSheetId="24">#REF!</definedName>
    <definedName name="strength">#REF!</definedName>
    <definedName name="temperature" localSheetId="12">#REF!</definedName>
    <definedName name="temperature" localSheetId="10">#REF!</definedName>
    <definedName name="temperature" localSheetId="2">#REF!</definedName>
    <definedName name="temperature" localSheetId="4">[1]Drop_Downs_and_Tables!#REF!</definedName>
    <definedName name="temperature" localSheetId="24">#REF!</definedName>
    <definedName name="temperature">#REF!</definedName>
    <definedName name="TotalUnits" localSheetId="12">#REF!</definedName>
    <definedName name="TotalUnits" localSheetId="10">#REF!</definedName>
    <definedName name="TotalUnits" localSheetId="2">#REF!</definedName>
    <definedName name="TotalUnits" localSheetId="24">#REF!</definedName>
    <definedName name="TotalUnits">#REF!</definedName>
    <definedName name="Version">[6]Revisions!$A$1</definedName>
    <definedName name="WhereIsThis" localSheetId="12">#REF!</definedName>
    <definedName name="WhereIsThis" localSheetId="10">#REF!</definedName>
    <definedName name="WhereIsThis" localSheetId="2">#REF!</definedName>
    <definedName name="WhereIsThis" localSheetId="24">#REF!</definedName>
    <definedName name="WhereIsThis">#REF!</definedName>
    <definedName name="WorkOfFailure">'KYCT Data'!$Y$19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9" i="1" l="1" a="1"/>
  <c r="A19" i="1" s="1"/>
  <c r="P1" i="41" l="1"/>
  <c r="G326" i="44" l="1"/>
  <c r="G325" i="44"/>
  <c r="G324" i="44"/>
  <c r="G323" i="44"/>
  <c r="G322" i="44"/>
  <c r="G321" i="44"/>
  <c r="G320" i="44"/>
  <c r="G319" i="44"/>
  <c r="G318" i="44"/>
  <c r="G317" i="44"/>
  <c r="G316" i="44"/>
  <c r="G315" i="44"/>
  <c r="G314" i="44"/>
  <c r="G313" i="44"/>
  <c r="G312" i="44"/>
  <c r="G311" i="44"/>
  <c r="G310" i="44"/>
  <c r="G309" i="44"/>
  <c r="F308" i="44"/>
  <c r="F267" i="44"/>
  <c r="F264" i="44"/>
  <c r="F263" i="44"/>
  <c r="F262" i="44"/>
  <c r="F260" i="44"/>
  <c r="F259" i="44"/>
  <c r="F258" i="44"/>
  <c r="F257" i="44"/>
  <c r="F256" i="44"/>
  <c r="F255" i="44"/>
  <c r="F254" i="44"/>
  <c r="F253" i="44"/>
  <c r="F252" i="44"/>
  <c r="F251" i="44"/>
  <c r="F250" i="44"/>
  <c r="F249" i="44"/>
  <c r="F248" i="44"/>
  <c r="F247" i="44"/>
  <c r="F246" i="44"/>
  <c r="F245" i="44"/>
  <c r="F244" i="44"/>
  <c r="F243" i="44"/>
  <c r="G233" i="44"/>
  <c r="F228" i="44"/>
  <c r="F227" i="44"/>
  <c r="F226" i="44"/>
  <c r="F225" i="44"/>
  <c r="F224" i="44"/>
  <c r="F223" i="44"/>
  <c r="F222" i="44"/>
  <c r="F221" i="44"/>
  <c r="F220" i="44"/>
  <c r="F219" i="44"/>
  <c r="F218" i="44"/>
  <c r="F217" i="44"/>
  <c r="G216" i="44"/>
  <c r="G215" i="44"/>
  <c r="G214" i="44"/>
  <c r="G213" i="44"/>
  <c r="G212" i="44"/>
  <c r="G211" i="44"/>
  <c r="G210" i="44"/>
  <c r="G209" i="44"/>
  <c r="G208" i="44"/>
  <c r="G207" i="44"/>
  <c r="G206" i="44"/>
  <c r="G205" i="44"/>
  <c r="F204" i="44"/>
  <c r="F203" i="44"/>
  <c r="F202" i="44"/>
  <c r="F201" i="44"/>
  <c r="F200" i="44"/>
  <c r="F199" i="44"/>
  <c r="F192" i="44"/>
  <c r="F191" i="44"/>
  <c r="F190" i="44"/>
  <c r="F189" i="44"/>
  <c r="F188" i="44"/>
  <c r="F187" i="44"/>
  <c r="F186" i="44"/>
  <c r="F185" i="44"/>
  <c r="F184" i="44"/>
  <c r="F183" i="44"/>
  <c r="F182" i="44"/>
  <c r="F181" i="44"/>
  <c r="F167" i="44"/>
  <c r="F166" i="44"/>
  <c r="G165" i="44"/>
  <c r="F163" i="44"/>
  <c r="F162" i="44"/>
  <c r="F161" i="44"/>
  <c r="F160" i="44"/>
  <c r="F159" i="44"/>
  <c r="F158" i="44"/>
  <c r="F157" i="44"/>
  <c r="F154" i="44"/>
  <c r="G120" i="44"/>
  <c r="G104" i="44"/>
  <c r="G103" i="44"/>
  <c r="G102" i="44"/>
  <c r="F101" i="44"/>
  <c r="F99" i="44"/>
  <c r="G96" i="44"/>
  <c r="G95" i="44"/>
  <c r="G94" i="44"/>
  <c r="G93" i="44"/>
  <c r="G92" i="44"/>
  <c r="G91" i="44"/>
  <c r="G90" i="44"/>
  <c r="G89" i="44"/>
  <c r="G88" i="44"/>
  <c r="G87" i="44"/>
  <c r="G86" i="44"/>
  <c r="G85" i="44"/>
  <c r="G84" i="44"/>
  <c r="G83" i="44"/>
  <c r="G20" i="44"/>
  <c r="G19" i="44"/>
  <c r="F18" i="44"/>
  <c r="F17" i="44"/>
  <c r="H8" i="44"/>
  <c r="H9" i="44" s="1"/>
  <c r="H10" i="44" s="1"/>
  <c r="H11" i="44" s="1"/>
  <c r="H12" i="44" s="1"/>
  <c r="H13" i="44" s="1"/>
  <c r="H14" i="44" s="1"/>
  <c r="H15" i="44" s="1"/>
  <c r="H16" i="44" s="1"/>
  <c r="H17" i="44" s="1"/>
  <c r="H18" i="44" s="1"/>
  <c r="H19" i="44" s="1"/>
  <c r="H20" i="44" s="1"/>
  <c r="H21" i="44" s="1"/>
  <c r="H22" i="44" s="1"/>
  <c r="H23" i="44" s="1"/>
  <c r="H24" i="44" s="1"/>
  <c r="H25" i="44" s="1"/>
  <c r="H26" i="44" s="1"/>
  <c r="H27" i="44" s="1"/>
  <c r="H28" i="44" s="1"/>
  <c r="H29" i="44" s="1"/>
  <c r="H30" i="44" s="1"/>
  <c r="H31" i="44" s="1"/>
  <c r="H32" i="44" s="1"/>
  <c r="H33" i="44" s="1"/>
  <c r="H34" i="44" s="1"/>
  <c r="H35" i="44" s="1"/>
  <c r="H36" i="44" s="1"/>
  <c r="H37" i="44" s="1"/>
  <c r="H38" i="44" s="1"/>
  <c r="H39" i="44" s="1"/>
  <c r="H40" i="44" s="1"/>
  <c r="H41" i="44" s="1"/>
  <c r="H42" i="44" s="1"/>
  <c r="H43" i="44" s="1"/>
  <c r="H44" i="44" s="1"/>
  <c r="H45" i="44" s="1"/>
  <c r="H46" i="44" s="1"/>
  <c r="H47" i="44" s="1"/>
  <c r="H48" i="44" s="1"/>
  <c r="H49" i="44" s="1"/>
  <c r="H50" i="44" s="1"/>
  <c r="H51" i="44" s="1"/>
  <c r="H52" i="44" s="1"/>
  <c r="H53" i="44" s="1"/>
  <c r="H54" i="44" s="1"/>
  <c r="H55" i="44" s="1"/>
  <c r="H56" i="44" s="1"/>
  <c r="H57" i="44" s="1"/>
  <c r="H58" i="44" s="1"/>
  <c r="H59" i="44" s="1"/>
  <c r="H60" i="44" s="1"/>
  <c r="H61" i="44" s="1"/>
  <c r="H62" i="44" s="1"/>
  <c r="H63" i="44" s="1"/>
  <c r="H64" i="44" s="1"/>
  <c r="H65" i="44" s="1"/>
  <c r="H66" i="44" s="1"/>
  <c r="H67" i="44" s="1"/>
  <c r="H68" i="44" s="1"/>
  <c r="H69" i="44" s="1"/>
  <c r="H70" i="44" s="1"/>
  <c r="H71" i="44" s="1"/>
  <c r="H72" i="44" s="1"/>
  <c r="H73" i="44" s="1"/>
  <c r="H74" i="44" s="1"/>
  <c r="H75" i="44" s="1"/>
  <c r="H76" i="44" s="1"/>
  <c r="H77" i="44" s="1"/>
  <c r="H78" i="44" s="1"/>
  <c r="H79" i="44" s="1"/>
  <c r="H80" i="44" s="1"/>
  <c r="H81" i="44" s="1"/>
  <c r="H82" i="44" s="1"/>
  <c r="H83" i="44" s="1"/>
  <c r="H84" i="44" s="1"/>
  <c r="H85" i="44" s="1"/>
  <c r="H86" i="44" s="1"/>
  <c r="H87" i="44" s="1"/>
  <c r="H88" i="44" s="1"/>
  <c r="H89" i="44" s="1"/>
  <c r="H90" i="44" s="1"/>
  <c r="H91" i="44" s="1"/>
  <c r="H92" i="44" s="1"/>
  <c r="H93" i="44" s="1"/>
  <c r="H94" i="44" s="1"/>
  <c r="H95" i="44" s="1"/>
  <c r="H96" i="44" s="1"/>
  <c r="H97" i="44" s="1"/>
  <c r="H98" i="44" s="1"/>
  <c r="H99" i="44" s="1"/>
  <c r="H100" i="44" s="1"/>
  <c r="H101" i="44" s="1"/>
  <c r="H102" i="44" s="1"/>
  <c r="H103" i="44" s="1"/>
  <c r="H104" i="44" s="1"/>
  <c r="H105" i="44" s="1"/>
  <c r="H106" i="44" s="1"/>
  <c r="H107" i="44" s="1"/>
  <c r="H108" i="44" s="1"/>
  <c r="H109" i="44" s="1"/>
  <c r="H110" i="44" s="1"/>
  <c r="H111" i="44" s="1"/>
  <c r="H112" i="44" s="1"/>
  <c r="H113" i="44" s="1"/>
  <c r="H114" i="44" s="1"/>
  <c r="H115" i="44" s="1"/>
  <c r="H116" i="44" s="1"/>
  <c r="H117" i="44" s="1"/>
  <c r="H118" i="44" s="1"/>
  <c r="H119" i="44" s="1"/>
  <c r="H120" i="44" s="1"/>
  <c r="H121" i="44" s="1"/>
  <c r="H122" i="44" s="1"/>
  <c r="H123" i="44" s="1"/>
  <c r="H124" i="44" s="1"/>
  <c r="H125" i="44" s="1"/>
  <c r="H126" i="44" s="1"/>
  <c r="H127" i="44" s="1"/>
  <c r="H128" i="44" s="1"/>
  <c r="H129" i="44" s="1"/>
  <c r="H130" i="44" s="1"/>
  <c r="H131" i="44" s="1"/>
  <c r="H132" i="44" s="1"/>
  <c r="H133" i="44" s="1"/>
  <c r="H134" i="44" s="1"/>
  <c r="H135" i="44" s="1"/>
  <c r="H136" i="44" s="1"/>
  <c r="H137" i="44" s="1"/>
  <c r="H138" i="44" s="1"/>
  <c r="H139" i="44" s="1"/>
  <c r="H140" i="44" s="1"/>
  <c r="H141" i="44" s="1"/>
  <c r="H142" i="44" s="1"/>
  <c r="H143" i="44" s="1"/>
  <c r="H144" i="44" s="1"/>
  <c r="H145" i="44" s="1"/>
  <c r="H146" i="44" s="1"/>
  <c r="H147" i="44" s="1"/>
  <c r="H148" i="44" s="1"/>
  <c r="H149" i="44" s="1"/>
  <c r="H150" i="44" s="1"/>
  <c r="H151" i="44" s="1"/>
  <c r="B8" i="44"/>
  <c r="B9" i="44" s="1"/>
  <c r="B10" i="44" s="1"/>
  <c r="B11" i="44" s="1"/>
  <c r="B12" i="44" s="1"/>
  <c r="B13" i="44" s="1"/>
  <c r="B14" i="44" s="1"/>
  <c r="B15" i="44" s="1"/>
  <c r="B16" i="44" s="1"/>
  <c r="B17" i="44" s="1"/>
  <c r="B18" i="44" s="1"/>
  <c r="B19" i="44" s="1"/>
  <c r="B20" i="44" s="1"/>
  <c r="B21" i="44" s="1"/>
  <c r="B22" i="44" s="1"/>
  <c r="B23" i="44" s="1"/>
  <c r="B24" i="44" s="1"/>
  <c r="B25" i="44" s="1"/>
  <c r="B26" i="44" s="1"/>
  <c r="B27" i="44" s="1"/>
  <c r="B28" i="44" s="1"/>
  <c r="B29" i="44" s="1"/>
  <c r="B30" i="44" s="1"/>
  <c r="B31" i="44" s="1"/>
  <c r="B32" i="44" s="1"/>
  <c r="B33" i="44" s="1"/>
  <c r="B34" i="44" s="1"/>
  <c r="B35" i="44" s="1"/>
  <c r="B36" i="44" s="1"/>
  <c r="B37" i="44" s="1"/>
  <c r="B38" i="44" s="1"/>
  <c r="B39" i="44" s="1"/>
  <c r="B40" i="44" s="1"/>
  <c r="B41" i="44" s="1"/>
  <c r="B42" i="44" s="1"/>
  <c r="B43" i="44" s="1"/>
  <c r="B44" i="44" s="1"/>
  <c r="B45" i="44" s="1"/>
  <c r="B46" i="44" s="1"/>
  <c r="B47" i="44" s="1"/>
  <c r="B48" i="44" s="1"/>
  <c r="B49" i="44" s="1"/>
  <c r="B50" i="44" s="1"/>
  <c r="B51" i="44" s="1"/>
  <c r="B52" i="44" s="1"/>
  <c r="B53" i="44" s="1"/>
  <c r="B54" i="44" s="1"/>
  <c r="B55" i="44" s="1"/>
  <c r="B56" i="44" s="1"/>
  <c r="B57" i="44" s="1"/>
  <c r="B58" i="44" s="1"/>
  <c r="B59" i="44" s="1"/>
  <c r="B60" i="44" s="1"/>
  <c r="B61" i="44" s="1"/>
  <c r="B62" i="44" s="1"/>
  <c r="B63" i="44" s="1"/>
  <c r="B64" i="44" s="1"/>
  <c r="B65" i="44" s="1"/>
  <c r="B66" i="44" s="1"/>
  <c r="B67" i="44" s="1"/>
  <c r="B68" i="44" s="1"/>
  <c r="B69" i="44" s="1"/>
  <c r="B70" i="44" s="1"/>
  <c r="B71" i="44" s="1"/>
  <c r="B72" i="44" s="1"/>
  <c r="B73" i="44" s="1"/>
  <c r="B74" i="44" s="1"/>
  <c r="B75" i="44" s="1"/>
  <c r="B76" i="44" s="1"/>
  <c r="B77" i="44" s="1"/>
  <c r="B78" i="44" s="1"/>
  <c r="B79" i="44" s="1"/>
  <c r="B80" i="44" s="1"/>
  <c r="B81" i="44" s="1"/>
  <c r="B82" i="44" s="1"/>
  <c r="B83" i="44" s="1"/>
  <c r="B84" i="44" s="1"/>
  <c r="B85" i="44" s="1"/>
  <c r="B86" i="44" s="1"/>
  <c r="B87" i="44" s="1"/>
  <c r="B88" i="44" s="1"/>
  <c r="B89" i="44" s="1"/>
  <c r="B90" i="44" s="1"/>
  <c r="B91" i="44" s="1"/>
  <c r="B92" i="44" s="1"/>
  <c r="B93" i="44" s="1"/>
  <c r="B94" i="44" s="1"/>
  <c r="B95" i="44" s="1"/>
  <c r="B96" i="44" s="1"/>
  <c r="B97" i="44" s="1"/>
  <c r="B98" i="44" s="1"/>
  <c r="B99" i="44" s="1"/>
  <c r="B100" i="44" s="1"/>
  <c r="B101" i="44" s="1"/>
  <c r="B102" i="44" s="1"/>
  <c r="B103" i="44" s="1"/>
  <c r="B104" i="44" s="1"/>
  <c r="B105" i="44" s="1"/>
  <c r="B106" i="44" s="1"/>
  <c r="B107" i="44" s="1"/>
  <c r="B108" i="44" s="1"/>
  <c r="B109" i="44" s="1"/>
  <c r="B110" i="44" s="1"/>
  <c r="B111" i="44" s="1"/>
  <c r="B112" i="44" s="1"/>
  <c r="B113" i="44" s="1"/>
  <c r="B114" i="44" s="1"/>
  <c r="B115" i="44" s="1"/>
  <c r="B116" i="44" s="1"/>
  <c r="B117" i="44" s="1"/>
  <c r="B118" i="44" s="1"/>
  <c r="B119" i="44" s="1"/>
  <c r="B120" i="44" s="1"/>
  <c r="B121" i="44" s="1"/>
  <c r="B122" i="44" s="1"/>
  <c r="B123" i="44" s="1"/>
  <c r="B124" i="44" s="1"/>
  <c r="B125" i="44" s="1"/>
  <c r="B126" i="44" s="1"/>
  <c r="B127" i="44" s="1"/>
  <c r="B128" i="44" s="1"/>
  <c r="B129" i="44" s="1"/>
  <c r="B130" i="44" s="1"/>
  <c r="B131" i="44" s="1"/>
  <c r="B132" i="44" s="1"/>
  <c r="B133" i="44" s="1"/>
  <c r="B134" i="44" s="1"/>
  <c r="B135" i="44" s="1"/>
  <c r="B136" i="44" s="1"/>
  <c r="B137" i="44" s="1"/>
  <c r="B138" i="44" s="1"/>
  <c r="B139" i="44" s="1"/>
  <c r="B140" i="44" s="1"/>
  <c r="B141" i="44" s="1"/>
  <c r="B142" i="44" s="1"/>
  <c r="B143" i="44" s="1"/>
  <c r="B144" i="44" s="1"/>
  <c r="B145" i="44" s="1"/>
  <c r="B146" i="44" s="1"/>
  <c r="B147" i="44" s="1"/>
  <c r="B148" i="44" s="1"/>
  <c r="B149" i="44" s="1"/>
  <c r="B150" i="44" s="1"/>
  <c r="B151" i="44" s="1"/>
  <c r="D14" i="44"/>
  <c r="D15" i="44" s="1"/>
  <c r="D16" i="44" s="1"/>
  <c r="D17" i="44" s="1"/>
  <c r="D18" i="44" s="1"/>
  <c r="D19" i="44" s="1"/>
  <c r="D20" i="44" s="1"/>
  <c r="D21" i="44" s="1"/>
  <c r="D22" i="44" s="1"/>
  <c r="D23" i="44" s="1"/>
  <c r="D24" i="44" s="1"/>
  <c r="D25" i="44" s="1"/>
  <c r="D26" i="44" s="1"/>
  <c r="D27" i="44" s="1"/>
  <c r="D28" i="44" s="1"/>
  <c r="D29" i="44" s="1"/>
  <c r="D30" i="44" s="1"/>
  <c r="D31" i="44" s="1"/>
  <c r="D32" i="44" s="1"/>
  <c r="D33" i="44" s="1"/>
  <c r="D34" i="44" s="1"/>
  <c r="D35" i="44" s="1"/>
  <c r="D36" i="44" s="1"/>
  <c r="D37" i="44" s="1"/>
  <c r="D38" i="44" s="1"/>
  <c r="D39" i="44" s="1"/>
  <c r="D40" i="44" s="1"/>
  <c r="D41" i="44" s="1"/>
  <c r="D42" i="44" s="1"/>
  <c r="D43" i="44" s="1"/>
  <c r="D44" i="44" s="1"/>
  <c r="D45" i="44" s="1"/>
  <c r="D46" i="44" s="1"/>
  <c r="D47" i="44" s="1"/>
  <c r="D48" i="44" s="1"/>
  <c r="D49" i="44" s="1"/>
  <c r="D50" i="44" s="1"/>
  <c r="D51" i="44" s="1"/>
  <c r="D52" i="44" s="1"/>
  <c r="D53" i="44" s="1"/>
  <c r="D54" i="44" s="1"/>
  <c r="D55" i="44" s="1"/>
  <c r="D56" i="44" s="1"/>
  <c r="D57" i="44" s="1"/>
  <c r="D58" i="44" s="1"/>
  <c r="D59" i="44" s="1"/>
  <c r="D60" i="44" s="1"/>
  <c r="D61" i="44" s="1"/>
  <c r="D62" i="44" s="1"/>
  <c r="D63" i="44" s="1"/>
  <c r="D64" i="44" s="1"/>
  <c r="D65" i="44" s="1"/>
  <c r="D66" i="44" s="1"/>
  <c r="D67" i="44" s="1"/>
  <c r="D68" i="44" s="1"/>
  <c r="D69" i="44" s="1"/>
  <c r="D70" i="44" s="1"/>
  <c r="D71" i="44" s="1"/>
  <c r="D72" i="44" s="1"/>
  <c r="D73" i="44" s="1"/>
  <c r="D74" i="44" s="1"/>
  <c r="D75" i="44" s="1"/>
  <c r="D76" i="44" s="1"/>
  <c r="D77" i="44" s="1"/>
  <c r="D78" i="44" s="1"/>
  <c r="D79" i="44" s="1"/>
  <c r="D80" i="44" s="1"/>
  <c r="D81" i="44" s="1"/>
  <c r="D82" i="44" s="1"/>
  <c r="D83" i="44" s="1"/>
  <c r="D84" i="44" s="1"/>
  <c r="D85" i="44" s="1"/>
  <c r="D86" i="44" s="1"/>
  <c r="D87" i="44" s="1"/>
  <c r="D88" i="44" s="1"/>
  <c r="D89" i="44" s="1"/>
  <c r="D90" i="44" s="1"/>
  <c r="D91" i="44" s="1"/>
  <c r="D92" i="44" s="1"/>
  <c r="D93" i="44" s="1"/>
  <c r="D94" i="44" s="1"/>
  <c r="D95" i="44" s="1"/>
  <c r="D96" i="44" s="1"/>
  <c r="D97" i="44" s="1"/>
  <c r="D98" i="44" s="1"/>
  <c r="D99" i="44" s="1"/>
  <c r="D100" i="44" s="1"/>
  <c r="D101" i="44" s="1"/>
  <c r="D102" i="44" s="1"/>
  <c r="D103" i="44" s="1"/>
  <c r="D104" i="44" s="1"/>
  <c r="D105" i="44" s="1"/>
  <c r="D106" i="44" s="1"/>
  <c r="D107" i="44" s="1"/>
  <c r="D108" i="44" s="1"/>
  <c r="D109" i="44" s="1"/>
  <c r="D110" i="44" s="1"/>
  <c r="D111" i="44" s="1"/>
  <c r="D112" i="44" s="1"/>
  <c r="D113" i="44" s="1"/>
  <c r="D114" i="44" s="1"/>
  <c r="D115" i="44" s="1"/>
  <c r="D116" i="44" s="1"/>
  <c r="D117" i="44" s="1"/>
  <c r="D118" i="44" s="1"/>
  <c r="D119" i="44" s="1"/>
  <c r="D120" i="44" s="1"/>
  <c r="D121" i="44" s="1"/>
  <c r="D122" i="44" s="1"/>
  <c r="D123" i="44" s="1"/>
  <c r="D124" i="44" s="1"/>
  <c r="D125" i="44" s="1"/>
  <c r="D126" i="44" s="1"/>
  <c r="D127" i="44" s="1"/>
  <c r="D128" i="44" s="1"/>
  <c r="D129" i="44" s="1"/>
  <c r="D130" i="44" s="1"/>
  <c r="D131" i="44" s="1"/>
  <c r="D132" i="44" s="1"/>
  <c r="D133" i="44" s="1"/>
  <c r="D134" i="44" s="1"/>
  <c r="D135" i="44" s="1"/>
  <c r="D136" i="44" s="1"/>
  <c r="D137" i="44" s="1"/>
  <c r="D138" i="44" s="1"/>
  <c r="D139" i="44" s="1"/>
  <c r="D140" i="44" s="1"/>
  <c r="D141" i="44" s="1"/>
  <c r="D142" i="44" s="1"/>
  <c r="D143" i="44" s="1"/>
  <c r="D144" i="44" s="1"/>
  <c r="D145" i="44" s="1"/>
  <c r="D146" i="44" s="1"/>
  <c r="D147" i="44" s="1"/>
  <c r="D148" i="44" s="1"/>
  <c r="D149" i="44" s="1"/>
  <c r="D150" i="44" s="1"/>
  <c r="D151" i="44" s="1"/>
  <c r="C9" i="44"/>
  <c r="C10" i="44" s="1"/>
  <c r="C11" i="44" s="1"/>
  <c r="C12" i="44" s="1"/>
  <c r="C13" i="44" s="1"/>
  <c r="C14" i="44" s="1"/>
  <c r="C15" i="44" s="1"/>
  <c r="C16" i="44" s="1"/>
  <c r="C17" i="44" s="1"/>
  <c r="C18" i="44" s="1"/>
  <c r="C19" i="44" s="1"/>
  <c r="C20" i="44" s="1"/>
  <c r="C21" i="44" s="1"/>
  <c r="C22" i="44" s="1"/>
  <c r="C23" i="44" s="1"/>
  <c r="C24" i="44" s="1"/>
  <c r="C25" i="44" s="1"/>
  <c r="C26" i="44" s="1"/>
  <c r="C27" i="44" s="1"/>
  <c r="C28" i="44" s="1"/>
  <c r="C29" i="44" s="1"/>
  <c r="C30" i="44" s="1"/>
  <c r="C31" i="44" s="1"/>
  <c r="C32" i="44" s="1"/>
  <c r="C33" i="44" s="1"/>
  <c r="C34" i="44" s="1"/>
  <c r="C35" i="44" s="1"/>
  <c r="C36" i="44" s="1"/>
  <c r="C37" i="44" s="1"/>
  <c r="C38" i="44" s="1"/>
  <c r="C39" i="44" s="1"/>
  <c r="C40" i="44" s="1"/>
  <c r="C41" i="44" s="1"/>
  <c r="C42" i="44" s="1"/>
  <c r="C43" i="44" s="1"/>
  <c r="C44" i="44" s="1"/>
  <c r="C45" i="44" s="1"/>
  <c r="C46" i="44" s="1"/>
  <c r="C47" i="44" s="1"/>
  <c r="C48" i="44" s="1"/>
  <c r="C49" i="44" s="1"/>
  <c r="C50" i="44" s="1"/>
  <c r="C51" i="44" s="1"/>
  <c r="C52" i="44" s="1"/>
  <c r="C53" i="44" s="1"/>
  <c r="C54" i="44" s="1"/>
  <c r="C55" i="44" s="1"/>
  <c r="C56" i="44" s="1"/>
  <c r="C57" i="44" s="1"/>
  <c r="C58" i="44" s="1"/>
  <c r="C59" i="44" s="1"/>
  <c r="C60" i="44" s="1"/>
  <c r="C61" i="44" s="1"/>
  <c r="C62" i="44" s="1"/>
  <c r="C63" i="44" s="1"/>
  <c r="C64" i="44" s="1"/>
  <c r="C65" i="44" s="1"/>
  <c r="C66" i="44" s="1"/>
  <c r="C67" i="44" s="1"/>
  <c r="C68" i="44" s="1"/>
  <c r="C69" i="44" s="1"/>
  <c r="C70" i="44" s="1"/>
  <c r="C71" i="44" s="1"/>
  <c r="C72" i="44" s="1"/>
  <c r="C73" i="44" s="1"/>
  <c r="C74" i="44" s="1"/>
  <c r="C75" i="44" s="1"/>
  <c r="C76" i="44" s="1"/>
  <c r="C77" i="44" s="1"/>
  <c r="C78" i="44" s="1"/>
  <c r="C79" i="44" s="1"/>
  <c r="C80" i="44" s="1"/>
  <c r="C81" i="44" s="1"/>
  <c r="C82" i="44" s="1"/>
  <c r="C83" i="44" s="1"/>
  <c r="C84" i="44" s="1"/>
  <c r="C85" i="44" s="1"/>
  <c r="C86" i="44" s="1"/>
  <c r="C87" i="44" s="1"/>
  <c r="C88" i="44" s="1"/>
  <c r="C89" i="44" s="1"/>
  <c r="C90" i="44" s="1"/>
  <c r="C91" i="44" s="1"/>
  <c r="C92" i="44" s="1"/>
  <c r="C93" i="44" s="1"/>
  <c r="C94" i="44" s="1"/>
  <c r="C95" i="44" s="1"/>
  <c r="C96" i="44" s="1"/>
  <c r="C97" i="44" s="1"/>
  <c r="C98" i="44" s="1"/>
  <c r="C99" i="44" s="1"/>
  <c r="C100" i="44" s="1"/>
  <c r="C101" i="44" s="1"/>
  <c r="C102" i="44" s="1"/>
  <c r="C103" i="44" s="1"/>
  <c r="C104" i="44" s="1"/>
  <c r="C105" i="44" s="1"/>
  <c r="C106" i="44" s="1"/>
  <c r="C107" i="44" s="1"/>
  <c r="C108" i="44" s="1"/>
  <c r="C109" i="44" s="1"/>
  <c r="C110" i="44" s="1"/>
  <c r="C111" i="44" s="1"/>
  <c r="C112" i="44" s="1"/>
  <c r="C113" i="44" s="1"/>
  <c r="C114" i="44" s="1"/>
  <c r="C115" i="44" s="1"/>
  <c r="C116" i="44" s="1"/>
  <c r="C117" i="44" s="1"/>
  <c r="C118" i="44" s="1"/>
  <c r="C119" i="44" s="1"/>
  <c r="C120" i="44" s="1"/>
  <c r="C121" i="44" s="1"/>
  <c r="C122" i="44" s="1"/>
  <c r="C123" i="44" s="1"/>
  <c r="C124" i="44" s="1"/>
  <c r="C125" i="44" s="1"/>
  <c r="C126" i="44" s="1"/>
  <c r="C127" i="44" s="1"/>
  <c r="C128" i="44" s="1"/>
  <c r="C129" i="44" s="1"/>
  <c r="C130" i="44" s="1"/>
  <c r="C131" i="44" s="1"/>
  <c r="C132" i="44" s="1"/>
  <c r="C133" i="44" s="1"/>
  <c r="C134" i="44" s="1"/>
  <c r="C135" i="44" s="1"/>
  <c r="C136" i="44" s="1"/>
  <c r="C137" i="44" s="1"/>
  <c r="C138" i="44" s="1"/>
  <c r="C139" i="44" s="1"/>
  <c r="C140" i="44" s="1"/>
  <c r="C141" i="44" s="1"/>
  <c r="C142" i="44" s="1"/>
  <c r="C143" i="44" s="1"/>
  <c r="C144" i="44" s="1"/>
  <c r="C145" i="44" s="1"/>
  <c r="C146" i="44" s="1"/>
  <c r="C147" i="44" s="1"/>
  <c r="C148" i="44" s="1"/>
  <c r="C149" i="44" s="1"/>
  <c r="C150" i="44" s="1"/>
  <c r="C151" i="44" s="1"/>
  <c r="F9" i="44" l="1"/>
  <c r="B153" i="44"/>
  <c r="B152" i="44"/>
  <c r="B154" i="44" s="1"/>
  <c r="B155" i="44" s="1"/>
  <c r="B156" i="44" s="1"/>
  <c r="B157" i="44" s="1"/>
  <c r="B158" i="44" s="1"/>
  <c r="B159" i="44" s="1"/>
  <c r="B160" i="44" s="1"/>
  <c r="B161" i="44" s="1"/>
  <c r="B162" i="44" s="1"/>
  <c r="B163" i="44" s="1"/>
  <c r="B164" i="44" s="1"/>
  <c r="B165" i="44" s="1"/>
  <c r="B166" i="44" s="1"/>
  <c r="B167" i="44" s="1"/>
  <c r="B168" i="44" s="1"/>
  <c r="B169" i="44" s="1"/>
  <c r="B170" i="44" s="1"/>
  <c r="B171" i="44" s="1"/>
  <c r="B172" i="44" s="1"/>
  <c r="B173" i="44" s="1"/>
  <c r="B174" i="44" s="1"/>
  <c r="B175" i="44" s="1"/>
  <c r="B176" i="44" s="1"/>
  <c r="B177" i="44" s="1"/>
  <c r="B178" i="44" s="1"/>
  <c r="B179" i="44" s="1"/>
  <c r="B180" i="44" s="1"/>
  <c r="B181" i="44" s="1"/>
  <c r="B182" i="44" s="1"/>
  <c r="B183" i="44" s="1"/>
  <c r="B184" i="44" s="1"/>
  <c r="B185" i="44" s="1"/>
  <c r="B186" i="44" s="1"/>
  <c r="B187" i="44" s="1"/>
  <c r="B188" i="44" s="1"/>
  <c r="B189" i="44" s="1"/>
  <c r="B190" i="44" s="1"/>
  <c r="B191" i="44" s="1"/>
  <c r="B192" i="44" s="1"/>
  <c r="B193" i="44" s="1"/>
  <c r="B194" i="44" s="1"/>
  <c r="B195" i="44" s="1"/>
  <c r="B196" i="44" s="1"/>
  <c r="B197" i="44" s="1"/>
  <c r="B198" i="44" s="1"/>
  <c r="B199" i="44" s="1"/>
  <c r="B200" i="44" s="1"/>
  <c r="B201" i="44" s="1"/>
  <c r="B202" i="44" s="1"/>
  <c r="B203" i="44" s="1"/>
  <c r="B204" i="44" s="1"/>
  <c r="B205" i="44" s="1"/>
  <c r="B206" i="44" s="1"/>
  <c r="B207" i="44" s="1"/>
  <c r="B208" i="44" s="1"/>
  <c r="B209" i="44" s="1"/>
  <c r="B210" i="44" s="1"/>
  <c r="B211" i="44" s="1"/>
  <c r="B212" i="44" s="1"/>
  <c r="B213" i="44" s="1"/>
  <c r="B214" i="44" s="1"/>
  <c r="B215" i="44" s="1"/>
  <c r="B216" i="44" s="1"/>
  <c r="B217" i="44" s="1"/>
  <c r="B218" i="44" s="1"/>
  <c r="B219" i="44" s="1"/>
  <c r="B220" i="44" s="1"/>
  <c r="B221" i="44" s="1"/>
  <c r="B222" i="44" s="1"/>
  <c r="B223" i="44" s="1"/>
  <c r="B224" i="44" s="1"/>
  <c r="B225" i="44" s="1"/>
  <c r="B226" i="44" s="1"/>
  <c r="B227" i="44" s="1"/>
  <c r="B228" i="44" s="1"/>
  <c r="B229" i="44" s="1"/>
  <c r="B230" i="44" s="1"/>
  <c r="B231" i="44" s="1"/>
  <c r="B232" i="44" s="1"/>
  <c r="B233" i="44" s="1"/>
  <c r="B234" i="44" s="1"/>
  <c r="B235" i="44" s="1"/>
  <c r="B236" i="44" s="1"/>
  <c r="B237" i="44" s="1"/>
  <c r="B238" i="44" s="1"/>
  <c r="B239" i="44" s="1"/>
  <c r="B240" i="44" s="1"/>
  <c r="B241" i="44" s="1"/>
  <c r="B242" i="44" s="1"/>
  <c r="B243" i="44" s="1"/>
  <c r="B244" i="44" s="1"/>
  <c r="B245" i="44" s="1"/>
  <c r="B246" i="44" s="1"/>
  <c r="B247" i="44" s="1"/>
  <c r="B248" i="44" s="1"/>
  <c r="B249" i="44" s="1"/>
  <c r="B250" i="44" s="1"/>
  <c r="B251" i="44" s="1"/>
  <c r="B252" i="44" s="1"/>
  <c r="B253" i="44" s="1"/>
  <c r="B254" i="44" s="1"/>
  <c r="B255" i="44" s="1"/>
  <c r="B256" i="44" s="1"/>
  <c r="B257" i="44" s="1"/>
  <c r="B258" i="44" s="1"/>
  <c r="B259" i="44" s="1"/>
  <c r="B260" i="44" s="1"/>
  <c r="B261" i="44" s="1"/>
  <c r="B262" i="44" s="1"/>
  <c r="B263" i="44" s="1"/>
  <c r="B264" i="44" s="1"/>
  <c r="B265" i="44" s="1"/>
  <c r="B266" i="44" s="1"/>
  <c r="B267" i="44" s="1"/>
  <c r="B268" i="44" s="1"/>
  <c r="B269" i="44" s="1"/>
  <c r="B270" i="44" s="1"/>
  <c r="B271" i="44" s="1"/>
  <c r="B272" i="44" s="1"/>
  <c r="B273" i="44" s="1"/>
  <c r="B274" i="44" s="1"/>
  <c r="B275" i="44" s="1"/>
  <c r="B276" i="44" s="1"/>
  <c r="B277" i="44" s="1"/>
  <c r="B278" i="44" s="1"/>
  <c r="B279" i="44" s="1"/>
  <c r="B280" i="44" s="1"/>
  <c r="B281" i="44" s="1"/>
  <c r="B282" i="44" s="1"/>
  <c r="B283" i="44" s="1"/>
  <c r="B284" i="44" s="1"/>
  <c r="B285" i="44" s="1"/>
  <c r="B286" i="44" s="1"/>
  <c r="B287" i="44" s="1"/>
  <c r="B288" i="44" s="1"/>
  <c r="B289" i="44" s="1"/>
  <c r="B290" i="44" s="1"/>
  <c r="B291" i="44" s="1"/>
  <c r="B292" i="44" s="1"/>
  <c r="B293" i="44" s="1"/>
  <c r="B294" i="44" s="1"/>
  <c r="B295" i="44" s="1"/>
  <c r="B296" i="44" s="1"/>
  <c r="B297" i="44" s="1"/>
  <c r="B298" i="44" s="1"/>
  <c r="B299" i="44" s="1"/>
  <c r="B300" i="44" s="1"/>
  <c r="B301" i="44" s="1"/>
  <c r="B302" i="44" s="1"/>
  <c r="B303" i="44" s="1"/>
  <c r="B304" i="44" s="1"/>
  <c r="B305" i="44" s="1"/>
  <c r="B306" i="44" s="1"/>
  <c r="B307" i="44" s="1"/>
  <c r="B308" i="44" s="1"/>
  <c r="B309" i="44" s="1"/>
  <c r="B310" i="44" s="1"/>
  <c r="B311" i="44" s="1"/>
  <c r="B312" i="44" s="1"/>
  <c r="B313" i="44" s="1"/>
  <c r="B314" i="44" s="1"/>
  <c r="B315" i="44" s="1"/>
  <c r="B316" i="44" s="1"/>
  <c r="B317" i="44" s="1"/>
  <c r="B318" i="44" s="1"/>
  <c r="B319" i="44" s="1"/>
  <c r="B320" i="44" s="1"/>
  <c r="B321" i="44" s="1"/>
  <c r="B322" i="44" s="1"/>
  <c r="B323" i="44" s="1"/>
  <c r="B324" i="44" s="1"/>
  <c r="B325" i="44" s="1"/>
  <c r="B326" i="44" s="1"/>
  <c r="B327" i="44" s="1"/>
  <c r="B328" i="44" s="1"/>
  <c r="B329" i="44" s="1"/>
  <c r="B330" i="44" s="1"/>
  <c r="B331" i="44" s="1"/>
  <c r="B332" i="44" s="1"/>
  <c r="B333" i="44" s="1"/>
  <c r="B334" i="44" s="1"/>
  <c r="B335" i="44" s="1"/>
  <c r="B336" i="44" s="1"/>
  <c r="B337" i="44" s="1"/>
  <c r="B338" i="44" s="1"/>
  <c r="B339" i="44" s="1"/>
  <c r="B340" i="44" s="1"/>
  <c r="B341" i="44" s="1"/>
  <c r="B342" i="44" s="1"/>
  <c r="H152" i="44"/>
  <c r="H154" i="44" s="1"/>
  <c r="H155" i="44" s="1"/>
  <c r="H156" i="44" s="1"/>
  <c r="H157" i="44" s="1"/>
  <c r="H158" i="44" s="1"/>
  <c r="H159" i="44" s="1"/>
  <c r="H160" i="44" s="1"/>
  <c r="H161" i="44" s="1"/>
  <c r="H162" i="44" s="1"/>
  <c r="H163" i="44" s="1"/>
  <c r="H164" i="44" s="1"/>
  <c r="H165" i="44" s="1"/>
  <c r="H166" i="44" s="1"/>
  <c r="H167" i="44" s="1"/>
  <c r="H168" i="44" s="1"/>
  <c r="H169" i="44" s="1"/>
  <c r="H170" i="44" s="1"/>
  <c r="H171" i="44" s="1"/>
  <c r="H172" i="44" s="1"/>
  <c r="H173" i="44" s="1"/>
  <c r="H174" i="44" s="1"/>
  <c r="H175" i="44" s="1"/>
  <c r="H176" i="44" s="1"/>
  <c r="H177" i="44" s="1"/>
  <c r="H178" i="44" s="1"/>
  <c r="H179" i="44" s="1"/>
  <c r="H180" i="44" s="1"/>
  <c r="H181" i="44" s="1"/>
  <c r="H182" i="44" s="1"/>
  <c r="H183" i="44" s="1"/>
  <c r="H184" i="44" s="1"/>
  <c r="H185" i="44" s="1"/>
  <c r="H186" i="44" s="1"/>
  <c r="H187" i="44" s="1"/>
  <c r="H188" i="44" s="1"/>
  <c r="H189" i="44" s="1"/>
  <c r="H190" i="44" s="1"/>
  <c r="H191" i="44" s="1"/>
  <c r="H192" i="44" s="1"/>
  <c r="H193" i="44" s="1"/>
  <c r="H194" i="44" s="1"/>
  <c r="H195" i="44" s="1"/>
  <c r="H196" i="44" s="1"/>
  <c r="H197" i="44" s="1"/>
  <c r="H198" i="44" s="1"/>
  <c r="H199" i="44" s="1"/>
  <c r="H200" i="44" s="1"/>
  <c r="H201" i="44" s="1"/>
  <c r="H202" i="44" s="1"/>
  <c r="H203" i="44" s="1"/>
  <c r="H204" i="44" s="1"/>
  <c r="H205" i="44" s="1"/>
  <c r="H206" i="44" s="1"/>
  <c r="H207" i="44" s="1"/>
  <c r="H208" i="44" s="1"/>
  <c r="H209" i="44" s="1"/>
  <c r="H210" i="44" s="1"/>
  <c r="H211" i="44" s="1"/>
  <c r="H212" i="44" s="1"/>
  <c r="H213" i="44" s="1"/>
  <c r="H214" i="44" s="1"/>
  <c r="H215" i="44" s="1"/>
  <c r="H216" i="44" s="1"/>
  <c r="H217" i="44" s="1"/>
  <c r="H218" i="44" s="1"/>
  <c r="H219" i="44" s="1"/>
  <c r="H220" i="44" s="1"/>
  <c r="H221" i="44" s="1"/>
  <c r="H222" i="44" s="1"/>
  <c r="H223" i="44" s="1"/>
  <c r="H224" i="44" s="1"/>
  <c r="H225" i="44" s="1"/>
  <c r="H226" i="44" s="1"/>
  <c r="H227" i="44" s="1"/>
  <c r="H228" i="44" s="1"/>
  <c r="H229" i="44" s="1"/>
  <c r="H230" i="44" s="1"/>
  <c r="H231" i="44" s="1"/>
  <c r="H232" i="44" s="1"/>
  <c r="H233" i="44" s="1"/>
  <c r="H234" i="44" s="1"/>
  <c r="H235" i="44" s="1"/>
  <c r="H236" i="44" s="1"/>
  <c r="H237" i="44" s="1"/>
  <c r="H238" i="44" s="1"/>
  <c r="H239" i="44" s="1"/>
  <c r="H240" i="44" s="1"/>
  <c r="H241" i="44" s="1"/>
  <c r="H242" i="44" s="1"/>
  <c r="H243" i="44" s="1"/>
  <c r="H244" i="44" s="1"/>
  <c r="H245" i="44" s="1"/>
  <c r="H246" i="44" s="1"/>
  <c r="H247" i="44" s="1"/>
  <c r="H248" i="44" s="1"/>
  <c r="H249" i="44" s="1"/>
  <c r="H250" i="44" s="1"/>
  <c r="H251" i="44" s="1"/>
  <c r="H252" i="44" s="1"/>
  <c r="H253" i="44" s="1"/>
  <c r="H254" i="44" s="1"/>
  <c r="H255" i="44" s="1"/>
  <c r="H256" i="44" s="1"/>
  <c r="H257" i="44" s="1"/>
  <c r="H258" i="44" s="1"/>
  <c r="H259" i="44" s="1"/>
  <c r="H260" i="44" s="1"/>
  <c r="H261" i="44" s="1"/>
  <c r="H262" i="44" s="1"/>
  <c r="H263" i="44" s="1"/>
  <c r="H264" i="44" s="1"/>
  <c r="H265" i="44" s="1"/>
  <c r="H266" i="44" s="1"/>
  <c r="H267" i="44" s="1"/>
  <c r="H268" i="44" s="1"/>
  <c r="H269" i="44" s="1"/>
  <c r="H270" i="44" s="1"/>
  <c r="H271" i="44" s="1"/>
  <c r="H272" i="44" s="1"/>
  <c r="H273" i="44" s="1"/>
  <c r="H274" i="44" s="1"/>
  <c r="H275" i="44" s="1"/>
  <c r="H276" i="44" s="1"/>
  <c r="H277" i="44" s="1"/>
  <c r="H278" i="44" s="1"/>
  <c r="H279" i="44" s="1"/>
  <c r="H280" i="44" s="1"/>
  <c r="H281" i="44" s="1"/>
  <c r="H282" i="44" s="1"/>
  <c r="H283" i="44" s="1"/>
  <c r="H284" i="44" s="1"/>
  <c r="H285" i="44" s="1"/>
  <c r="H286" i="44" s="1"/>
  <c r="H287" i="44" s="1"/>
  <c r="H288" i="44" s="1"/>
  <c r="H289" i="44" s="1"/>
  <c r="H290" i="44" s="1"/>
  <c r="H291" i="44" s="1"/>
  <c r="H292" i="44" s="1"/>
  <c r="H293" i="44" s="1"/>
  <c r="H294" i="44" s="1"/>
  <c r="H295" i="44" s="1"/>
  <c r="H296" i="44" s="1"/>
  <c r="H297" i="44" s="1"/>
  <c r="H298" i="44" s="1"/>
  <c r="H299" i="44" s="1"/>
  <c r="H300" i="44" s="1"/>
  <c r="H301" i="44" s="1"/>
  <c r="H302" i="44" s="1"/>
  <c r="H303" i="44" s="1"/>
  <c r="H304" i="44" s="1"/>
  <c r="H305" i="44" s="1"/>
  <c r="H306" i="44" s="1"/>
  <c r="H307" i="44" s="1"/>
  <c r="H308" i="44" s="1"/>
  <c r="H309" i="44" s="1"/>
  <c r="H310" i="44" s="1"/>
  <c r="H311" i="44" s="1"/>
  <c r="H312" i="44" s="1"/>
  <c r="H313" i="44" s="1"/>
  <c r="H314" i="44" s="1"/>
  <c r="H315" i="44" s="1"/>
  <c r="H316" i="44" s="1"/>
  <c r="H317" i="44" s="1"/>
  <c r="H318" i="44" s="1"/>
  <c r="H319" i="44" s="1"/>
  <c r="H320" i="44" s="1"/>
  <c r="H321" i="44" s="1"/>
  <c r="H322" i="44" s="1"/>
  <c r="H323" i="44" s="1"/>
  <c r="H324" i="44" s="1"/>
  <c r="H325" i="44" s="1"/>
  <c r="H326" i="44" s="1"/>
  <c r="H327" i="44" s="1"/>
  <c r="H328" i="44" s="1"/>
  <c r="H329" i="44" s="1"/>
  <c r="H330" i="44" s="1"/>
  <c r="H331" i="44" s="1"/>
  <c r="H332" i="44" s="1"/>
  <c r="H333" i="44" s="1"/>
  <c r="H334" i="44" s="1"/>
  <c r="H335" i="44" s="1"/>
  <c r="H336" i="44" s="1"/>
  <c r="H337" i="44" s="1"/>
  <c r="H338" i="44" s="1"/>
  <c r="H339" i="44" s="1"/>
  <c r="H340" i="44" s="1"/>
  <c r="H341" i="44" s="1"/>
  <c r="H342" i="44" s="1"/>
  <c r="H153" i="44"/>
  <c r="C153" i="44"/>
  <c r="C152" i="44"/>
  <c r="C154" i="44" s="1"/>
  <c r="C155" i="44" s="1"/>
  <c r="C156" i="44" s="1"/>
  <c r="C157" i="44" s="1"/>
  <c r="C158" i="44" s="1"/>
  <c r="C159" i="44" s="1"/>
  <c r="C160" i="44" s="1"/>
  <c r="C161" i="44" s="1"/>
  <c r="C162" i="44" s="1"/>
  <c r="C163" i="44" s="1"/>
  <c r="C164" i="44" s="1"/>
  <c r="C165" i="44" s="1"/>
  <c r="C166" i="44" s="1"/>
  <c r="C167" i="44" s="1"/>
  <c r="C168" i="44" s="1"/>
  <c r="C169" i="44" s="1"/>
  <c r="C170" i="44" s="1"/>
  <c r="C171" i="44" s="1"/>
  <c r="C172" i="44" s="1"/>
  <c r="C173" i="44" s="1"/>
  <c r="C174" i="44" s="1"/>
  <c r="C175" i="44" s="1"/>
  <c r="C176" i="44" s="1"/>
  <c r="C177" i="44" s="1"/>
  <c r="C178" i="44" s="1"/>
  <c r="C179" i="44" s="1"/>
  <c r="C180" i="44" s="1"/>
  <c r="C181" i="44" s="1"/>
  <c r="C182" i="44" s="1"/>
  <c r="C183" i="44" s="1"/>
  <c r="C184" i="44" s="1"/>
  <c r="C185" i="44" s="1"/>
  <c r="C186" i="44" s="1"/>
  <c r="C187" i="44" s="1"/>
  <c r="C188" i="44" s="1"/>
  <c r="C189" i="44" s="1"/>
  <c r="C190" i="44" s="1"/>
  <c r="C191" i="44" s="1"/>
  <c r="C192" i="44" s="1"/>
  <c r="C193" i="44" s="1"/>
  <c r="C194" i="44" s="1"/>
  <c r="C195" i="44" s="1"/>
  <c r="C196" i="44" s="1"/>
  <c r="C197" i="44" s="1"/>
  <c r="C198" i="44" s="1"/>
  <c r="C199" i="44" s="1"/>
  <c r="C200" i="44" s="1"/>
  <c r="C201" i="44" s="1"/>
  <c r="C202" i="44" s="1"/>
  <c r="C203" i="44" s="1"/>
  <c r="C204" i="44" s="1"/>
  <c r="C205" i="44" s="1"/>
  <c r="C206" i="44" s="1"/>
  <c r="C207" i="44" s="1"/>
  <c r="C208" i="44" s="1"/>
  <c r="C209" i="44" s="1"/>
  <c r="C210" i="44" s="1"/>
  <c r="C211" i="44" s="1"/>
  <c r="C212" i="44" s="1"/>
  <c r="C213" i="44" s="1"/>
  <c r="C214" i="44" s="1"/>
  <c r="C215" i="44" s="1"/>
  <c r="C216" i="44" s="1"/>
  <c r="C217" i="44" s="1"/>
  <c r="C218" i="44" s="1"/>
  <c r="C219" i="44" s="1"/>
  <c r="C220" i="44" s="1"/>
  <c r="C221" i="44" s="1"/>
  <c r="C222" i="44" s="1"/>
  <c r="C223" i="44" s="1"/>
  <c r="C224" i="44" s="1"/>
  <c r="C225" i="44" s="1"/>
  <c r="C226" i="44" s="1"/>
  <c r="C227" i="44" s="1"/>
  <c r="C228" i="44" s="1"/>
  <c r="C229" i="44" s="1"/>
  <c r="C230" i="44" s="1"/>
  <c r="C231" i="44" s="1"/>
  <c r="C232" i="44" s="1"/>
  <c r="C233" i="44" s="1"/>
  <c r="C234" i="44" s="1"/>
  <c r="C235" i="44" s="1"/>
  <c r="C236" i="44" s="1"/>
  <c r="C237" i="44" s="1"/>
  <c r="C238" i="44" s="1"/>
  <c r="C239" i="44" s="1"/>
  <c r="C240" i="44" s="1"/>
  <c r="C241" i="44" s="1"/>
  <c r="C242" i="44" s="1"/>
  <c r="C243" i="44" s="1"/>
  <c r="C244" i="44" s="1"/>
  <c r="C245" i="44" s="1"/>
  <c r="C246" i="44" s="1"/>
  <c r="C247" i="44" s="1"/>
  <c r="C248" i="44" s="1"/>
  <c r="C249" i="44" s="1"/>
  <c r="C250" i="44" s="1"/>
  <c r="C251" i="44" s="1"/>
  <c r="C252" i="44" s="1"/>
  <c r="C253" i="44" s="1"/>
  <c r="C254" i="44" s="1"/>
  <c r="C255" i="44" s="1"/>
  <c r="C256" i="44" s="1"/>
  <c r="C257" i="44" s="1"/>
  <c r="C258" i="44" s="1"/>
  <c r="C259" i="44" s="1"/>
  <c r="C260" i="44" s="1"/>
  <c r="C261" i="44" s="1"/>
  <c r="C262" i="44" s="1"/>
  <c r="C263" i="44" s="1"/>
  <c r="C264" i="44" s="1"/>
  <c r="C265" i="44" s="1"/>
  <c r="C266" i="44" s="1"/>
  <c r="C267" i="44" s="1"/>
  <c r="C268" i="44" s="1"/>
  <c r="C269" i="44" s="1"/>
  <c r="C270" i="44" s="1"/>
  <c r="C271" i="44" s="1"/>
  <c r="C272" i="44" s="1"/>
  <c r="C273" i="44" s="1"/>
  <c r="C274" i="44" s="1"/>
  <c r="C275" i="44" s="1"/>
  <c r="C276" i="44" s="1"/>
  <c r="C277" i="44" s="1"/>
  <c r="C278" i="44" s="1"/>
  <c r="C279" i="44" s="1"/>
  <c r="C280" i="44" s="1"/>
  <c r="C281" i="44" s="1"/>
  <c r="C282" i="44" s="1"/>
  <c r="C283" i="44" s="1"/>
  <c r="C284" i="44" s="1"/>
  <c r="C285" i="44" s="1"/>
  <c r="C286" i="44" s="1"/>
  <c r="C287" i="44" s="1"/>
  <c r="C288" i="44" s="1"/>
  <c r="C289" i="44" s="1"/>
  <c r="C290" i="44" s="1"/>
  <c r="C291" i="44" s="1"/>
  <c r="C292" i="44" s="1"/>
  <c r="C293" i="44" s="1"/>
  <c r="C294" i="44" s="1"/>
  <c r="C295" i="44" s="1"/>
  <c r="C296" i="44" s="1"/>
  <c r="C297" i="44" s="1"/>
  <c r="C298" i="44" s="1"/>
  <c r="C299" i="44" s="1"/>
  <c r="C300" i="44" s="1"/>
  <c r="C301" i="44" s="1"/>
  <c r="C302" i="44" s="1"/>
  <c r="C303" i="44" s="1"/>
  <c r="C304" i="44" s="1"/>
  <c r="C305" i="44" s="1"/>
  <c r="C306" i="44" s="1"/>
  <c r="C307" i="44" s="1"/>
  <c r="C308" i="44" s="1"/>
  <c r="C309" i="44" s="1"/>
  <c r="C310" i="44" s="1"/>
  <c r="C311" i="44" s="1"/>
  <c r="C312" i="44" s="1"/>
  <c r="C313" i="44" s="1"/>
  <c r="C314" i="44" s="1"/>
  <c r="C315" i="44" s="1"/>
  <c r="C316" i="44" s="1"/>
  <c r="C317" i="44" s="1"/>
  <c r="C318" i="44" s="1"/>
  <c r="C319" i="44" s="1"/>
  <c r="C320" i="44" s="1"/>
  <c r="C321" i="44" s="1"/>
  <c r="C322" i="44" s="1"/>
  <c r="C323" i="44" s="1"/>
  <c r="C324" i="44" s="1"/>
  <c r="C325" i="44" s="1"/>
  <c r="C326" i="44" s="1"/>
  <c r="C327" i="44" s="1"/>
  <c r="C328" i="44" s="1"/>
  <c r="C329" i="44" s="1"/>
  <c r="C330" i="44" s="1"/>
  <c r="C331" i="44" s="1"/>
  <c r="C332" i="44" s="1"/>
  <c r="C333" i="44" s="1"/>
  <c r="C334" i="44" s="1"/>
  <c r="C335" i="44" s="1"/>
  <c r="C336" i="44" s="1"/>
  <c r="C337" i="44" s="1"/>
  <c r="C338" i="44" s="1"/>
  <c r="C339" i="44" s="1"/>
  <c r="C340" i="44" s="1"/>
  <c r="C341" i="44" s="1"/>
  <c r="C342" i="44" s="1"/>
  <c r="D152" i="44"/>
  <c r="D154" i="44" s="1"/>
  <c r="D155" i="44" s="1"/>
  <c r="D156" i="44" s="1"/>
  <c r="D157" i="44" s="1"/>
  <c r="D158" i="44" s="1"/>
  <c r="D159" i="44" s="1"/>
  <c r="D160" i="44" s="1"/>
  <c r="D161" i="44" s="1"/>
  <c r="D162" i="44" s="1"/>
  <c r="D163" i="44" s="1"/>
  <c r="D164" i="44" s="1"/>
  <c r="D165" i="44" s="1"/>
  <c r="D166" i="44" s="1"/>
  <c r="D167" i="44" s="1"/>
  <c r="D168" i="44" s="1"/>
  <c r="D169" i="44" s="1"/>
  <c r="D170" i="44" s="1"/>
  <c r="D171" i="44" s="1"/>
  <c r="D172" i="44" s="1"/>
  <c r="D173" i="44" s="1"/>
  <c r="D174" i="44" s="1"/>
  <c r="D175" i="44" s="1"/>
  <c r="D176" i="44" s="1"/>
  <c r="D177" i="44" s="1"/>
  <c r="D178" i="44" s="1"/>
  <c r="D179" i="44" s="1"/>
  <c r="D180" i="44" s="1"/>
  <c r="D181" i="44" s="1"/>
  <c r="D182" i="44" s="1"/>
  <c r="D183" i="44" s="1"/>
  <c r="D184" i="44" s="1"/>
  <c r="D185" i="44" s="1"/>
  <c r="D186" i="44" s="1"/>
  <c r="D187" i="44" s="1"/>
  <c r="D188" i="44" s="1"/>
  <c r="D189" i="44" s="1"/>
  <c r="D190" i="44" s="1"/>
  <c r="D191" i="44" s="1"/>
  <c r="D192" i="44" s="1"/>
  <c r="D193" i="44" s="1"/>
  <c r="D194" i="44" s="1"/>
  <c r="D195" i="44" s="1"/>
  <c r="D196" i="44" s="1"/>
  <c r="D197" i="44" s="1"/>
  <c r="D198" i="44" s="1"/>
  <c r="D199" i="44" s="1"/>
  <c r="D200" i="44" s="1"/>
  <c r="D201" i="44" s="1"/>
  <c r="D202" i="44" s="1"/>
  <c r="D203" i="44" s="1"/>
  <c r="D204" i="44" s="1"/>
  <c r="D205" i="44" s="1"/>
  <c r="D206" i="44" s="1"/>
  <c r="D207" i="44" s="1"/>
  <c r="D208" i="44" s="1"/>
  <c r="D209" i="44" s="1"/>
  <c r="D210" i="44" s="1"/>
  <c r="D211" i="44" s="1"/>
  <c r="D212" i="44" s="1"/>
  <c r="D213" i="44" s="1"/>
  <c r="D214" i="44" s="1"/>
  <c r="D215" i="44" s="1"/>
  <c r="D216" i="44" s="1"/>
  <c r="D217" i="44" s="1"/>
  <c r="D218" i="44" s="1"/>
  <c r="D219" i="44" s="1"/>
  <c r="D220" i="44" s="1"/>
  <c r="D221" i="44" s="1"/>
  <c r="D222" i="44" s="1"/>
  <c r="D223" i="44" s="1"/>
  <c r="D224" i="44" s="1"/>
  <c r="D225" i="44" s="1"/>
  <c r="D226" i="44" s="1"/>
  <c r="D227" i="44" s="1"/>
  <c r="D228" i="44" s="1"/>
  <c r="D229" i="44" s="1"/>
  <c r="D230" i="44" s="1"/>
  <c r="D231" i="44" s="1"/>
  <c r="D232" i="44" s="1"/>
  <c r="D233" i="44" s="1"/>
  <c r="D234" i="44" s="1"/>
  <c r="D235" i="44" s="1"/>
  <c r="D236" i="44" s="1"/>
  <c r="D237" i="44" s="1"/>
  <c r="D238" i="44" s="1"/>
  <c r="D239" i="44" s="1"/>
  <c r="D240" i="44" s="1"/>
  <c r="D241" i="44" s="1"/>
  <c r="D242" i="44" s="1"/>
  <c r="D243" i="44" s="1"/>
  <c r="D244" i="44" s="1"/>
  <c r="D245" i="44" s="1"/>
  <c r="D246" i="44" s="1"/>
  <c r="D247" i="44" s="1"/>
  <c r="D248" i="44" s="1"/>
  <c r="D249" i="44" s="1"/>
  <c r="D250" i="44" s="1"/>
  <c r="D251" i="44" s="1"/>
  <c r="D252" i="44" s="1"/>
  <c r="D253" i="44" s="1"/>
  <c r="D254" i="44" s="1"/>
  <c r="D255" i="44" s="1"/>
  <c r="D256" i="44" s="1"/>
  <c r="D257" i="44" s="1"/>
  <c r="D258" i="44" s="1"/>
  <c r="D259" i="44" s="1"/>
  <c r="D260" i="44" s="1"/>
  <c r="D261" i="44" s="1"/>
  <c r="D262" i="44" s="1"/>
  <c r="D263" i="44" s="1"/>
  <c r="D264" i="44" s="1"/>
  <c r="D265" i="44" s="1"/>
  <c r="D266" i="44" s="1"/>
  <c r="D267" i="44" s="1"/>
  <c r="D268" i="44" s="1"/>
  <c r="D269" i="44" s="1"/>
  <c r="D270" i="44" s="1"/>
  <c r="D271" i="44" s="1"/>
  <c r="D272" i="44" s="1"/>
  <c r="D273" i="44" s="1"/>
  <c r="D274" i="44" s="1"/>
  <c r="D275" i="44" s="1"/>
  <c r="D276" i="44" s="1"/>
  <c r="D277" i="44" s="1"/>
  <c r="D278" i="44" s="1"/>
  <c r="D279" i="44" s="1"/>
  <c r="D280" i="44" s="1"/>
  <c r="D281" i="44" s="1"/>
  <c r="D282" i="44" s="1"/>
  <c r="D283" i="44" s="1"/>
  <c r="D284" i="44" s="1"/>
  <c r="D285" i="44" s="1"/>
  <c r="D286" i="44" s="1"/>
  <c r="D287" i="44" s="1"/>
  <c r="D288" i="44" s="1"/>
  <c r="D289" i="44" s="1"/>
  <c r="D290" i="44" s="1"/>
  <c r="D291" i="44" s="1"/>
  <c r="D292" i="44" s="1"/>
  <c r="D293" i="44" s="1"/>
  <c r="D294" i="44" s="1"/>
  <c r="D295" i="44" s="1"/>
  <c r="D296" i="44" s="1"/>
  <c r="D297" i="44" s="1"/>
  <c r="D298" i="44" s="1"/>
  <c r="D299" i="44" s="1"/>
  <c r="D300" i="44" s="1"/>
  <c r="D301" i="44" s="1"/>
  <c r="D302" i="44" s="1"/>
  <c r="D303" i="44" s="1"/>
  <c r="D304" i="44" s="1"/>
  <c r="D305" i="44" s="1"/>
  <c r="D306" i="44" s="1"/>
  <c r="D307" i="44" s="1"/>
  <c r="D308" i="44" s="1"/>
  <c r="D309" i="44" s="1"/>
  <c r="D310" i="44" s="1"/>
  <c r="D311" i="44" s="1"/>
  <c r="D312" i="44" s="1"/>
  <c r="D313" i="44" s="1"/>
  <c r="D314" i="44" s="1"/>
  <c r="D315" i="44" s="1"/>
  <c r="D316" i="44" s="1"/>
  <c r="D317" i="44" s="1"/>
  <c r="D318" i="44" s="1"/>
  <c r="D319" i="44" s="1"/>
  <c r="D320" i="44" s="1"/>
  <c r="D321" i="44" s="1"/>
  <c r="D322" i="44" s="1"/>
  <c r="D323" i="44" s="1"/>
  <c r="D324" i="44" s="1"/>
  <c r="D325" i="44" s="1"/>
  <c r="D326" i="44" s="1"/>
  <c r="D327" i="44" s="1"/>
  <c r="D328" i="44" s="1"/>
  <c r="D329" i="44" s="1"/>
  <c r="D330" i="44" s="1"/>
  <c r="D331" i="44" s="1"/>
  <c r="D332" i="44" s="1"/>
  <c r="D333" i="44" s="1"/>
  <c r="D334" i="44" s="1"/>
  <c r="D335" i="44" s="1"/>
  <c r="D336" i="44" s="1"/>
  <c r="D337" i="44" s="1"/>
  <c r="D338" i="44" s="1"/>
  <c r="D339" i="44" s="1"/>
  <c r="D340" i="44" s="1"/>
  <c r="D341" i="44" s="1"/>
  <c r="D342" i="44" s="1"/>
  <c r="D153" i="44"/>
  <c r="H13" i="43" l="1"/>
  <c r="H15" i="43" s="1"/>
  <c r="H11" i="43"/>
  <c r="L9" i="43"/>
  <c r="H9" i="43"/>
  <c r="B9" i="43"/>
  <c r="O1" i="43"/>
  <c r="S31" i="41" l="1"/>
  <c r="P29" i="41"/>
  <c r="G342" i="44" s="1"/>
  <c r="O29" i="41"/>
  <c r="G341" i="44" s="1"/>
  <c r="N29" i="41"/>
  <c r="G340" i="44" s="1"/>
  <c r="M29" i="41"/>
  <c r="G339" i="44" s="1"/>
  <c r="L29" i="41"/>
  <c r="G338" i="44" s="1"/>
  <c r="K29" i="41"/>
  <c r="G337" i="44" s="1"/>
  <c r="J29" i="41"/>
  <c r="G336" i="44" s="1"/>
  <c r="I29" i="41"/>
  <c r="G335" i="44" s="1"/>
  <c r="H29" i="41"/>
  <c r="G334" i="44" s="1"/>
  <c r="G29" i="41"/>
  <c r="G333" i="44" s="1"/>
  <c r="F29" i="41"/>
  <c r="G332" i="44" s="1"/>
  <c r="D29" i="41"/>
  <c r="G330" i="44" s="1"/>
  <c r="B29" i="41"/>
  <c r="G328" i="44" s="1"/>
  <c r="P16" i="41"/>
  <c r="N16" i="41"/>
  <c r="L16" i="41"/>
  <c r="J16" i="41"/>
  <c r="H16" i="41"/>
  <c r="F16" i="41"/>
  <c r="D16" i="41"/>
  <c r="B16" i="41"/>
  <c r="X4" i="41"/>
  <c r="C29" i="41"/>
  <c r="G329" i="44" s="1"/>
  <c r="E29" i="41"/>
  <c r="G331" i="44" s="1"/>
  <c r="A29" i="41"/>
  <c r="G327" i="44" s="1"/>
  <c r="H5" i="41"/>
  <c r="L5" i="41"/>
  <c r="D5" i="41"/>
  <c r="F5" i="41"/>
  <c r="B5" i="41"/>
  <c r="N5" i="41"/>
  <c r="J5" i="41"/>
  <c r="P5" i="41"/>
  <c r="N40" i="39" l="1"/>
  <c r="M40" i="39"/>
  <c r="L40" i="39"/>
  <c r="K40" i="39"/>
  <c r="J40" i="39"/>
  <c r="I40" i="39"/>
  <c r="G40" i="39"/>
  <c r="F40" i="39"/>
  <c r="E40" i="39"/>
  <c r="D40" i="39"/>
  <c r="C40" i="39"/>
  <c r="A20" i="39"/>
  <c r="A19" i="39"/>
  <c r="A18" i="39"/>
  <c r="A17" i="39"/>
  <c r="N33" i="39"/>
  <c r="M33" i="39"/>
  <c r="L33" i="39"/>
  <c r="K33" i="39"/>
  <c r="J33" i="39"/>
  <c r="I33" i="39"/>
  <c r="G33" i="39"/>
  <c r="F33" i="39"/>
  <c r="E33" i="39"/>
  <c r="D33" i="39"/>
  <c r="C33" i="39"/>
  <c r="B38" i="39"/>
  <c r="C38" i="39"/>
  <c r="C39" i="39" s="1"/>
  <c r="C41" i="39" s="1"/>
  <c r="D38" i="39"/>
  <c r="D39" i="39" s="1"/>
  <c r="D41" i="39" s="1"/>
  <c r="E38" i="39"/>
  <c r="E39" i="39" s="1"/>
  <c r="E41" i="39" s="1"/>
  <c r="F38" i="39"/>
  <c r="F39" i="39" s="1"/>
  <c r="F41" i="39" s="1"/>
  <c r="G38" i="39"/>
  <c r="G39" i="39" s="1"/>
  <c r="G41" i="39" s="1"/>
  <c r="I38" i="39"/>
  <c r="I39" i="39" s="1"/>
  <c r="I41" i="39" s="1"/>
  <c r="O41" i="39" s="1"/>
  <c r="G266" i="44" s="1"/>
  <c r="J38" i="39"/>
  <c r="J39" i="39" s="1"/>
  <c r="J41" i="39" s="1"/>
  <c r="K38" i="39"/>
  <c r="K39" i="39" s="1"/>
  <c r="K41" i="39" s="1"/>
  <c r="L38" i="39"/>
  <c r="L39" i="39" s="1"/>
  <c r="L41" i="39" s="1"/>
  <c r="M38" i="39"/>
  <c r="M39" i="39" s="1"/>
  <c r="M41" i="39" s="1"/>
  <c r="N38" i="39"/>
  <c r="N39" i="39" s="1"/>
  <c r="N41" i="39" s="1"/>
  <c r="B39" i="39"/>
  <c r="B41" i="39" s="1"/>
  <c r="H41" i="39" s="1"/>
  <c r="G265" i="44" s="1"/>
  <c r="N27" i="39"/>
  <c r="N28" i="39" s="1"/>
  <c r="N26" i="39"/>
  <c r="O25" i="39"/>
  <c r="N25" i="39"/>
  <c r="O24" i="39"/>
  <c r="O22" i="39"/>
  <c r="O23" i="39" s="1"/>
  <c r="N22" i="39"/>
  <c r="N23" i="39" s="1"/>
  <c r="O18" i="39"/>
  <c r="N18" i="39"/>
  <c r="H13" i="39"/>
  <c r="H15" i="39" s="1"/>
  <c r="H11" i="39"/>
  <c r="L9" i="39"/>
  <c r="H9" i="39"/>
  <c r="B9" i="39"/>
  <c r="O1" i="39"/>
  <c r="BP15" i="7"/>
  <c r="F122" i="7"/>
  <c r="F123" i="7"/>
  <c r="F124" i="7"/>
  <c r="F125" i="7"/>
  <c r="F126" i="7"/>
  <c r="F127" i="7"/>
  <c r="F128" i="7"/>
  <c r="F130" i="7"/>
  <c r="F131" i="7"/>
  <c r="F132" i="7"/>
  <c r="F133" i="7"/>
  <c r="F134" i="7"/>
  <c r="F135" i="7"/>
  <c r="F136" i="7"/>
  <c r="H177" i="7"/>
  <c r="I177" i="7"/>
  <c r="H8" i="29"/>
  <c r="J8" i="29"/>
  <c r="K8" i="29"/>
  <c r="K9" i="29" s="1"/>
  <c r="K10" i="29" s="1"/>
  <c r="K11" i="29" s="1"/>
  <c r="K12" i="29" s="1"/>
  <c r="K13" i="29" s="1"/>
  <c r="K14" i="29" s="1"/>
  <c r="E9" i="29"/>
  <c r="G9" i="29"/>
  <c r="H9" i="29"/>
  <c r="I9" i="29"/>
  <c r="J9" i="29"/>
  <c r="E10" i="29"/>
  <c r="G10" i="29"/>
  <c r="H10" i="29"/>
  <c r="I10" i="29"/>
  <c r="J10" i="29"/>
  <c r="E11" i="29"/>
  <c r="G11" i="29"/>
  <c r="H11" i="29"/>
  <c r="I11" i="29"/>
  <c r="J11" i="29"/>
  <c r="E12" i="29"/>
  <c r="G12" i="29"/>
  <c r="H12" i="29"/>
  <c r="I12" i="29"/>
  <c r="J12" i="29"/>
  <c r="E13" i="29"/>
  <c r="G13" i="29"/>
  <c r="H13" i="29"/>
  <c r="I13" i="29"/>
  <c r="J13" i="29"/>
  <c r="E14" i="29"/>
  <c r="G14" i="29"/>
  <c r="H14" i="29"/>
  <c r="I14" i="29"/>
  <c r="J14" i="29"/>
  <c r="B8" i="26"/>
  <c r="F8" i="26"/>
  <c r="I8" i="26"/>
  <c r="K8" i="26"/>
  <c r="L8" i="26"/>
  <c r="X8" i="26"/>
  <c r="AH8" i="26"/>
  <c r="B8" i="24"/>
  <c r="H8" i="24"/>
  <c r="B8" i="23"/>
  <c r="E8" i="23"/>
  <c r="F8" i="23"/>
  <c r="B8" i="22"/>
  <c r="E8" i="22"/>
  <c r="G8" i="22"/>
  <c r="H8" i="22"/>
  <c r="I8" i="22"/>
  <c r="J8" i="22"/>
  <c r="E8" i="21"/>
  <c r="B8" i="21" s="1"/>
  <c r="S8" i="19" s="1"/>
  <c r="F8" i="21"/>
  <c r="B8" i="20"/>
  <c r="C8" i="20"/>
  <c r="G8" i="20"/>
  <c r="B8" i="19"/>
  <c r="D8" i="19"/>
  <c r="E8" i="19"/>
  <c r="F8" i="19"/>
  <c r="I8" i="19"/>
  <c r="L8" i="19"/>
  <c r="M8" i="19"/>
  <c r="U8" i="19"/>
  <c r="V8" i="19"/>
  <c r="X8" i="19"/>
  <c r="AL8" i="19"/>
  <c r="F23" i="13"/>
  <c r="I23" i="13"/>
  <c r="D2" i="18"/>
  <c r="E2" i="18"/>
  <c r="L1" i="7"/>
  <c r="B2" i="7"/>
  <c r="D2" i="7"/>
  <c r="H3" i="7" s="1"/>
  <c r="L2" i="7"/>
  <c r="B3" i="7"/>
  <c r="D3" i="7"/>
  <c r="H5" i="7" s="1"/>
  <c r="F3" i="7"/>
  <c r="L3" i="7"/>
  <c r="B4" i="7"/>
  <c r="D4" i="7"/>
  <c r="H7" i="7" s="1"/>
  <c r="F4" i="7"/>
  <c r="BK4" i="7"/>
  <c r="B5" i="7"/>
  <c r="D5" i="7"/>
  <c r="H8" i="7" s="1"/>
  <c r="F5" i="7"/>
  <c r="B6" i="7"/>
  <c r="D6" i="7"/>
  <c r="H10" i="7" s="1"/>
  <c r="F6" i="7"/>
  <c r="B7" i="7"/>
  <c r="D7" i="7"/>
  <c r="H13" i="7" s="1"/>
  <c r="F7" i="7"/>
  <c r="M7" i="7"/>
  <c r="B8" i="7"/>
  <c r="D8" i="7"/>
  <c r="F8" i="7"/>
  <c r="B9" i="7"/>
  <c r="D9" i="7"/>
  <c r="F9" i="7"/>
  <c r="T9" i="7"/>
  <c r="B10" i="7"/>
  <c r="D10" i="7"/>
  <c r="H18" i="7" s="1"/>
  <c r="F10" i="7"/>
  <c r="T10" i="7"/>
  <c r="B11" i="7"/>
  <c r="D11" i="7"/>
  <c r="F11" i="7"/>
  <c r="T11" i="7"/>
  <c r="B12" i="7"/>
  <c r="D12" i="7"/>
  <c r="H22" i="7" s="1"/>
  <c r="T12" i="7"/>
  <c r="B13" i="7"/>
  <c r="D13" i="7"/>
  <c r="H25" i="7" s="1"/>
  <c r="B14" i="7"/>
  <c r="D14" i="7"/>
  <c r="H26" i="7" s="1"/>
  <c r="F14" i="7"/>
  <c r="D15" i="7"/>
  <c r="H28" i="7" s="1"/>
  <c r="W15" i="7"/>
  <c r="C18" i="1" s="1"/>
  <c r="W16" i="7"/>
  <c r="H20" i="1" s="1"/>
  <c r="W17" i="7"/>
  <c r="X17" i="7"/>
  <c r="B19" i="7"/>
  <c r="D19" i="7"/>
  <c r="B20" i="7"/>
  <c r="D20" i="7"/>
  <c r="B21" i="7"/>
  <c r="D21" i="7"/>
  <c r="L21" i="7"/>
  <c r="X21" i="7"/>
  <c r="B22" i="7"/>
  <c r="D22" i="7"/>
  <c r="B23" i="7"/>
  <c r="D23" i="7"/>
  <c r="B24" i="7"/>
  <c r="D24" i="7"/>
  <c r="D25" i="7"/>
  <c r="B27" i="7"/>
  <c r="D27" i="7"/>
  <c r="B28" i="7"/>
  <c r="D28" i="7"/>
  <c r="B29" i="7"/>
  <c r="D29" i="7"/>
  <c r="B30" i="7"/>
  <c r="D30" i="7"/>
  <c r="AA30" i="7"/>
  <c r="AA31" i="7" s="1"/>
  <c r="AA32" i="7" s="1"/>
  <c r="AA33" i="7" s="1"/>
  <c r="AA34" i="7" s="1"/>
  <c r="AA35" i="7" s="1"/>
  <c r="AA36" i="7" s="1"/>
  <c r="AA37" i="7" s="1"/>
  <c r="AA38" i="7" s="1"/>
  <c r="AA39" i="7" s="1"/>
  <c r="AA40" i="7" s="1"/>
  <c r="AA41" i="7" s="1"/>
  <c r="AA42" i="7" s="1"/>
  <c r="AA43" i="7" s="1"/>
  <c r="AA44" i="7" s="1"/>
  <c r="AA45" i="7" s="1"/>
  <c r="AA46" i="7" s="1"/>
  <c r="AA47" i="7" s="1"/>
  <c r="AA48" i="7" s="1"/>
  <c r="AA49" i="7" s="1"/>
  <c r="AA50" i="7" s="1"/>
  <c r="AA51" i="7" s="1"/>
  <c r="AA52" i="7" s="1"/>
  <c r="AA53" i="7" s="1"/>
  <c r="AA54" i="7" s="1"/>
  <c r="AA55" i="7" s="1"/>
  <c r="AB29" i="7" s="1"/>
  <c r="AB30" i="7" s="1"/>
  <c r="AB31" i="7" s="1"/>
  <c r="AB32" i="7" s="1"/>
  <c r="AB33" i="7" s="1"/>
  <c r="AB34" i="7" s="1"/>
  <c r="AB35" i="7" s="1"/>
  <c r="AB36" i="7" s="1"/>
  <c r="AB37" i="7" s="1"/>
  <c r="AB38" i="7" s="1"/>
  <c r="AB39" i="7" s="1"/>
  <c r="AB40" i="7" s="1"/>
  <c r="AB41" i="7" s="1"/>
  <c r="AB42" i="7" s="1"/>
  <c r="AB43" i="7" s="1"/>
  <c r="AB44" i="7" s="1"/>
  <c r="AB45" i="7" s="1"/>
  <c r="AB46" i="7" s="1"/>
  <c r="AB47" i="7" s="1"/>
  <c r="AB48" i="7" s="1"/>
  <c r="AB49" i="7" s="1"/>
  <c r="AB50" i="7" s="1"/>
  <c r="AB51" i="7" s="1"/>
  <c r="AB52" i="7" s="1"/>
  <c r="AB53" i="7" s="1"/>
  <c r="AB54" i="7" s="1"/>
  <c r="AB55" i="7" s="1"/>
  <c r="AC29" i="7" s="1"/>
  <c r="AC30" i="7" s="1"/>
  <c r="AC31" i="7" s="1"/>
  <c r="AC32" i="7" s="1"/>
  <c r="AC33" i="7" s="1"/>
  <c r="AC34" i="7" s="1"/>
  <c r="AC35" i="7" s="1"/>
  <c r="AC36" i="7" s="1"/>
  <c r="AC37" i="7" s="1"/>
  <c r="AC38" i="7" s="1"/>
  <c r="AC39" i="7" s="1"/>
  <c r="AC40" i="7" s="1"/>
  <c r="AC41" i="7" s="1"/>
  <c r="AC42" i="7" s="1"/>
  <c r="AC43" i="7" s="1"/>
  <c r="AC44" i="7" s="1"/>
  <c r="AC45" i="7" s="1"/>
  <c r="AC46" i="7" s="1"/>
  <c r="AC47" i="7" s="1"/>
  <c r="AC48" i="7" s="1"/>
  <c r="AC49" i="7" s="1"/>
  <c r="AC50" i="7" s="1"/>
  <c r="AC51" i="7" s="1"/>
  <c r="AC52" i="7" s="1"/>
  <c r="AC53" i="7" s="1"/>
  <c r="AC54" i="7" s="1"/>
  <c r="AC55" i="7" s="1"/>
  <c r="AD29" i="7" s="1"/>
  <c r="AD30" i="7" s="1"/>
  <c r="AD31" i="7" s="1"/>
  <c r="AD32" i="7" s="1"/>
  <c r="AD33" i="7" s="1"/>
  <c r="AD34" i="7" s="1"/>
  <c r="AD35" i="7" s="1"/>
  <c r="AD36" i="7" s="1"/>
  <c r="AD37" i="7" s="1"/>
  <c r="AD38" i="7" s="1"/>
  <c r="AD39" i="7" s="1"/>
  <c r="AD40" i="7" s="1"/>
  <c r="AD41" i="7" s="1"/>
  <c r="AD42" i="7" s="1"/>
  <c r="AD43" i="7" s="1"/>
  <c r="AD44" i="7" s="1"/>
  <c r="AD45" i="7" s="1"/>
  <c r="AD46" i="7" s="1"/>
  <c r="AD47" i="7" s="1"/>
  <c r="AD48" i="7" s="1"/>
  <c r="AD49" i="7" s="1"/>
  <c r="AD50" i="7" s="1"/>
  <c r="AD51" i="7" s="1"/>
  <c r="AD52" i="7" s="1"/>
  <c r="AD53" i="7" s="1"/>
  <c r="AD54" i="7" s="1"/>
  <c r="AD55" i="7" s="1"/>
  <c r="AE29" i="7" s="1"/>
  <c r="AE30" i="7" s="1"/>
  <c r="AE31" i="7" s="1"/>
  <c r="AE32" i="7" s="1"/>
  <c r="AE33" i="7" s="1"/>
  <c r="AE34" i="7" s="1"/>
  <c r="AE35" i="7" s="1"/>
  <c r="AE36" i="7" s="1"/>
  <c r="AE37" i="7" s="1"/>
  <c r="AE38" i="7" s="1"/>
  <c r="AE39" i="7" s="1"/>
  <c r="AE40" i="7" s="1"/>
  <c r="AE41" i="7" s="1"/>
  <c r="AE42" i="7" s="1"/>
  <c r="AE43" i="7" s="1"/>
  <c r="AE44" i="7" s="1"/>
  <c r="AE45" i="7" s="1"/>
  <c r="AE46" i="7" s="1"/>
  <c r="AE47" i="7" s="1"/>
  <c r="AE48" i="7" s="1"/>
  <c r="AE49" i="7" s="1"/>
  <c r="AE50" i="7" s="1"/>
  <c r="AE51" i="7" s="1"/>
  <c r="AE52" i="7" s="1"/>
  <c r="AE53" i="7" s="1"/>
  <c r="AE54" i="7" s="1"/>
  <c r="AE55" i="7" s="1"/>
  <c r="B31" i="7"/>
  <c r="D31" i="7"/>
  <c r="D32" i="7"/>
  <c r="L47" i="7"/>
  <c r="A21" i="1" s="1"/>
  <c r="F48" i="7"/>
  <c r="BK3" i="7" s="1"/>
  <c r="BB8" i="7" s="1"/>
  <c r="G48" i="7"/>
  <c r="H48" i="7"/>
  <c r="Q16" i="1" s="1"/>
  <c r="D8" i="26" s="1"/>
  <c r="I48" i="7"/>
  <c r="E15" i="7" s="1"/>
  <c r="F15" i="7" s="1"/>
  <c r="J48" i="7"/>
  <c r="BK2" i="7" s="1"/>
  <c r="K48" i="7"/>
  <c r="N1" i="7" s="1"/>
  <c r="M48" i="7"/>
  <c r="H8" i="26" s="1"/>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AA86" i="7"/>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AA107" i="7" s="1"/>
  <c r="AA108" i="7" s="1"/>
  <c r="AA109" i="7" s="1"/>
  <c r="AA110" i="7" s="1"/>
  <c r="AA111" i="7" s="1"/>
  <c r="AB85" i="7" s="1"/>
  <c r="AB86" i="7" s="1"/>
  <c r="AB87" i="7" s="1"/>
  <c r="AB88" i="7" s="1"/>
  <c r="AB89" i="7" s="1"/>
  <c r="AB90" i="7" s="1"/>
  <c r="AB91" i="7" s="1"/>
  <c r="AB92" i="7" s="1"/>
  <c r="AB93" i="7" s="1"/>
  <c r="AB94" i="7" s="1"/>
  <c r="AB95" i="7" s="1"/>
  <c r="AB96" i="7" s="1"/>
  <c r="AB97" i="7" s="1"/>
  <c r="AB98" i="7" s="1"/>
  <c r="AB99" i="7" s="1"/>
  <c r="AB100" i="7" s="1"/>
  <c r="AB101" i="7" s="1"/>
  <c r="AB102" i="7" s="1"/>
  <c r="AB103" i="7" s="1"/>
  <c r="AB104" i="7" s="1"/>
  <c r="AB105" i="7" s="1"/>
  <c r="AB106" i="7" s="1"/>
  <c r="AB107" i="7" s="1"/>
  <c r="AB108" i="7" s="1"/>
  <c r="AB109" i="7" s="1"/>
  <c r="AB110" i="7" s="1"/>
  <c r="AB111" i="7" s="1"/>
  <c r="AC85" i="7" s="1"/>
  <c r="AC86" i="7" s="1"/>
  <c r="AC87" i="7" s="1"/>
  <c r="AC88" i="7" s="1"/>
  <c r="AC89" i="7" s="1"/>
  <c r="AC90" i="7" s="1"/>
  <c r="AC91" i="7" s="1"/>
  <c r="AC92" i="7" s="1"/>
  <c r="AC93" i="7" s="1"/>
  <c r="AC94" i="7" s="1"/>
  <c r="AC95" i="7" s="1"/>
  <c r="AC96" i="7" s="1"/>
  <c r="AC97" i="7" s="1"/>
  <c r="AC98" i="7" s="1"/>
  <c r="AC99" i="7" s="1"/>
  <c r="AC100" i="7" s="1"/>
  <c r="AC101" i="7" s="1"/>
  <c r="AC102" i="7" s="1"/>
  <c r="AC103" i="7" s="1"/>
  <c r="AC104" i="7" s="1"/>
  <c r="AC105" i="7" s="1"/>
  <c r="AC106" i="7" s="1"/>
  <c r="AC107" i="7" s="1"/>
  <c r="AC108" i="7" s="1"/>
  <c r="AC109" i="7" s="1"/>
  <c r="AC110" i="7" s="1"/>
  <c r="AC111" i="7" s="1"/>
  <c r="AD85" i="7" s="1"/>
  <c r="AD86" i="7" s="1"/>
  <c r="AD87" i="7" s="1"/>
  <c r="AD88" i="7" s="1"/>
  <c r="AD89" i="7" s="1"/>
  <c r="AD90" i="7" s="1"/>
  <c r="AD91" i="7" s="1"/>
  <c r="AD92" i="7" s="1"/>
  <c r="AD93" i="7" s="1"/>
  <c r="AD94" i="7" s="1"/>
  <c r="AD95" i="7" s="1"/>
  <c r="AD96" i="7" s="1"/>
  <c r="AD97" i="7" s="1"/>
  <c r="AD98" i="7" s="1"/>
  <c r="AD99" i="7" s="1"/>
  <c r="AD100" i="7" s="1"/>
  <c r="AD101" i="7" s="1"/>
  <c r="AD102" i="7" s="1"/>
  <c r="AD103" i="7" s="1"/>
  <c r="AD104" i="7" s="1"/>
  <c r="AD105" i="7" s="1"/>
  <c r="AD106" i="7" s="1"/>
  <c r="AD107" i="7" s="1"/>
  <c r="AD108" i="7" s="1"/>
  <c r="AD109" i="7" s="1"/>
  <c r="AD110" i="7" s="1"/>
  <c r="AD111" i="7" s="1"/>
  <c r="AE85" i="7" s="1"/>
  <c r="AE86" i="7" s="1"/>
  <c r="AE87" i="7" s="1"/>
  <c r="AE88" i="7" s="1"/>
  <c r="AE89" i="7" s="1"/>
  <c r="AE90" i="7" s="1"/>
  <c r="AE91" i="7" s="1"/>
  <c r="AE92" i="7" s="1"/>
  <c r="AE93" i="7" s="1"/>
  <c r="AE94" i="7" s="1"/>
  <c r="AE95" i="7" s="1"/>
  <c r="AE96" i="7" s="1"/>
  <c r="AE97" i="7" s="1"/>
  <c r="AE98" i="7" s="1"/>
  <c r="AE99" i="7" s="1"/>
  <c r="AE100" i="7" s="1"/>
  <c r="AE101" i="7" s="1"/>
  <c r="AE102" i="7" s="1"/>
  <c r="AE103" i="7" s="1"/>
  <c r="AE104" i="7" s="1"/>
  <c r="AE105" i="7" s="1"/>
  <c r="AE106" i="7" s="1"/>
  <c r="AE107" i="7" s="1"/>
  <c r="AE108" i="7" s="1"/>
  <c r="AE109" i="7" s="1"/>
  <c r="AE110" i="7" s="1"/>
  <c r="AE111" i="7" s="1"/>
  <c r="F87" i="7"/>
  <c r="F88" i="7"/>
  <c r="P88" i="7"/>
  <c r="F89" i="7"/>
  <c r="P89" i="7"/>
  <c r="F90" i="7"/>
  <c r="P90" i="7"/>
  <c r="F91" i="7"/>
  <c r="P91" i="7"/>
  <c r="F92" i="7"/>
  <c r="P92" i="7"/>
  <c r="F93" i="7"/>
  <c r="P93" i="7"/>
  <c r="F94" i="7"/>
  <c r="F95" i="7"/>
  <c r="F96" i="7"/>
  <c r="F97" i="7"/>
  <c r="F98" i="7"/>
  <c r="F99" i="7"/>
  <c r="F100" i="7"/>
  <c r="F101" i="7"/>
  <c r="F102" i="7"/>
  <c r="F108" i="7"/>
  <c r="F109" i="7"/>
  <c r="F111" i="7"/>
  <c r="F112" i="7"/>
  <c r="F113" i="7"/>
  <c r="F114" i="7"/>
  <c r="F115" i="7"/>
  <c r="F116" i="7"/>
  <c r="F117" i="7"/>
  <c r="F118" i="7"/>
  <c r="F119" i="7"/>
  <c r="F120" i="7"/>
  <c r="F121" i="7"/>
  <c r="AA142" i="7"/>
  <c r="AA143" i="7" s="1"/>
  <c r="AA144" i="7" s="1"/>
  <c r="AA145" i="7" s="1"/>
  <c r="AA146" i="7" s="1"/>
  <c r="AA147" i="7" s="1"/>
  <c r="AA148" i="7" s="1"/>
  <c r="AA149" i="7" s="1"/>
  <c r="AA150" i="7" s="1"/>
  <c r="AA151" i="7" s="1"/>
  <c r="AA152" i="7" s="1"/>
  <c r="AA153" i="7" s="1"/>
  <c r="AA154" i="7" s="1"/>
  <c r="AA155" i="7" s="1"/>
  <c r="AA156" i="7" s="1"/>
  <c r="AA157" i="7" s="1"/>
  <c r="AA158" i="7" s="1"/>
  <c r="AA159" i="7" s="1"/>
  <c r="AA160" i="7" s="1"/>
  <c r="AA161" i="7" s="1"/>
  <c r="AA162" i="7" s="1"/>
  <c r="AA163" i="7" s="1"/>
  <c r="AA164" i="7" s="1"/>
  <c r="AA165" i="7" s="1"/>
  <c r="AA166" i="7" s="1"/>
  <c r="AA167" i="7" s="1"/>
  <c r="AB141" i="7" s="1"/>
  <c r="AB142" i="7" s="1"/>
  <c r="AB143" i="7" s="1"/>
  <c r="AB144" i="7" s="1"/>
  <c r="AB145" i="7" s="1"/>
  <c r="AB146" i="7" s="1"/>
  <c r="AB147" i="7" s="1"/>
  <c r="AB148" i="7" s="1"/>
  <c r="AB149" i="7" s="1"/>
  <c r="AB150" i="7" s="1"/>
  <c r="AB151" i="7" s="1"/>
  <c r="AB152" i="7" s="1"/>
  <c r="AB153" i="7" s="1"/>
  <c r="AB154" i="7" s="1"/>
  <c r="AB155" i="7" s="1"/>
  <c r="AB156" i="7" s="1"/>
  <c r="AB157" i="7" s="1"/>
  <c r="AB158" i="7" s="1"/>
  <c r="AB159" i="7" s="1"/>
  <c r="AB160" i="7" s="1"/>
  <c r="AB161" i="7" s="1"/>
  <c r="AB162" i="7" s="1"/>
  <c r="AB163" i="7" s="1"/>
  <c r="AB164" i="7" s="1"/>
  <c r="AB165" i="7" s="1"/>
  <c r="AB166" i="7" s="1"/>
  <c r="AB167" i="7" s="1"/>
  <c r="AC141" i="7" s="1"/>
  <c r="AC142" i="7" s="1"/>
  <c r="AC143" i="7" s="1"/>
  <c r="AC144" i="7" s="1"/>
  <c r="AC145" i="7" s="1"/>
  <c r="AC146" i="7" s="1"/>
  <c r="AC147" i="7" s="1"/>
  <c r="AC148" i="7" s="1"/>
  <c r="AC149" i="7" s="1"/>
  <c r="AC150" i="7" s="1"/>
  <c r="AC151" i="7" s="1"/>
  <c r="AC152" i="7" s="1"/>
  <c r="AC153" i="7" s="1"/>
  <c r="AC154" i="7" s="1"/>
  <c r="AC155" i="7" s="1"/>
  <c r="AC156" i="7" s="1"/>
  <c r="AC157" i="7" s="1"/>
  <c r="AC158" i="7" s="1"/>
  <c r="AC159" i="7" s="1"/>
  <c r="AC160" i="7" s="1"/>
  <c r="AC161" i="7" s="1"/>
  <c r="AC162" i="7" s="1"/>
  <c r="AC163" i="7" s="1"/>
  <c r="AC164" i="7" s="1"/>
  <c r="AC165" i="7" s="1"/>
  <c r="AC166" i="7" s="1"/>
  <c r="AC167" i="7" s="1"/>
  <c r="AD141" i="7" s="1"/>
  <c r="AD142" i="7" s="1"/>
  <c r="AD143" i="7" s="1"/>
  <c r="AD144" i="7" s="1"/>
  <c r="AD145" i="7" s="1"/>
  <c r="AD146" i="7" s="1"/>
  <c r="AD147" i="7" s="1"/>
  <c r="AD148" i="7" s="1"/>
  <c r="AD149" i="7" s="1"/>
  <c r="AD150" i="7" s="1"/>
  <c r="AD151" i="7" s="1"/>
  <c r="AD152" i="7" s="1"/>
  <c r="AD153" i="7" s="1"/>
  <c r="AD154" i="7" s="1"/>
  <c r="AD155" i="7" s="1"/>
  <c r="AD156" i="7" s="1"/>
  <c r="AD157" i="7" s="1"/>
  <c r="AD158" i="7" s="1"/>
  <c r="AD159" i="7" s="1"/>
  <c r="AD160" i="7" s="1"/>
  <c r="AD161" i="7" s="1"/>
  <c r="AD162" i="7" s="1"/>
  <c r="AD163" i="7" s="1"/>
  <c r="AD164" i="7" s="1"/>
  <c r="AD165" i="7" s="1"/>
  <c r="AD166" i="7" s="1"/>
  <c r="AD167" i="7" s="1"/>
  <c r="AE141" i="7" s="1"/>
  <c r="AE142" i="7" s="1"/>
  <c r="AE143" i="7" s="1"/>
  <c r="AE144" i="7" s="1"/>
  <c r="AE145" i="7" s="1"/>
  <c r="AE146" i="7" s="1"/>
  <c r="AE147" i="7" s="1"/>
  <c r="AE148" i="7" s="1"/>
  <c r="AE149" i="7" s="1"/>
  <c r="AE150" i="7" s="1"/>
  <c r="AE151" i="7" s="1"/>
  <c r="AE152" i="7" s="1"/>
  <c r="AE153" i="7" s="1"/>
  <c r="AE154" i="7" s="1"/>
  <c r="AE155" i="7" s="1"/>
  <c r="AE156" i="7" s="1"/>
  <c r="AE157" i="7" s="1"/>
  <c r="AE158" i="7" s="1"/>
  <c r="AE159" i="7" s="1"/>
  <c r="AE160" i="7" s="1"/>
  <c r="AE161" i="7" s="1"/>
  <c r="AE162" i="7" s="1"/>
  <c r="AE163" i="7" s="1"/>
  <c r="AE164" i="7" s="1"/>
  <c r="AE165" i="7" s="1"/>
  <c r="AE166" i="7" s="1"/>
  <c r="AE167" i="7" s="1"/>
  <c r="AA198" i="7"/>
  <c r="AA199" i="7" s="1"/>
  <c r="AA200" i="7" s="1"/>
  <c r="AA201" i="7" s="1"/>
  <c r="AA202" i="7" s="1"/>
  <c r="AA203" i="7" s="1"/>
  <c r="AA204" i="7" s="1"/>
  <c r="AA205" i="7" s="1"/>
  <c r="AA206" i="7" s="1"/>
  <c r="AA207" i="7" s="1"/>
  <c r="AA208" i="7" s="1"/>
  <c r="AA209" i="7" s="1"/>
  <c r="AA210" i="7" s="1"/>
  <c r="AA211" i="7" s="1"/>
  <c r="AA212" i="7" s="1"/>
  <c r="AA213" i="7" s="1"/>
  <c r="AA214" i="7" s="1"/>
  <c r="AA215" i="7" s="1"/>
  <c r="AA216" i="7" s="1"/>
  <c r="AA217" i="7" s="1"/>
  <c r="AA218" i="7" s="1"/>
  <c r="AA219" i="7" s="1"/>
  <c r="AA220" i="7" s="1"/>
  <c r="AA221" i="7" s="1"/>
  <c r="AA222" i="7" s="1"/>
  <c r="AA223" i="7" s="1"/>
  <c r="AB197" i="7" s="1"/>
  <c r="AB198" i="7" s="1"/>
  <c r="AB199" i="7" s="1"/>
  <c r="AB200" i="7" s="1"/>
  <c r="AB201" i="7" s="1"/>
  <c r="AB202" i="7" s="1"/>
  <c r="AB203" i="7" s="1"/>
  <c r="AB204" i="7" s="1"/>
  <c r="AB205" i="7" s="1"/>
  <c r="AB206" i="7" s="1"/>
  <c r="AB207" i="7" s="1"/>
  <c r="AB208" i="7" s="1"/>
  <c r="AB209" i="7" s="1"/>
  <c r="AB210" i="7" s="1"/>
  <c r="AB211" i="7" s="1"/>
  <c r="AB212" i="7" s="1"/>
  <c r="AB213" i="7" s="1"/>
  <c r="AB214" i="7" s="1"/>
  <c r="AB215" i="7" s="1"/>
  <c r="AB216" i="7" s="1"/>
  <c r="AB217" i="7" s="1"/>
  <c r="AB218" i="7" s="1"/>
  <c r="AB219" i="7" s="1"/>
  <c r="AB220" i="7" s="1"/>
  <c r="AB221" i="7" s="1"/>
  <c r="AB222" i="7" s="1"/>
  <c r="AB223" i="7" s="1"/>
  <c r="AC197" i="7" s="1"/>
  <c r="AC198" i="7" s="1"/>
  <c r="AC199" i="7" s="1"/>
  <c r="AC200" i="7" s="1"/>
  <c r="AC201" i="7" s="1"/>
  <c r="AC202" i="7" s="1"/>
  <c r="AC203" i="7" s="1"/>
  <c r="AC204" i="7" s="1"/>
  <c r="AC205" i="7" s="1"/>
  <c r="AC206" i="7" s="1"/>
  <c r="AC207" i="7" s="1"/>
  <c r="AC208" i="7" s="1"/>
  <c r="AC209" i="7" s="1"/>
  <c r="AC210" i="7" s="1"/>
  <c r="AC211" i="7" s="1"/>
  <c r="AC212" i="7" s="1"/>
  <c r="AC213" i="7" s="1"/>
  <c r="AC214" i="7" s="1"/>
  <c r="AC215" i="7" s="1"/>
  <c r="AC216" i="7" s="1"/>
  <c r="AC217" i="7" s="1"/>
  <c r="AC218" i="7" s="1"/>
  <c r="AC219" i="7" s="1"/>
  <c r="AC220" i="7" s="1"/>
  <c r="AC221" i="7" s="1"/>
  <c r="AC222" i="7" s="1"/>
  <c r="AC223" i="7" s="1"/>
  <c r="AD197" i="7" s="1"/>
  <c r="AD198" i="7" s="1"/>
  <c r="AD199" i="7" s="1"/>
  <c r="AD200" i="7" s="1"/>
  <c r="AD201" i="7" s="1"/>
  <c r="AD202" i="7" s="1"/>
  <c r="AD203" i="7" s="1"/>
  <c r="AD204" i="7" s="1"/>
  <c r="AD205" i="7" s="1"/>
  <c r="AD206" i="7" s="1"/>
  <c r="AD207" i="7" s="1"/>
  <c r="AD208" i="7" s="1"/>
  <c r="AD209" i="7" s="1"/>
  <c r="AD210" i="7" s="1"/>
  <c r="AD211" i="7" s="1"/>
  <c r="AD212" i="7" s="1"/>
  <c r="AD213" i="7" s="1"/>
  <c r="AD214" i="7" s="1"/>
  <c r="AD215" i="7" s="1"/>
  <c r="AD216" i="7" s="1"/>
  <c r="AD217" i="7" s="1"/>
  <c r="AD218" i="7" s="1"/>
  <c r="AD219" i="7" s="1"/>
  <c r="AD220" i="7" s="1"/>
  <c r="AD221" i="7" s="1"/>
  <c r="AD222" i="7" s="1"/>
  <c r="AD223" i="7" s="1"/>
  <c r="AE197" i="7" s="1"/>
  <c r="AE198" i="7" s="1"/>
  <c r="AE199" i="7" s="1"/>
  <c r="AE200" i="7" s="1"/>
  <c r="AE201" i="7" s="1"/>
  <c r="AE202" i="7" s="1"/>
  <c r="AE203" i="7" s="1"/>
  <c r="AE204" i="7" s="1"/>
  <c r="AE205" i="7" s="1"/>
  <c r="AE206" i="7" s="1"/>
  <c r="AE207" i="7" s="1"/>
  <c r="AE208" i="7" s="1"/>
  <c r="AE209" i="7" s="1"/>
  <c r="AE210" i="7" s="1"/>
  <c r="AE211" i="7" s="1"/>
  <c r="AE212" i="7" s="1"/>
  <c r="AE213" i="7" s="1"/>
  <c r="AE214" i="7" s="1"/>
  <c r="AE215" i="7" s="1"/>
  <c r="AE216" i="7" s="1"/>
  <c r="AE217" i="7" s="1"/>
  <c r="AE218" i="7" s="1"/>
  <c r="AE219" i="7" s="1"/>
  <c r="AE220" i="7" s="1"/>
  <c r="AE221" i="7" s="1"/>
  <c r="AE222" i="7" s="1"/>
  <c r="AE223" i="7" s="1"/>
  <c r="AA254" i="7"/>
  <c r="AA255" i="7" s="1"/>
  <c r="AA256" i="7" s="1"/>
  <c r="AA257" i="7" s="1"/>
  <c r="AA258" i="7" s="1"/>
  <c r="AA259" i="7" s="1"/>
  <c r="AA260" i="7" s="1"/>
  <c r="AA261" i="7" s="1"/>
  <c r="AA262" i="7" s="1"/>
  <c r="AA263" i="7" s="1"/>
  <c r="AA264" i="7" s="1"/>
  <c r="AA265" i="7" s="1"/>
  <c r="AA266" i="7" s="1"/>
  <c r="AA267" i="7" s="1"/>
  <c r="AA268" i="7" s="1"/>
  <c r="AA269" i="7" s="1"/>
  <c r="AA270" i="7" s="1"/>
  <c r="AA271" i="7" s="1"/>
  <c r="AA272" i="7" s="1"/>
  <c r="AA273" i="7" s="1"/>
  <c r="AA274" i="7" s="1"/>
  <c r="AA275" i="7" s="1"/>
  <c r="AA276" i="7" s="1"/>
  <c r="AA277" i="7" s="1"/>
  <c r="AA278" i="7" s="1"/>
  <c r="AA279" i="7" s="1"/>
  <c r="AB253" i="7" s="1"/>
  <c r="AB254" i="7" s="1"/>
  <c r="AB255" i="7" s="1"/>
  <c r="AB256" i="7" s="1"/>
  <c r="AB257" i="7" s="1"/>
  <c r="AB258" i="7" s="1"/>
  <c r="AB259" i="7" s="1"/>
  <c r="AB260" i="7" s="1"/>
  <c r="AB261" i="7" s="1"/>
  <c r="AB262" i="7" s="1"/>
  <c r="AB263" i="7" s="1"/>
  <c r="AB264" i="7" s="1"/>
  <c r="AB265" i="7" s="1"/>
  <c r="AB266" i="7" s="1"/>
  <c r="AB267" i="7" s="1"/>
  <c r="AB268" i="7" s="1"/>
  <c r="AB269" i="7" s="1"/>
  <c r="AB270" i="7" s="1"/>
  <c r="AB271" i="7" s="1"/>
  <c r="AB272" i="7" s="1"/>
  <c r="AB273" i="7" s="1"/>
  <c r="AB274" i="7" s="1"/>
  <c r="AB275" i="7" s="1"/>
  <c r="AB276" i="7" s="1"/>
  <c r="AB277" i="7" s="1"/>
  <c r="AB278" i="7" s="1"/>
  <c r="AB279" i="7" s="1"/>
  <c r="AC253" i="7" s="1"/>
  <c r="AC254" i="7" s="1"/>
  <c r="AC255" i="7" s="1"/>
  <c r="AC256" i="7" s="1"/>
  <c r="AC257" i="7" s="1"/>
  <c r="AC258" i="7" s="1"/>
  <c r="AC259" i="7" s="1"/>
  <c r="AC260" i="7" s="1"/>
  <c r="AC261" i="7" s="1"/>
  <c r="AC262" i="7" s="1"/>
  <c r="AC263" i="7" s="1"/>
  <c r="AC264" i="7" s="1"/>
  <c r="AC265" i="7" s="1"/>
  <c r="AC266" i="7" s="1"/>
  <c r="AC267" i="7" s="1"/>
  <c r="AC268" i="7" s="1"/>
  <c r="AC269" i="7" s="1"/>
  <c r="AC270" i="7" s="1"/>
  <c r="AC271" i="7" s="1"/>
  <c r="AC272" i="7" s="1"/>
  <c r="AC273" i="7" s="1"/>
  <c r="AC274" i="7" s="1"/>
  <c r="AC275" i="7" s="1"/>
  <c r="AC276" i="7" s="1"/>
  <c r="AC277" i="7" s="1"/>
  <c r="AC278" i="7" s="1"/>
  <c r="AC279" i="7" s="1"/>
  <c r="AD253" i="7" s="1"/>
  <c r="AD254" i="7" s="1"/>
  <c r="AD255" i="7" s="1"/>
  <c r="AD256" i="7" s="1"/>
  <c r="AD257" i="7" s="1"/>
  <c r="AD258" i="7" s="1"/>
  <c r="AD259" i="7" s="1"/>
  <c r="AD260" i="7" s="1"/>
  <c r="AD261" i="7" s="1"/>
  <c r="AD262" i="7" s="1"/>
  <c r="AD263" i="7" s="1"/>
  <c r="AD264" i="7" s="1"/>
  <c r="AD265" i="7" s="1"/>
  <c r="AD266" i="7" s="1"/>
  <c r="AD267" i="7" s="1"/>
  <c r="AD268" i="7" s="1"/>
  <c r="AD269" i="7" s="1"/>
  <c r="AD270" i="7" s="1"/>
  <c r="AD271" i="7" s="1"/>
  <c r="AD272" i="7" s="1"/>
  <c r="AD273" i="7" s="1"/>
  <c r="AD274" i="7" s="1"/>
  <c r="AD275" i="7" s="1"/>
  <c r="AD276" i="7" s="1"/>
  <c r="AD277" i="7" s="1"/>
  <c r="AD278" i="7" s="1"/>
  <c r="AD279" i="7" s="1"/>
  <c r="AE253" i="7" s="1"/>
  <c r="AE254" i="7" s="1"/>
  <c r="AE255" i="7" s="1"/>
  <c r="AE256" i="7" s="1"/>
  <c r="AE257" i="7" s="1"/>
  <c r="AE258" i="7" s="1"/>
  <c r="AE259" i="7" s="1"/>
  <c r="AE260" i="7" s="1"/>
  <c r="AE261" i="7" s="1"/>
  <c r="AE262" i="7" s="1"/>
  <c r="AE263" i="7" s="1"/>
  <c r="AE264" i="7" s="1"/>
  <c r="AE265" i="7" s="1"/>
  <c r="AE266" i="7" s="1"/>
  <c r="AE267" i="7" s="1"/>
  <c r="AE268" i="7" s="1"/>
  <c r="AE269" i="7" s="1"/>
  <c r="AE270" i="7" s="1"/>
  <c r="AE271" i="7" s="1"/>
  <c r="AE272" i="7" s="1"/>
  <c r="AE273" i="7" s="1"/>
  <c r="AE274" i="7" s="1"/>
  <c r="AE275" i="7" s="1"/>
  <c r="AE276" i="7" s="1"/>
  <c r="AE277" i="7" s="1"/>
  <c r="AE278" i="7" s="1"/>
  <c r="AE279" i="7" s="1"/>
  <c r="O1" i="6"/>
  <c r="B9" i="6"/>
  <c r="H9" i="6"/>
  <c r="L9" i="6"/>
  <c r="H11" i="6"/>
  <c r="H13" i="6"/>
  <c r="H15" i="6" s="1"/>
  <c r="A17" i="6"/>
  <c r="A18" i="6"/>
  <c r="N18" i="6"/>
  <c r="O18" i="6"/>
  <c r="A19" i="6"/>
  <c r="A20" i="6"/>
  <c r="N22" i="6"/>
  <c r="N23" i="6" s="1"/>
  <c r="O22" i="6"/>
  <c r="O23" i="6" s="1"/>
  <c r="O24" i="6"/>
  <c r="N25" i="6"/>
  <c r="O25" i="6"/>
  <c r="N26" i="6"/>
  <c r="O26" i="6"/>
  <c r="N27" i="6"/>
  <c r="N28" i="6" s="1"/>
  <c r="C31" i="6"/>
  <c r="D31" i="6"/>
  <c r="E31" i="6"/>
  <c r="F31" i="6"/>
  <c r="G31" i="6"/>
  <c r="I31" i="6"/>
  <c r="J31" i="6"/>
  <c r="K31" i="6"/>
  <c r="L31" i="6"/>
  <c r="M31" i="6"/>
  <c r="N31" i="6"/>
  <c r="B36" i="6"/>
  <c r="B37" i="6" s="1"/>
  <c r="B39" i="6" s="1"/>
  <c r="H39" i="6" s="1"/>
  <c r="G168" i="44" s="1"/>
  <c r="C36" i="6"/>
  <c r="C37" i="6" s="1"/>
  <c r="C39" i="6" s="1"/>
  <c r="C40" i="6" s="1"/>
  <c r="D36" i="6"/>
  <c r="D37" i="6" s="1"/>
  <c r="D39" i="6" s="1"/>
  <c r="D40" i="6" s="1"/>
  <c r="E36" i="6"/>
  <c r="E37" i="6" s="1"/>
  <c r="E39" i="6" s="1"/>
  <c r="E40" i="6" s="1"/>
  <c r="F36" i="6"/>
  <c r="F37" i="6" s="1"/>
  <c r="F39" i="6" s="1"/>
  <c r="F40" i="6" s="1"/>
  <c r="G36" i="6"/>
  <c r="G37" i="6" s="1"/>
  <c r="G39" i="6" s="1"/>
  <c r="G40" i="6" s="1"/>
  <c r="I36" i="6"/>
  <c r="I37" i="6" s="1"/>
  <c r="I39" i="6" s="1"/>
  <c r="I40" i="6" s="1"/>
  <c r="J36" i="6"/>
  <c r="J37" i="6" s="1"/>
  <c r="J39" i="6" s="1"/>
  <c r="J40" i="6" s="1"/>
  <c r="K36" i="6"/>
  <c r="K37" i="6" s="1"/>
  <c r="K39" i="6" s="1"/>
  <c r="K40" i="6" s="1"/>
  <c r="L36" i="6"/>
  <c r="L37" i="6" s="1"/>
  <c r="L39" i="6" s="1"/>
  <c r="L40" i="6" s="1"/>
  <c r="M36" i="6"/>
  <c r="M37" i="6" s="1"/>
  <c r="M39" i="6" s="1"/>
  <c r="M40" i="6" s="1"/>
  <c r="N36" i="6"/>
  <c r="N37" i="6" s="1"/>
  <c r="N39" i="6" s="1"/>
  <c r="N40" i="6" s="1"/>
  <c r="C38" i="6"/>
  <c r="D38" i="6"/>
  <c r="E38" i="6"/>
  <c r="F38" i="6"/>
  <c r="G38" i="6"/>
  <c r="I38" i="6"/>
  <c r="J38" i="6"/>
  <c r="K38" i="6"/>
  <c r="L38" i="6"/>
  <c r="M38" i="6"/>
  <c r="N38" i="6"/>
  <c r="B43" i="6"/>
  <c r="B48" i="6" s="1"/>
  <c r="C43" i="6"/>
  <c r="C48" i="6" s="1"/>
  <c r="D43" i="6"/>
  <c r="D48" i="6" s="1"/>
  <c r="E43" i="6"/>
  <c r="E48" i="6" s="1"/>
  <c r="F43" i="6"/>
  <c r="F48" i="6" s="1"/>
  <c r="G43" i="6"/>
  <c r="G48" i="6" s="1"/>
  <c r="I43" i="6"/>
  <c r="I48" i="6" s="1"/>
  <c r="J43" i="6"/>
  <c r="J48" i="6" s="1"/>
  <c r="K43" i="6"/>
  <c r="K48" i="6" s="1"/>
  <c r="L43" i="6"/>
  <c r="L48" i="6" s="1"/>
  <c r="M43" i="6"/>
  <c r="M48" i="6" s="1"/>
  <c r="N43" i="6"/>
  <c r="N48" i="6" s="1"/>
  <c r="B45" i="6"/>
  <c r="B46" i="6" s="1"/>
  <c r="C45" i="6"/>
  <c r="C46" i="6" s="1"/>
  <c r="D45" i="6"/>
  <c r="D46" i="6" s="1"/>
  <c r="E45" i="6"/>
  <c r="E46" i="6" s="1"/>
  <c r="F45" i="6"/>
  <c r="F46" i="6" s="1"/>
  <c r="G45" i="6"/>
  <c r="G46" i="6" s="1"/>
  <c r="I45" i="6"/>
  <c r="I46" i="6" s="1"/>
  <c r="J45" i="6"/>
  <c r="J46" i="6" s="1"/>
  <c r="K45" i="6"/>
  <c r="K46" i="6" s="1"/>
  <c r="L45" i="6"/>
  <c r="L46" i="6" s="1"/>
  <c r="M45" i="6"/>
  <c r="M46" i="6" s="1"/>
  <c r="N45" i="6"/>
  <c r="N46" i="6" s="1"/>
  <c r="B51" i="6"/>
  <c r="B52" i="6" s="1"/>
  <c r="C51" i="6"/>
  <c r="C52" i="6" s="1"/>
  <c r="D51" i="6"/>
  <c r="D52" i="6" s="1"/>
  <c r="E51" i="6"/>
  <c r="E52" i="6" s="1"/>
  <c r="F51" i="6"/>
  <c r="F52" i="6" s="1"/>
  <c r="G51" i="6"/>
  <c r="G52" i="6" s="1"/>
  <c r="I51" i="6"/>
  <c r="I52" i="6" s="1"/>
  <c r="J51" i="6"/>
  <c r="J52" i="6" s="1"/>
  <c r="K51" i="6"/>
  <c r="K52" i="6" s="1"/>
  <c r="L51" i="6"/>
  <c r="L52" i="6" s="1"/>
  <c r="M51" i="6"/>
  <c r="M52" i="6" s="1"/>
  <c r="N51" i="6"/>
  <c r="N52" i="6" s="1"/>
  <c r="B54" i="6"/>
  <c r="C54" i="6"/>
  <c r="D54" i="6"/>
  <c r="E54" i="6"/>
  <c r="F54" i="6"/>
  <c r="G54" i="6"/>
  <c r="I54" i="6"/>
  <c r="J54" i="6"/>
  <c r="K54" i="6"/>
  <c r="L54" i="6"/>
  <c r="M54" i="6"/>
  <c r="N54" i="6"/>
  <c r="B55" i="6"/>
  <c r="C55" i="6"/>
  <c r="D55" i="6"/>
  <c r="E55" i="6"/>
  <c r="F55" i="6"/>
  <c r="G55" i="6"/>
  <c r="I55" i="6"/>
  <c r="J55" i="6"/>
  <c r="K55" i="6"/>
  <c r="L55" i="6"/>
  <c r="M55" i="6"/>
  <c r="N55" i="6"/>
  <c r="K1" i="4"/>
  <c r="K58" i="4" s="1"/>
  <c r="B5" i="4"/>
  <c r="B62" i="4" s="1"/>
  <c r="D5" i="4"/>
  <c r="D119" i="4" s="1"/>
  <c r="G5" i="4"/>
  <c r="G62" i="4" s="1"/>
  <c r="J7" i="4"/>
  <c r="J121" i="4" s="1"/>
  <c r="J8" i="4"/>
  <c r="J65" i="4" s="1"/>
  <c r="J9" i="4"/>
  <c r="F58" i="4"/>
  <c r="F59" i="4"/>
  <c r="F60" i="4"/>
  <c r="K74" i="4"/>
  <c r="I113" i="4"/>
  <c r="F115" i="4"/>
  <c r="F116" i="4"/>
  <c r="F117" i="4"/>
  <c r="K131" i="4"/>
  <c r="BL16" i="7" s="1"/>
  <c r="I170" i="4"/>
  <c r="H1" i="3"/>
  <c r="C7" i="3"/>
  <c r="G7" i="3"/>
  <c r="G15" i="3"/>
  <c r="J15" i="3"/>
  <c r="J17" i="3" s="1"/>
  <c r="K15" i="3"/>
  <c r="K17" i="3" s="1"/>
  <c r="G16" i="3"/>
  <c r="J16" i="3"/>
  <c r="K16" i="3"/>
  <c r="L16" i="3" s="1"/>
  <c r="E20" i="3"/>
  <c r="F20" i="3"/>
  <c r="G20" i="3"/>
  <c r="K21" i="3"/>
  <c r="E22" i="3"/>
  <c r="F22" i="3"/>
  <c r="G22" i="3"/>
  <c r="E24" i="3"/>
  <c r="F24" i="3"/>
  <c r="G24" i="3"/>
  <c r="E25" i="3"/>
  <c r="H25" i="3" s="1"/>
  <c r="K24" i="3" s="1"/>
  <c r="E33" i="3" s="1"/>
  <c r="F25" i="3"/>
  <c r="G25" i="3"/>
  <c r="E27" i="3"/>
  <c r="E28" i="3" s="1"/>
  <c r="H28" i="3" s="1"/>
  <c r="F27" i="3"/>
  <c r="F28" i="3" s="1"/>
  <c r="G27" i="3"/>
  <c r="G28" i="3" s="1"/>
  <c r="E30" i="3"/>
  <c r="G234" i="44" s="1"/>
  <c r="H30" i="3"/>
  <c r="G238" i="44" s="1"/>
  <c r="H31" i="3"/>
  <c r="G239" i="44" s="1"/>
  <c r="E32" i="3"/>
  <c r="G236" i="44" s="1"/>
  <c r="P1" i="38"/>
  <c r="G1" i="37"/>
  <c r="B7" i="37"/>
  <c r="D7" i="37"/>
  <c r="F7" i="37"/>
  <c r="B14" i="37"/>
  <c r="C14" i="37"/>
  <c r="D14" i="37"/>
  <c r="E14" i="37"/>
  <c r="F14" i="37"/>
  <c r="G14" i="37"/>
  <c r="B15" i="37"/>
  <c r="C15" i="37"/>
  <c r="D15" i="37"/>
  <c r="E15" i="37"/>
  <c r="F15" i="37"/>
  <c r="G15" i="37"/>
  <c r="B16" i="37"/>
  <c r="B37" i="37" s="1"/>
  <c r="B40" i="37" s="1"/>
  <c r="C16" i="37"/>
  <c r="C37" i="37" s="1"/>
  <c r="D16" i="37"/>
  <c r="D37" i="37" s="1"/>
  <c r="D40" i="37" s="1"/>
  <c r="E16" i="37"/>
  <c r="E37" i="37" s="1"/>
  <c r="F16" i="37"/>
  <c r="F37" i="37" s="1"/>
  <c r="G16" i="37"/>
  <c r="G37" i="37" s="1"/>
  <c r="B35" i="37"/>
  <c r="B36" i="37" s="1"/>
  <c r="C35" i="37"/>
  <c r="C36" i="37" s="1"/>
  <c r="D35" i="37"/>
  <c r="D36" i="37" s="1"/>
  <c r="E35" i="37"/>
  <c r="E36" i="37" s="1"/>
  <c r="F35" i="37"/>
  <c r="F36" i="37" s="1"/>
  <c r="G35" i="37"/>
  <c r="G36" i="37" s="1"/>
  <c r="B39" i="37"/>
  <c r="C39" i="37"/>
  <c r="D39" i="37"/>
  <c r="E39" i="37"/>
  <c r="F39" i="37"/>
  <c r="G39" i="37"/>
  <c r="C40" i="37"/>
  <c r="E40" i="37"/>
  <c r="F40" i="37"/>
  <c r="G40" i="37"/>
  <c r="N3" i="2"/>
  <c r="Q3" i="2"/>
  <c r="N5" i="2"/>
  <c r="N4" i="2" s="1"/>
  <c r="O7" i="1"/>
  <c r="O8" i="1"/>
  <c r="R10" i="1"/>
  <c r="C14" i="1"/>
  <c r="B11" i="6" s="1"/>
  <c r="Q14" i="1"/>
  <c r="E8" i="26" s="1"/>
  <c r="C15" i="1"/>
  <c r="B9" i="37" s="1"/>
  <c r="H18" i="1"/>
  <c r="B15" i="6" s="1"/>
  <c r="I21" i="1"/>
  <c r="H23" i="1"/>
  <c r="F193" i="44" s="1"/>
  <c r="H24" i="1"/>
  <c r="F194" i="44" s="1"/>
  <c r="O24" i="1"/>
  <c r="O68" i="1" s="1"/>
  <c r="G117" i="44" s="1"/>
  <c r="H25" i="1"/>
  <c r="F195" i="44" s="1"/>
  <c r="H26" i="1"/>
  <c r="F196" i="44" s="1"/>
  <c r="H27" i="1"/>
  <c r="F197" i="44" s="1"/>
  <c r="H28" i="1"/>
  <c r="F198" i="44" s="1"/>
  <c r="R28" i="1"/>
  <c r="F32" i="1"/>
  <c r="G32" i="1" s="1"/>
  <c r="G34" i="1" s="1"/>
  <c r="P32" i="1"/>
  <c r="P34" i="1" s="1"/>
  <c r="O59" i="1" s="1"/>
  <c r="G108" i="44" s="1"/>
  <c r="F33" i="1"/>
  <c r="G33" i="1" s="1"/>
  <c r="H33" i="1" s="1"/>
  <c r="P33" i="1"/>
  <c r="I34" i="1"/>
  <c r="F91" i="1" s="1"/>
  <c r="G29" i="44" s="1"/>
  <c r="K34" i="1"/>
  <c r="L34" i="1"/>
  <c r="B96" i="1" s="1"/>
  <c r="G30" i="44" s="1"/>
  <c r="M34" i="1"/>
  <c r="F86" i="1" s="1"/>
  <c r="G26" i="44" s="1"/>
  <c r="F35" i="1"/>
  <c r="G35" i="1" s="1"/>
  <c r="P35" i="1"/>
  <c r="P37" i="1" s="1"/>
  <c r="B87" i="1" s="1"/>
  <c r="G34" i="44" s="1"/>
  <c r="F36" i="1"/>
  <c r="G36" i="1" s="1"/>
  <c r="H36" i="1" s="1"/>
  <c r="P36" i="1"/>
  <c r="I37" i="1"/>
  <c r="J37" i="1" s="1"/>
  <c r="D87" i="1" s="1"/>
  <c r="G35" i="44" s="1"/>
  <c r="K37" i="1"/>
  <c r="L37" i="1"/>
  <c r="O37" i="1" s="1"/>
  <c r="D97" i="1" s="1"/>
  <c r="G41" i="44" s="1"/>
  <c r="M37" i="1"/>
  <c r="F87" i="1" s="1"/>
  <c r="G36" i="44" s="1"/>
  <c r="F38" i="1"/>
  <c r="G38" i="1" s="1"/>
  <c r="G40" i="1" s="1"/>
  <c r="P38" i="1"/>
  <c r="P40" i="1" s="1"/>
  <c r="B88" i="1" s="1"/>
  <c r="G44" i="44" s="1"/>
  <c r="F39" i="1"/>
  <c r="G39" i="1" s="1"/>
  <c r="H39" i="1" s="1"/>
  <c r="P39" i="1"/>
  <c r="I40" i="1"/>
  <c r="F93" i="1" s="1"/>
  <c r="G49" i="44" s="1"/>
  <c r="K40" i="1"/>
  <c r="L40" i="1"/>
  <c r="Q40" i="1" s="1"/>
  <c r="F98" i="1" s="1"/>
  <c r="G52" i="44" s="1"/>
  <c r="M40" i="1"/>
  <c r="N40" i="1" s="1"/>
  <c r="B93" i="1" s="1"/>
  <c r="G47" i="44" s="1"/>
  <c r="F41" i="1"/>
  <c r="G41" i="1" s="1"/>
  <c r="P41" i="1"/>
  <c r="P43" i="1" s="1"/>
  <c r="B89" i="1" s="1"/>
  <c r="G54" i="44" s="1"/>
  <c r="F42" i="1"/>
  <c r="G42" i="1" s="1"/>
  <c r="H42" i="1" s="1"/>
  <c r="P42" i="1"/>
  <c r="I43" i="1"/>
  <c r="J43" i="1" s="1"/>
  <c r="D89" i="1" s="1"/>
  <c r="G55" i="44" s="1"/>
  <c r="K43" i="1"/>
  <c r="L43" i="1"/>
  <c r="Q43" i="1" s="1"/>
  <c r="F99" i="1" s="1"/>
  <c r="G62" i="44" s="1"/>
  <c r="M43" i="1"/>
  <c r="F89" i="1" s="1"/>
  <c r="G56" i="44" s="1"/>
  <c r="F47" i="1"/>
  <c r="G47" i="1" s="1"/>
  <c r="P47" i="1"/>
  <c r="P49" i="1" s="1"/>
  <c r="U47" i="1"/>
  <c r="U49" i="1" s="1"/>
  <c r="O60" i="1" s="1"/>
  <c r="W47" i="1"/>
  <c r="X47" i="1" s="1"/>
  <c r="F48" i="1"/>
  <c r="G48" i="1" s="1"/>
  <c r="H48" i="1" s="1"/>
  <c r="P48" i="1"/>
  <c r="U48" i="1"/>
  <c r="W48" i="1"/>
  <c r="I49" i="1"/>
  <c r="J49" i="1" s="1"/>
  <c r="K49" i="1"/>
  <c r="L49" i="1"/>
  <c r="Q49" i="1" s="1"/>
  <c r="M49" i="1"/>
  <c r="N49" i="1" s="1"/>
  <c r="T52" i="1"/>
  <c r="F141" i="44" s="1"/>
  <c r="U52" i="1"/>
  <c r="T53" i="1"/>
  <c r="F142" i="44" s="1"/>
  <c r="U53" i="1"/>
  <c r="T54" i="1"/>
  <c r="F143" i="44" s="1"/>
  <c r="U54" i="1"/>
  <c r="U55" i="1"/>
  <c r="G144" i="44" s="1"/>
  <c r="U56" i="1"/>
  <c r="F145" i="44" s="1"/>
  <c r="U57" i="1"/>
  <c r="F146" i="44" s="1"/>
  <c r="S58" i="1"/>
  <c r="F140" i="44" s="1"/>
  <c r="T58" i="1"/>
  <c r="U58" i="1"/>
  <c r="S61" i="1"/>
  <c r="T61" i="1"/>
  <c r="G68" i="44" s="1"/>
  <c r="S62" i="1"/>
  <c r="T62" i="1"/>
  <c r="G69" i="44" s="1"/>
  <c r="O63" i="1"/>
  <c r="G112" i="44" s="1"/>
  <c r="S63" i="1"/>
  <c r="T63" i="1"/>
  <c r="G70" i="44" s="1"/>
  <c r="S64" i="1"/>
  <c r="T64" i="1"/>
  <c r="G71" i="44" s="1"/>
  <c r="S65" i="1"/>
  <c r="T65" i="1"/>
  <c r="G72" i="44" s="1"/>
  <c r="S66" i="1"/>
  <c r="T66" i="1"/>
  <c r="G73" i="44" s="1"/>
  <c r="S67" i="1"/>
  <c r="T67" i="1"/>
  <c r="G74" i="44" s="1"/>
  <c r="S68" i="1"/>
  <c r="T68" i="1"/>
  <c r="G75" i="44" s="1"/>
  <c r="S69" i="1"/>
  <c r="T69" i="1"/>
  <c r="G76" i="44" s="1"/>
  <c r="S70" i="1"/>
  <c r="T70" i="1"/>
  <c r="G77" i="44" s="1"/>
  <c r="S71" i="1"/>
  <c r="T71" i="1"/>
  <c r="G78" i="44" s="1"/>
  <c r="S72" i="1"/>
  <c r="T72" i="1"/>
  <c r="G79" i="44" s="1"/>
  <c r="S73" i="1"/>
  <c r="T73" i="1"/>
  <c r="G80" i="44" s="1"/>
  <c r="O74" i="1"/>
  <c r="G123" i="44" s="1"/>
  <c r="S74" i="1"/>
  <c r="T74" i="1"/>
  <c r="G81" i="44" s="1"/>
  <c r="O75" i="1"/>
  <c r="F124" i="44" s="1"/>
  <c r="L78" i="1"/>
  <c r="A86" i="1"/>
  <c r="C86" i="1"/>
  <c r="C103" i="1" s="1"/>
  <c r="D103" i="1" s="1"/>
  <c r="E86" i="1"/>
  <c r="E103" i="1" s="1"/>
  <c r="F103" i="1" s="1"/>
  <c r="A87" i="1"/>
  <c r="G33" i="44" s="1"/>
  <c r="C87" i="1"/>
  <c r="E87" i="1"/>
  <c r="A88" i="1"/>
  <c r="G43" i="44" s="1"/>
  <c r="C88" i="1"/>
  <c r="E88" i="1"/>
  <c r="A89" i="1"/>
  <c r="G53" i="44" s="1"/>
  <c r="C89" i="1"/>
  <c r="C104" i="1" s="1"/>
  <c r="D104" i="1" s="1"/>
  <c r="E89" i="1"/>
  <c r="E104" i="1" s="1"/>
  <c r="F104" i="1" s="1"/>
  <c r="G89" i="1"/>
  <c r="H89" i="1"/>
  <c r="G90" i="1"/>
  <c r="H90" i="1"/>
  <c r="A91" i="1"/>
  <c r="A106" i="1" s="1"/>
  <c r="C91" i="1"/>
  <c r="E91" i="1"/>
  <c r="G91" i="1"/>
  <c r="H91" i="1"/>
  <c r="A92" i="1"/>
  <c r="C92" i="1"/>
  <c r="E92" i="1"/>
  <c r="G92" i="1"/>
  <c r="H92" i="1"/>
  <c r="A93" i="1"/>
  <c r="C93" i="1"/>
  <c r="E93" i="1"/>
  <c r="G93" i="1"/>
  <c r="H93" i="1"/>
  <c r="A94" i="1"/>
  <c r="A109" i="1" s="1"/>
  <c r="C94" i="1"/>
  <c r="E94" i="1"/>
  <c r="G94" i="1"/>
  <c r="H94" i="1"/>
  <c r="A96" i="1"/>
  <c r="C96" i="1"/>
  <c r="E96" i="1"/>
  <c r="C106" i="1" s="1"/>
  <c r="D106" i="1" s="1"/>
  <c r="A97" i="1"/>
  <c r="C97" i="1"/>
  <c r="E97" i="1"/>
  <c r="A98" i="1"/>
  <c r="C98" i="1"/>
  <c r="E98" i="1"/>
  <c r="A99" i="1"/>
  <c r="C99" i="1"/>
  <c r="E99" i="1"/>
  <c r="A113" i="1"/>
  <c r="C113" i="1"/>
  <c r="J113" i="1"/>
  <c r="L113" i="1"/>
  <c r="A114" i="1"/>
  <c r="C114" i="1"/>
  <c r="J114" i="1"/>
  <c r="L114" i="1"/>
  <c r="A115" i="1"/>
  <c r="C115" i="1"/>
  <c r="J115" i="1"/>
  <c r="L115" i="1"/>
  <c r="A116" i="1"/>
  <c r="C116" i="1"/>
  <c r="J116" i="1"/>
  <c r="L116" i="1"/>
  <c r="A117" i="1"/>
  <c r="C117" i="1"/>
  <c r="J117" i="1"/>
  <c r="L117" i="1"/>
  <c r="A118" i="1"/>
  <c r="C118" i="1"/>
  <c r="J118" i="1"/>
  <c r="L118" i="1"/>
  <c r="H20" i="7"/>
  <c r="H21" i="7"/>
  <c r="H9" i="7"/>
  <c r="H16" i="7"/>
  <c r="H17" i="7"/>
  <c r="H12" i="7"/>
  <c r="H2" i="7"/>
  <c r="J6" i="41"/>
  <c r="D6" i="41"/>
  <c r="L6" i="41"/>
  <c r="N6" i="41"/>
  <c r="B6" i="41"/>
  <c r="H6" i="41"/>
  <c r="P6" i="41"/>
  <c r="F6" i="41"/>
  <c r="H6" i="7" l="1"/>
  <c r="H19" i="7"/>
  <c r="F18" i="38" a="1"/>
  <c r="F18" i="38" s="1"/>
  <c r="D50" i="39"/>
  <c r="H29" i="7"/>
  <c r="H27" i="7"/>
  <c r="H23" i="7"/>
  <c r="H24" i="7"/>
  <c r="L15" i="3"/>
  <c r="L17" i="3" s="1"/>
  <c r="C30" i="3" s="1"/>
  <c r="G230" i="44" s="1"/>
  <c r="J122" i="4"/>
  <c r="H11" i="7"/>
  <c r="I94" i="1"/>
  <c r="X48" i="1"/>
  <c r="O70" i="1" s="1"/>
  <c r="G119" i="44" s="1"/>
  <c r="D62" i="4"/>
  <c r="S52" i="7"/>
  <c r="V52" i="7" s="1"/>
  <c r="J64" i="4"/>
  <c r="E31" i="3"/>
  <c r="G235" i="44" s="1"/>
  <c r="I91" i="1"/>
  <c r="D12" i="29"/>
  <c r="B12" i="29" s="1"/>
  <c r="C12" i="29" s="1"/>
  <c r="O39" i="6"/>
  <c r="G174" i="44" s="1"/>
  <c r="H116" i="1"/>
  <c r="O54" i="6"/>
  <c r="N57" i="6" s="1"/>
  <c r="O55" i="6"/>
  <c r="G178" i="44" s="1"/>
  <c r="H117" i="1"/>
  <c r="S53" i="7"/>
  <c r="U53" i="7" s="1"/>
  <c r="C6" i="4"/>
  <c r="C120" i="4" s="1"/>
  <c r="D11" i="29"/>
  <c r="B11" i="29" s="1"/>
  <c r="C11" i="29" s="1"/>
  <c r="U67" i="1"/>
  <c r="B8" i="37"/>
  <c r="J97" i="1"/>
  <c r="J98" i="1" s="1"/>
  <c r="H97" i="1"/>
  <c r="H98" i="1" s="1"/>
  <c r="I98" i="1"/>
  <c r="O65" i="1"/>
  <c r="A17" i="1"/>
  <c r="I93" i="1"/>
  <c r="I90" i="1"/>
  <c r="G8" i="29"/>
  <c r="S5" i="2"/>
  <c r="D13" i="29"/>
  <c r="B13" i="29" s="1"/>
  <c r="C13" i="29" s="1"/>
  <c r="J34" i="1"/>
  <c r="D86" i="1" s="1"/>
  <c r="G25" i="44" s="1"/>
  <c r="S51" i="7"/>
  <c r="U51" i="7" s="1"/>
  <c r="N37" i="1"/>
  <c r="B92" i="1" s="1"/>
  <c r="G37" i="44" s="1"/>
  <c r="B97" i="1"/>
  <c r="G40" i="44" s="1"/>
  <c r="O40" i="1"/>
  <c r="D98" i="1" s="1"/>
  <c r="G51" i="44" s="1"/>
  <c r="B98" i="1"/>
  <c r="G50" i="44" s="1"/>
  <c r="H113" i="1"/>
  <c r="E48" i="7"/>
  <c r="G8" i="26" s="1"/>
  <c r="BB3" i="7"/>
  <c r="BB9" i="7"/>
  <c r="BB16" i="7"/>
  <c r="BB10" i="7"/>
  <c r="BB4" i="7"/>
  <c r="BB5" i="7"/>
  <c r="BB11" i="7"/>
  <c r="BB15" i="7"/>
  <c r="BB12" i="7"/>
  <c r="BB13" i="7"/>
  <c r="BB6" i="7"/>
  <c r="G119" i="4"/>
  <c r="Y1" i="7"/>
  <c r="Y2" i="7"/>
  <c r="C20" i="1" s="1"/>
  <c r="D8" i="29" s="1"/>
  <c r="BB14" i="7"/>
  <c r="BB7" i="7"/>
  <c r="H52" i="6"/>
  <c r="G170" i="44" s="1"/>
  <c r="O46" i="6"/>
  <c r="G175" i="44" s="1"/>
  <c r="H46" i="6"/>
  <c r="G169" i="44" s="1"/>
  <c r="D9" i="29"/>
  <c r="B9" i="29" s="1"/>
  <c r="C9" i="29" s="1"/>
  <c r="B12" i="6"/>
  <c r="H4" i="7"/>
  <c r="H38" i="1"/>
  <c r="H40" i="1" s="1"/>
  <c r="D93" i="1" s="1"/>
  <c r="G48" i="44" s="1"/>
  <c r="C7" i="4"/>
  <c r="C121" i="4" s="1"/>
  <c r="O49" i="1"/>
  <c r="A107" i="1"/>
  <c r="N43" i="1"/>
  <c r="B94" i="1" s="1"/>
  <c r="G57" i="44" s="1"/>
  <c r="H55" i="6"/>
  <c r="G172" i="44" s="1"/>
  <c r="Q8" i="19"/>
  <c r="Q34" i="1"/>
  <c r="F96" i="1" s="1"/>
  <c r="G32" i="44" s="1"/>
  <c r="S50" i="7"/>
  <c r="V50" i="7" s="1"/>
  <c r="H115" i="1"/>
  <c r="I92" i="1"/>
  <c r="E8" i="29"/>
  <c r="Q37" i="1"/>
  <c r="F97" i="1" s="1"/>
  <c r="G42" i="44" s="1"/>
  <c r="B40" i="6"/>
  <c r="N8" i="19"/>
  <c r="K18" i="1"/>
  <c r="AC8" i="26" s="1"/>
  <c r="B86" i="1"/>
  <c r="G24" i="44" s="1"/>
  <c r="J40" i="1"/>
  <c r="D88" i="1" s="1"/>
  <c r="G45" i="44" s="1"/>
  <c r="O66" i="1"/>
  <c r="G115" i="44" s="1"/>
  <c r="I15" i="1"/>
  <c r="B10" i="37" s="1"/>
  <c r="H118" i="1"/>
  <c r="S54" i="7"/>
  <c r="F88" i="1"/>
  <c r="G46" i="44" s="1"/>
  <c r="D14" i="29"/>
  <c r="B14" i="29" s="1"/>
  <c r="C14" i="29" s="1"/>
  <c r="O43" i="1"/>
  <c r="D99" i="1" s="1"/>
  <c r="G61" i="44" s="1"/>
  <c r="F94" i="1"/>
  <c r="G59" i="44" s="1"/>
  <c r="O52" i="6"/>
  <c r="G176" i="44" s="1"/>
  <c r="H32" i="3"/>
  <c r="G240" i="44" s="1"/>
  <c r="G237" i="44"/>
  <c r="H41" i="1"/>
  <c r="H43" i="1" s="1"/>
  <c r="D94" i="1" s="1"/>
  <c r="G58" i="44" s="1"/>
  <c r="G43" i="1"/>
  <c r="H47" i="1"/>
  <c r="H49" i="1" s="1"/>
  <c r="G49" i="1"/>
  <c r="A103" i="1"/>
  <c r="B103" i="1" s="1"/>
  <c r="G23" i="44"/>
  <c r="Q8" i="26"/>
  <c r="G109" i="44"/>
  <c r="B15" i="39"/>
  <c r="B15" i="43"/>
  <c r="H114" i="1"/>
  <c r="D10" i="29"/>
  <c r="B10" i="29" s="1"/>
  <c r="C10" i="29" s="1"/>
  <c r="H32" i="1"/>
  <c r="H34" i="1" s="1"/>
  <c r="A108" i="1"/>
  <c r="O34" i="1"/>
  <c r="B12" i="39"/>
  <c r="B12" i="43"/>
  <c r="H54" i="6"/>
  <c r="G171" i="44" s="1"/>
  <c r="BL14" i="7"/>
  <c r="B119" i="4"/>
  <c r="F92" i="1"/>
  <c r="G39" i="44" s="1"/>
  <c r="S49" i="7"/>
  <c r="B11" i="39"/>
  <c r="B11" i="43"/>
  <c r="D54" i="1"/>
  <c r="L48" i="7"/>
  <c r="T14" i="7" s="1"/>
  <c r="N2" i="7"/>
  <c r="N3" i="7" s="1"/>
  <c r="N4" i="7" s="1"/>
  <c r="N5" i="7" s="1"/>
  <c r="N6" i="7" s="1"/>
  <c r="N7" i="7" s="1"/>
  <c r="N8" i="7" s="1"/>
  <c r="N9" i="7" s="1"/>
  <c r="N10" i="7" s="1"/>
  <c r="N11" i="7" s="1"/>
  <c r="N12" i="7" s="1"/>
  <c r="N13" i="7" s="1"/>
  <c r="N14" i="7" s="1"/>
  <c r="N15" i="7" s="1"/>
  <c r="N16" i="7" s="1"/>
  <c r="N17" i="7" s="1"/>
  <c r="N18" i="7" s="1"/>
  <c r="N19" i="7" s="1"/>
  <c r="N20" i="7" s="1"/>
  <c r="N21" i="7" s="1"/>
  <c r="N22" i="7" s="1"/>
  <c r="N23" i="7" s="1"/>
  <c r="N24" i="7" s="1"/>
  <c r="N25" i="7" s="1"/>
  <c r="N26" i="7" s="1"/>
  <c r="N27" i="7" s="1"/>
  <c r="O1" i="7" s="1"/>
  <c r="O2" i="7" s="1"/>
  <c r="O3" i="7" s="1"/>
  <c r="O4" i="7" s="1"/>
  <c r="O5" i="7" s="1"/>
  <c r="O6" i="7" s="1"/>
  <c r="O7" i="7" s="1"/>
  <c r="O8" i="7" s="1"/>
  <c r="O9" i="7" s="1"/>
  <c r="O10" i="7" s="1"/>
  <c r="O11" i="7" s="1"/>
  <c r="O12" i="7" s="1"/>
  <c r="O13" i="7" s="1"/>
  <c r="O14" i="7" s="1"/>
  <c r="O15" i="7" s="1"/>
  <c r="O16" i="7" s="1"/>
  <c r="O17" i="7" s="1"/>
  <c r="O18" i="7" s="1"/>
  <c r="O19" i="7" s="1"/>
  <c r="O20" i="7" s="1"/>
  <c r="O21" i="7" s="1"/>
  <c r="O22" i="7" s="1"/>
  <c r="O23" i="7" s="1"/>
  <c r="O24" i="7" s="1"/>
  <c r="O25" i="7" s="1"/>
  <c r="O26" i="7" s="1"/>
  <c r="O27" i="7" s="1"/>
  <c r="P1" i="7" s="1"/>
  <c r="P2" i="7" s="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Q1" i="7" s="1"/>
  <c r="Q2" i="7" s="1"/>
  <c r="Q3" i="7" s="1"/>
  <c r="Q4" i="7" s="1"/>
  <c r="Q5" i="7" s="1"/>
  <c r="Q6" i="7" s="1"/>
  <c r="Q7" i="7" s="1"/>
  <c r="Q8" i="7" s="1"/>
  <c r="Q9" i="7" s="1"/>
  <c r="Q10" i="7" s="1"/>
  <c r="Q11" i="7" s="1"/>
  <c r="Q12" i="7" s="1"/>
  <c r="Q13" i="7" s="1"/>
  <c r="Q14" i="7" s="1"/>
  <c r="Q15" i="7" s="1"/>
  <c r="Q16" i="7" s="1"/>
  <c r="Q17" i="7" s="1"/>
  <c r="Q18" i="7" s="1"/>
  <c r="Q19" i="7" s="1"/>
  <c r="Q20" i="7" s="1"/>
  <c r="Q21" i="7" s="1"/>
  <c r="Q22" i="7" s="1"/>
  <c r="Q23" i="7" s="1"/>
  <c r="Q24" i="7" s="1"/>
  <c r="Q25" i="7" s="1"/>
  <c r="Q26" i="7" s="1"/>
  <c r="Q27" i="7" s="1"/>
  <c r="R1" i="7" s="1"/>
  <c r="R2" i="7" s="1"/>
  <c r="R3" i="7" s="1"/>
  <c r="R4" i="7" s="1"/>
  <c r="R5" i="7" s="1"/>
  <c r="R6" i="7" s="1"/>
  <c r="R7" i="7" s="1"/>
  <c r="R8" i="7" s="1"/>
  <c r="R9" i="7" s="1"/>
  <c r="R10" i="7" s="1"/>
  <c r="R11" i="7" s="1"/>
  <c r="R12" i="7" s="1"/>
  <c r="R13" i="7" s="1"/>
  <c r="R14" i="7" s="1"/>
  <c r="R15" i="7" s="1"/>
  <c r="R16" i="7" s="1"/>
  <c r="R17" i="7" s="1"/>
  <c r="R18" i="7" s="1"/>
  <c r="R19" i="7" s="1"/>
  <c r="R20" i="7" s="1"/>
  <c r="R21" i="7" s="1"/>
  <c r="R22" i="7" s="1"/>
  <c r="R23" i="7" s="1"/>
  <c r="R24" i="7" s="1"/>
  <c r="R25" i="7" s="1"/>
  <c r="R26" i="7" s="1"/>
  <c r="R27" i="7" s="1"/>
  <c r="AA1" i="7" s="1"/>
  <c r="AA2" i="7" s="1"/>
  <c r="AA3" i="7" s="1"/>
  <c r="AA4" i="7" s="1"/>
  <c r="AA5" i="7" s="1"/>
  <c r="AA6" i="7" s="1"/>
  <c r="AA7" i="7" s="1"/>
  <c r="AA8" i="7" s="1"/>
  <c r="AA9" i="7" s="1"/>
  <c r="AA10" i="7" s="1"/>
  <c r="AA11" i="7" s="1"/>
  <c r="AA12" i="7" s="1"/>
  <c r="AA13" i="7" s="1"/>
  <c r="AA14" i="7" s="1"/>
  <c r="AA15" i="7" s="1"/>
  <c r="AA16" i="7" s="1"/>
  <c r="AA17" i="7" s="1"/>
  <c r="AA18" i="7" s="1"/>
  <c r="AA19" i="7" s="1"/>
  <c r="AA20" i="7" s="1"/>
  <c r="AA21" i="7" s="1"/>
  <c r="AA22" i="7" s="1"/>
  <c r="AA23" i="7" s="1"/>
  <c r="AA24" i="7" s="1"/>
  <c r="AA25" i="7" s="1"/>
  <c r="AA26" i="7" s="1"/>
  <c r="AA27" i="7" s="1"/>
  <c r="AB1" i="7" s="1"/>
  <c r="AB2" i="7" s="1"/>
  <c r="AB3" i="7" s="1"/>
  <c r="AB4" i="7" s="1"/>
  <c r="AB5" i="7" s="1"/>
  <c r="AB6" i="7" s="1"/>
  <c r="AB7" i="7" s="1"/>
  <c r="AB8" i="7" s="1"/>
  <c r="AB9" i="7" s="1"/>
  <c r="AB10" i="7" s="1"/>
  <c r="AB11" i="7" s="1"/>
  <c r="AB12" i="7" s="1"/>
  <c r="AB13" i="7" s="1"/>
  <c r="AB14" i="7" s="1"/>
  <c r="AB15" i="7" s="1"/>
  <c r="AB16" i="7" s="1"/>
  <c r="AB17" i="7" s="1"/>
  <c r="AB18" i="7" s="1"/>
  <c r="AB19" i="7" s="1"/>
  <c r="AB20" i="7" s="1"/>
  <c r="AB21" i="7" s="1"/>
  <c r="AB22" i="7" s="1"/>
  <c r="AB23" i="7" s="1"/>
  <c r="AB24" i="7" s="1"/>
  <c r="AB25" i="7" s="1"/>
  <c r="AB26" i="7" s="1"/>
  <c r="AB27" i="7" s="1"/>
  <c r="AC1" i="7" s="1"/>
  <c r="AC2" i="7" s="1"/>
  <c r="AC3" i="7" s="1"/>
  <c r="AC4" i="7" s="1"/>
  <c r="AC5" i="7" s="1"/>
  <c r="AC6" i="7" s="1"/>
  <c r="AC7" i="7" s="1"/>
  <c r="AC8" i="7" s="1"/>
  <c r="AC9" i="7" s="1"/>
  <c r="AC10" i="7" s="1"/>
  <c r="AC11" i="7" s="1"/>
  <c r="AC12" i="7" s="1"/>
  <c r="AC13" i="7" s="1"/>
  <c r="AC14" i="7" s="1"/>
  <c r="AC15" i="7" s="1"/>
  <c r="AC16" i="7" s="1"/>
  <c r="AC17" i="7" s="1"/>
  <c r="AC18" i="7" s="1"/>
  <c r="AC19" i="7" s="1"/>
  <c r="AC20" i="7" s="1"/>
  <c r="AC21" i="7" s="1"/>
  <c r="AC22" i="7" s="1"/>
  <c r="AC23" i="7" s="1"/>
  <c r="AC24" i="7" s="1"/>
  <c r="AC25" i="7" s="1"/>
  <c r="AC26" i="7" s="1"/>
  <c r="AC27" i="7" s="1"/>
  <c r="AD1" i="7" s="1"/>
  <c r="AD2" i="7" s="1"/>
  <c r="AD3" i="7" s="1"/>
  <c r="AD4" i="7" s="1"/>
  <c r="AD5" i="7" s="1"/>
  <c r="AD6" i="7" s="1"/>
  <c r="AD7" i="7" s="1"/>
  <c r="AD8" i="7" s="1"/>
  <c r="AD9" i="7" s="1"/>
  <c r="AD10" i="7" s="1"/>
  <c r="AD11" i="7" s="1"/>
  <c r="AD12" i="7" s="1"/>
  <c r="AD13" i="7" s="1"/>
  <c r="AD14" i="7" s="1"/>
  <c r="AD15" i="7" s="1"/>
  <c r="AD16" i="7" s="1"/>
  <c r="AD17" i="7" s="1"/>
  <c r="AD18" i="7" s="1"/>
  <c r="AD19" i="7" s="1"/>
  <c r="AD20" i="7" s="1"/>
  <c r="AD21" i="7" s="1"/>
  <c r="AD22" i="7" s="1"/>
  <c r="AD23" i="7" s="1"/>
  <c r="AD24" i="7" s="1"/>
  <c r="AD25" i="7" s="1"/>
  <c r="AD26" i="7" s="1"/>
  <c r="AD27" i="7" s="1"/>
  <c r="AE1" i="7" s="1"/>
  <c r="AE2" i="7" s="1"/>
  <c r="AE3" i="7" s="1"/>
  <c r="AE4" i="7" s="1"/>
  <c r="AE5" i="7" s="1"/>
  <c r="AE6" i="7" s="1"/>
  <c r="AE7" i="7" s="1"/>
  <c r="AE8" i="7" s="1"/>
  <c r="AE9" i="7" s="1"/>
  <c r="AE10" i="7" s="1"/>
  <c r="AE11" i="7" s="1"/>
  <c r="AE12" i="7" s="1"/>
  <c r="AE13" i="7" s="1"/>
  <c r="AE14" i="7" s="1"/>
  <c r="AE15" i="7" s="1"/>
  <c r="AE16" i="7" s="1"/>
  <c r="AE17" i="7" s="1"/>
  <c r="AE18" i="7" s="1"/>
  <c r="AE19" i="7" s="1"/>
  <c r="AE20" i="7" s="1"/>
  <c r="AE21" i="7" s="1"/>
  <c r="AE22" i="7" s="1"/>
  <c r="AE23" i="7" s="1"/>
  <c r="AE24" i="7" s="1"/>
  <c r="AE25" i="7" s="1"/>
  <c r="AE26" i="7" s="1"/>
  <c r="AE27" i="7" s="1"/>
  <c r="AA57" i="7" s="1"/>
  <c r="AA58" i="7" s="1"/>
  <c r="AA59" i="7" s="1"/>
  <c r="AA60" i="7" s="1"/>
  <c r="AA61" i="7" s="1"/>
  <c r="AA62" i="7" s="1"/>
  <c r="AA63" i="7" s="1"/>
  <c r="AA64" i="7" s="1"/>
  <c r="AA65" i="7" s="1"/>
  <c r="AA66" i="7" s="1"/>
  <c r="AA67" i="7" s="1"/>
  <c r="AA68" i="7" s="1"/>
  <c r="AA69" i="7" s="1"/>
  <c r="AA70" i="7" s="1"/>
  <c r="AA71" i="7" s="1"/>
  <c r="AA72" i="7" s="1"/>
  <c r="AA73" i="7" s="1"/>
  <c r="AA74" i="7" s="1"/>
  <c r="AA75" i="7" s="1"/>
  <c r="AA76" i="7" s="1"/>
  <c r="AA77" i="7" s="1"/>
  <c r="AA78" i="7" s="1"/>
  <c r="AA79" i="7" s="1"/>
  <c r="AA80" i="7" s="1"/>
  <c r="AA81" i="7" s="1"/>
  <c r="AA82" i="7" s="1"/>
  <c r="AA83" i="7" s="1"/>
  <c r="AB57" i="7" s="1"/>
  <c r="AB58" i="7" s="1"/>
  <c r="AB59" i="7" s="1"/>
  <c r="AB60" i="7" s="1"/>
  <c r="AB61" i="7" s="1"/>
  <c r="AB62" i="7" s="1"/>
  <c r="AB63" i="7" s="1"/>
  <c r="AB64" i="7" s="1"/>
  <c r="AB65" i="7" s="1"/>
  <c r="AB66" i="7" s="1"/>
  <c r="AB67" i="7" s="1"/>
  <c r="AB68" i="7" s="1"/>
  <c r="AB69" i="7" s="1"/>
  <c r="AB70" i="7" s="1"/>
  <c r="AB71" i="7" s="1"/>
  <c r="AB72" i="7" s="1"/>
  <c r="AB73" i="7" s="1"/>
  <c r="AB74" i="7" s="1"/>
  <c r="AB75" i="7" s="1"/>
  <c r="AB76" i="7" s="1"/>
  <c r="AB77" i="7" s="1"/>
  <c r="AB78" i="7" s="1"/>
  <c r="AB79" i="7" s="1"/>
  <c r="AB80" i="7" s="1"/>
  <c r="AB81" i="7" s="1"/>
  <c r="AB82" i="7" s="1"/>
  <c r="AB83" i="7" s="1"/>
  <c r="AC57" i="7" s="1"/>
  <c r="AC58" i="7" s="1"/>
  <c r="AC59" i="7" s="1"/>
  <c r="AC60" i="7" s="1"/>
  <c r="AC61" i="7" s="1"/>
  <c r="AC62" i="7" s="1"/>
  <c r="AC63" i="7" s="1"/>
  <c r="AC64" i="7" s="1"/>
  <c r="AC65" i="7" s="1"/>
  <c r="AC66" i="7" s="1"/>
  <c r="AC67" i="7" s="1"/>
  <c r="AC68" i="7" s="1"/>
  <c r="AC69" i="7" s="1"/>
  <c r="AC70" i="7" s="1"/>
  <c r="AC71" i="7" s="1"/>
  <c r="AC72" i="7" s="1"/>
  <c r="AC73" i="7" s="1"/>
  <c r="AC74" i="7" s="1"/>
  <c r="AC75" i="7" s="1"/>
  <c r="AC76" i="7" s="1"/>
  <c r="AC77" i="7" s="1"/>
  <c r="AC78" i="7" s="1"/>
  <c r="AC79" i="7" s="1"/>
  <c r="AC80" i="7" s="1"/>
  <c r="AC81" i="7" s="1"/>
  <c r="AC82" i="7" s="1"/>
  <c r="AC83" i="7" s="1"/>
  <c r="AD57" i="7" s="1"/>
  <c r="AD58" i="7" s="1"/>
  <c r="AD59" i="7" s="1"/>
  <c r="AD60" i="7" s="1"/>
  <c r="AD61" i="7" s="1"/>
  <c r="AD62" i="7" s="1"/>
  <c r="AD63" i="7" s="1"/>
  <c r="AD64" i="7" s="1"/>
  <c r="AD65" i="7" s="1"/>
  <c r="AD66" i="7" s="1"/>
  <c r="AD67" i="7" s="1"/>
  <c r="AD68" i="7" s="1"/>
  <c r="AD69" i="7" s="1"/>
  <c r="AD70" i="7" s="1"/>
  <c r="AD71" i="7" s="1"/>
  <c r="AD72" i="7" s="1"/>
  <c r="AD73" i="7" s="1"/>
  <c r="AD74" i="7" s="1"/>
  <c r="AD75" i="7" s="1"/>
  <c r="AD76" i="7" s="1"/>
  <c r="AD77" i="7" s="1"/>
  <c r="AD78" i="7" s="1"/>
  <c r="AD79" i="7" s="1"/>
  <c r="AD80" i="7" s="1"/>
  <c r="AD81" i="7" s="1"/>
  <c r="AD82" i="7" s="1"/>
  <c r="AD83" i="7" s="1"/>
  <c r="AE57" i="7" s="1"/>
  <c r="AE58" i="7" s="1"/>
  <c r="AE59" i="7" s="1"/>
  <c r="AE60" i="7" s="1"/>
  <c r="AE61" i="7" s="1"/>
  <c r="AE62" i="7" s="1"/>
  <c r="AE63" i="7" s="1"/>
  <c r="AE64" i="7" s="1"/>
  <c r="AE65" i="7" s="1"/>
  <c r="AE66" i="7" s="1"/>
  <c r="AE67" i="7" s="1"/>
  <c r="AE68" i="7" s="1"/>
  <c r="AE69" i="7" s="1"/>
  <c r="AE70" i="7" s="1"/>
  <c r="AE71" i="7" s="1"/>
  <c r="AE72" i="7" s="1"/>
  <c r="AE73" i="7" s="1"/>
  <c r="AE74" i="7" s="1"/>
  <c r="AE75" i="7" s="1"/>
  <c r="AE76" i="7" s="1"/>
  <c r="AE77" i="7" s="1"/>
  <c r="AE78" i="7" s="1"/>
  <c r="AE79" i="7" s="1"/>
  <c r="AE80" i="7" s="1"/>
  <c r="AE81" i="7" s="1"/>
  <c r="AE82" i="7" s="1"/>
  <c r="AE83" i="7" s="1"/>
  <c r="AA113" i="7" s="1"/>
  <c r="AA114" i="7" s="1"/>
  <c r="AA115" i="7" s="1"/>
  <c r="AA116" i="7" s="1"/>
  <c r="AA117" i="7" s="1"/>
  <c r="AA118" i="7" s="1"/>
  <c r="AA119" i="7" s="1"/>
  <c r="AA120" i="7" s="1"/>
  <c r="AA121" i="7" s="1"/>
  <c r="AA122" i="7" s="1"/>
  <c r="AA123" i="7" s="1"/>
  <c r="AA124" i="7" s="1"/>
  <c r="AA125" i="7" s="1"/>
  <c r="AA126" i="7" s="1"/>
  <c r="AA127" i="7" s="1"/>
  <c r="AA128" i="7" s="1"/>
  <c r="AA129" i="7" s="1"/>
  <c r="AA130" i="7" s="1"/>
  <c r="AA131" i="7" s="1"/>
  <c r="AA132" i="7" s="1"/>
  <c r="AA133" i="7" s="1"/>
  <c r="AA134" i="7" s="1"/>
  <c r="AA135" i="7" s="1"/>
  <c r="AA136" i="7" s="1"/>
  <c r="AA137" i="7" s="1"/>
  <c r="AA138" i="7" s="1"/>
  <c r="AA139" i="7" s="1"/>
  <c r="AB113" i="7" s="1"/>
  <c r="AB114" i="7" s="1"/>
  <c r="AB115" i="7" s="1"/>
  <c r="AB116" i="7" s="1"/>
  <c r="AB117" i="7" s="1"/>
  <c r="AB118" i="7" s="1"/>
  <c r="AB119" i="7" s="1"/>
  <c r="AB120" i="7" s="1"/>
  <c r="AB121" i="7" s="1"/>
  <c r="AB122" i="7" s="1"/>
  <c r="AB123" i="7" s="1"/>
  <c r="AB124" i="7" s="1"/>
  <c r="AB125" i="7" s="1"/>
  <c r="AB126" i="7" s="1"/>
  <c r="AB127" i="7" s="1"/>
  <c r="AB128" i="7" s="1"/>
  <c r="AB129" i="7" s="1"/>
  <c r="AB130" i="7" s="1"/>
  <c r="AB131" i="7" s="1"/>
  <c r="AB132" i="7" s="1"/>
  <c r="AB133" i="7" s="1"/>
  <c r="AB134" i="7" s="1"/>
  <c r="AB135" i="7" s="1"/>
  <c r="AB136" i="7" s="1"/>
  <c r="AB137" i="7" s="1"/>
  <c r="AB138" i="7" s="1"/>
  <c r="AB139" i="7" s="1"/>
  <c r="AC113" i="7" s="1"/>
  <c r="AC114" i="7" s="1"/>
  <c r="AC115" i="7" s="1"/>
  <c r="AC116" i="7" s="1"/>
  <c r="AC117" i="7" s="1"/>
  <c r="AC118" i="7" s="1"/>
  <c r="AC119" i="7" s="1"/>
  <c r="AC120" i="7" s="1"/>
  <c r="AC121" i="7" s="1"/>
  <c r="AC122" i="7" s="1"/>
  <c r="AC123" i="7" s="1"/>
  <c r="AC124" i="7" s="1"/>
  <c r="AC125" i="7" s="1"/>
  <c r="AC126" i="7" s="1"/>
  <c r="AC127" i="7" s="1"/>
  <c r="AC128" i="7" s="1"/>
  <c r="AC129" i="7" s="1"/>
  <c r="AC130" i="7" s="1"/>
  <c r="AC131" i="7" s="1"/>
  <c r="AC132" i="7" s="1"/>
  <c r="AC133" i="7" s="1"/>
  <c r="AC134" i="7" s="1"/>
  <c r="AC135" i="7" s="1"/>
  <c r="AC136" i="7" s="1"/>
  <c r="AC137" i="7" s="1"/>
  <c r="AC138" i="7" s="1"/>
  <c r="AC139" i="7" s="1"/>
  <c r="AD113" i="7" s="1"/>
  <c r="AD114" i="7" s="1"/>
  <c r="AD115" i="7" s="1"/>
  <c r="AD116" i="7" s="1"/>
  <c r="AD117" i="7" s="1"/>
  <c r="AD118" i="7" s="1"/>
  <c r="AD119" i="7" s="1"/>
  <c r="AD120" i="7" s="1"/>
  <c r="AD121" i="7" s="1"/>
  <c r="AD122" i="7" s="1"/>
  <c r="AD123" i="7" s="1"/>
  <c r="AD124" i="7" s="1"/>
  <c r="AD125" i="7" s="1"/>
  <c r="AD126" i="7" s="1"/>
  <c r="AD127" i="7" s="1"/>
  <c r="AD128" i="7" s="1"/>
  <c r="AD129" i="7" s="1"/>
  <c r="AD130" i="7" s="1"/>
  <c r="AD131" i="7" s="1"/>
  <c r="AD132" i="7" s="1"/>
  <c r="AD133" i="7" s="1"/>
  <c r="AD134" i="7" s="1"/>
  <c r="AD135" i="7" s="1"/>
  <c r="AD136" i="7" s="1"/>
  <c r="AD137" i="7" s="1"/>
  <c r="AD138" i="7" s="1"/>
  <c r="AD139" i="7" s="1"/>
  <c r="AE113" i="7" s="1"/>
  <c r="AE114" i="7" s="1"/>
  <c r="AE115" i="7" s="1"/>
  <c r="AE116" i="7" s="1"/>
  <c r="AE117" i="7" s="1"/>
  <c r="AE118" i="7" s="1"/>
  <c r="AE119" i="7" s="1"/>
  <c r="AE120" i="7" s="1"/>
  <c r="AE121" i="7" s="1"/>
  <c r="AE122" i="7" s="1"/>
  <c r="AE123" i="7" s="1"/>
  <c r="AE124" i="7" s="1"/>
  <c r="AE125" i="7" s="1"/>
  <c r="AE126" i="7" s="1"/>
  <c r="AE127" i="7" s="1"/>
  <c r="AE128" i="7" s="1"/>
  <c r="AE129" i="7" s="1"/>
  <c r="AE130" i="7" s="1"/>
  <c r="AE131" i="7" s="1"/>
  <c r="AE132" i="7" s="1"/>
  <c r="AE133" i="7" s="1"/>
  <c r="AE134" i="7" s="1"/>
  <c r="AE135" i="7" s="1"/>
  <c r="AE136" i="7" s="1"/>
  <c r="AE137" i="7" s="1"/>
  <c r="AE138" i="7" s="1"/>
  <c r="AE139" i="7" s="1"/>
  <c r="AA169" i="7" s="1"/>
  <c r="AA170" i="7" s="1"/>
  <c r="AA171" i="7" s="1"/>
  <c r="AA172" i="7" s="1"/>
  <c r="AA173" i="7" s="1"/>
  <c r="AA174" i="7" s="1"/>
  <c r="AA175" i="7" s="1"/>
  <c r="AA176" i="7" s="1"/>
  <c r="AA177" i="7" s="1"/>
  <c r="AA178" i="7" s="1"/>
  <c r="AA179" i="7" s="1"/>
  <c r="AA180" i="7" s="1"/>
  <c r="AA181" i="7" s="1"/>
  <c r="AA182" i="7" s="1"/>
  <c r="AA183" i="7" s="1"/>
  <c r="AA184" i="7" s="1"/>
  <c r="AA185" i="7" s="1"/>
  <c r="AA186" i="7" s="1"/>
  <c r="AA187" i="7" s="1"/>
  <c r="AA188" i="7" s="1"/>
  <c r="AA189" i="7" s="1"/>
  <c r="AA190" i="7" s="1"/>
  <c r="AA191" i="7" s="1"/>
  <c r="AA192" i="7" s="1"/>
  <c r="AA193" i="7" s="1"/>
  <c r="AA194" i="7" s="1"/>
  <c r="AA195" i="7" s="1"/>
  <c r="AB169" i="7" s="1"/>
  <c r="AB170" i="7" s="1"/>
  <c r="AB171" i="7" s="1"/>
  <c r="AB172" i="7" s="1"/>
  <c r="AB173" i="7" s="1"/>
  <c r="AB174" i="7" s="1"/>
  <c r="AB175" i="7" s="1"/>
  <c r="AB176" i="7" s="1"/>
  <c r="AB177" i="7" s="1"/>
  <c r="AB178" i="7" s="1"/>
  <c r="AB179" i="7" s="1"/>
  <c r="AB180" i="7" s="1"/>
  <c r="AB181" i="7" s="1"/>
  <c r="AB182" i="7" s="1"/>
  <c r="AB183" i="7" s="1"/>
  <c r="AB184" i="7" s="1"/>
  <c r="AB185" i="7" s="1"/>
  <c r="AB186" i="7" s="1"/>
  <c r="AB187" i="7" s="1"/>
  <c r="AB188" i="7" s="1"/>
  <c r="AB189" i="7" s="1"/>
  <c r="AB190" i="7" s="1"/>
  <c r="AB191" i="7" s="1"/>
  <c r="AB192" i="7" s="1"/>
  <c r="AB193" i="7" s="1"/>
  <c r="AB194" i="7" s="1"/>
  <c r="AB195" i="7" s="1"/>
  <c r="AC169" i="7" s="1"/>
  <c r="AC170" i="7" s="1"/>
  <c r="AC171" i="7" s="1"/>
  <c r="AC172" i="7" s="1"/>
  <c r="AC173" i="7" s="1"/>
  <c r="AC174" i="7" s="1"/>
  <c r="AC175" i="7" s="1"/>
  <c r="AC176" i="7" s="1"/>
  <c r="AC177" i="7" s="1"/>
  <c r="AC178" i="7" s="1"/>
  <c r="AC179" i="7" s="1"/>
  <c r="AC180" i="7" s="1"/>
  <c r="AC181" i="7" s="1"/>
  <c r="AC182" i="7" s="1"/>
  <c r="AC183" i="7" s="1"/>
  <c r="AC184" i="7" s="1"/>
  <c r="AC185" i="7" s="1"/>
  <c r="AC186" i="7" s="1"/>
  <c r="AC187" i="7" s="1"/>
  <c r="AC188" i="7" s="1"/>
  <c r="AC189" i="7" s="1"/>
  <c r="AC190" i="7" s="1"/>
  <c r="AC191" i="7" s="1"/>
  <c r="AC192" i="7" s="1"/>
  <c r="AC193" i="7" s="1"/>
  <c r="AC194" i="7" s="1"/>
  <c r="AC195" i="7" s="1"/>
  <c r="AD169" i="7" s="1"/>
  <c r="AD170" i="7" s="1"/>
  <c r="AD171" i="7" s="1"/>
  <c r="AD172" i="7" s="1"/>
  <c r="AD173" i="7" s="1"/>
  <c r="AD174" i="7" s="1"/>
  <c r="AD175" i="7" s="1"/>
  <c r="AD176" i="7" s="1"/>
  <c r="AD177" i="7" s="1"/>
  <c r="AD178" i="7" s="1"/>
  <c r="AD179" i="7" s="1"/>
  <c r="AD180" i="7" s="1"/>
  <c r="AD181" i="7" s="1"/>
  <c r="AD182" i="7" s="1"/>
  <c r="AD183" i="7" s="1"/>
  <c r="AD184" i="7" s="1"/>
  <c r="AD185" i="7" s="1"/>
  <c r="AD186" i="7" s="1"/>
  <c r="AD187" i="7" s="1"/>
  <c r="AD188" i="7" s="1"/>
  <c r="AD189" i="7" s="1"/>
  <c r="AD190" i="7" s="1"/>
  <c r="AD191" i="7" s="1"/>
  <c r="AD192" i="7" s="1"/>
  <c r="AD193" i="7" s="1"/>
  <c r="AD194" i="7" s="1"/>
  <c r="AD195" i="7" s="1"/>
  <c r="AE169" i="7" s="1"/>
  <c r="AE170" i="7" s="1"/>
  <c r="AE171" i="7" s="1"/>
  <c r="AE172" i="7" s="1"/>
  <c r="AE173" i="7" s="1"/>
  <c r="AE174" i="7" s="1"/>
  <c r="AE175" i="7" s="1"/>
  <c r="AE176" i="7" s="1"/>
  <c r="AE177" i="7" s="1"/>
  <c r="AE178" i="7" s="1"/>
  <c r="AE179" i="7" s="1"/>
  <c r="AE180" i="7" s="1"/>
  <c r="AE181" i="7" s="1"/>
  <c r="AE182" i="7" s="1"/>
  <c r="AE183" i="7" s="1"/>
  <c r="AE184" i="7" s="1"/>
  <c r="AE185" i="7" s="1"/>
  <c r="AE186" i="7" s="1"/>
  <c r="AE187" i="7" s="1"/>
  <c r="AE188" i="7" s="1"/>
  <c r="AE189" i="7" s="1"/>
  <c r="AE190" i="7" s="1"/>
  <c r="AE191" i="7" s="1"/>
  <c r="AE192" i="7" s="1"/>
  <c r="AE193" i="7" s="1"/>
  <c r="AE194" i="7" s="1"/>
  <c r="AE195" i="7" s="1"/>
  <c r="AA225" i="7" s="1"/>
  <c r="AA226" i="7" s="1"/>
  <c r="AA227" i="7" s="1"/>
  <c r="AA228" i="7" s="1"/>
  <c r="AA229" i="7" s="1"/>
  <c r="AA230" i="7" s="1"/>
  <c r="AA231" i="7" s="1"/>
  <c r="AA232" i="7" s="1"/>
  <c r="AA233" i="7" s="1"/>
  <c r="AA234" i="7" s="1"/>
  <c r="AA235" i="7" s="1"/>
  <c r="AA236" i="7" s="1"/>
  <c r="AA237" i="7" s="1"/>
  <c r="AA238" i="7" s="1"/>
  <c r="AA239" i="7" s="1"/>
  <c r="AA240" i="7" s="1"/>
  <c r="AA241" i="7" s="1"/>
  <c r="AA242" i="7" s="1"/>
  <c r="AA243" i="7" s="1"/>
  <c r="AA244" i="7" s="1"/>
  <c r="AA245" i="7" s="1"/>
  <c r="AA246" i="7" s="1"/>
  <c r="AA247" i="7" s="1"/>
  <c r="AA248" i="7" s="1"/>
  <c r="AA249" i="7" s="1"/>
  <c r="AA250" i="7" s="1"/>
  <c r="AA251" i="7" s="1"/>
  <c r="AB225" i="7" s="1"/>
  <c r="AB226" i="7" s="1"/>
  <c r="AB227" i="7" s="1"/>
  <c r="AB228" i="7" s="1"/>
  <c r="AB229" i="7" s="1"/>
  <c r="AB230" i="7" s="1"/>
  <c r="AB231" i="7" s="1"/>
  <c r="AB232" i="7" s="1"/>
  <c r="AB233" i="7" s="1"/>
  <c r="AB234" i="7" s="1"/>
  <c r="AB235" i="7" s="1"/>
  <c r="AB236" i="7" s="1"/>
  <c r="AB237" i="7" s="1"/>
  <c r="AB238" i="7" s="1"/>
  <c r="AB239" i="7" s="1"/>
  <c r="AB240" i="7" s="1"/>
  <c r="AB241" i="7" s="1"/>
  <c r="AB242" i="7" s="1"/>
  <c r="AB243" i="7" s="1"/>
  <c r="AB244" i="7" s="1"/>
  <c r="AB245" i="7" s="1"/>
  <c r="AB246" i="7" s="1"/>
  <c r="AB247" i="7" s="1"/>
  <c r="AB248" i="7" s="1"/>
  <c r="AB249" i="7" s="1"/>
  <c r="AB250" i="7" s="1"/>
  <c r="AB251" i="7" s="1"/>
  <c r="AC225" i="7" s="1"/>
  <c r="AC226" i="7" s="1"/>
  <c r="AC227" i="7" s="1"/>
  <c r="AC228" i="7" s="1"/>
  <c r="AC229" i="7" s="1"/>
  <c r="AC230" i="7" s="1"/>
  <c r="AC231" i="7" s="1"/>
  <c r="AC232" i="7" s="1"/>
  <c r="AC233" i="7" s="1"/>
  <c r="AC234" i="7" s="1"/>
  <c r="AC235" i="7" s="1"/>
  <c r="AC236" i="7" s="1"/>
  <c r="AC237" i="7" s="1"/>
  <c r="AC238" i="7" s="1"/>
  <c r="AC239" i="7" s="1"/>
  <c r="AC240" i="7" s="1"/>
  <c r="AC241" i="7" s="1"/>
  <c r="AC242" i="7" s="1"/>
  <c r="AC243" i="7" s="1"/>
  <c r="AC244" i="7" s="1"/>
  <c r="AC245" i="7" s="1"/>
  <c r="AC246" i="7" s="1"/>
  <c r="AC247" i="7" s="1"/>
  <c r="AC248" i="7" s="1"/>
  <c r="AC249" i="7" s="1"/>
  <c r="AC250" i="7" s="1"/>
  <c r="AC251" i="7" s="1"/>
  <c r="AD225" i="7" s="1"/>
  <c r="AD226" i="7" s="1"/>
  <c r="AD227" i="7" s="1"/>
  <c r="AD228" i="7" s="1"/>
  <c r="AD229" i="7" s="1"/>
  <c r="AD230" i="7" s="1"/>
  <c r="AD231" i="7" s="1"/>
  <c r="AD232" i="7" s="1"/>
  <c r="AD233" i="7" s="1"/>
  <c r="AD234" i="7" s="1"/>
  <c r="AD235" i="7" s="1"/>
  <c r="AD236" i="7" s="1"/>
  <c r="AD237" i="7" s="1"/>
  <c r="AD238" i="7" s="1"/>
  <c r="AD239" i="7" s="1"/>
  <c r="AD240" i="7" s="1"/>
  <c r="AD241" i="7" s="1"/>
  <c r="AD242" i="7" s="1"/>
  <c r="AD243" i="7" s="1"/>
  <c r="AD244" i="7" s="1"/>
  <c r="AD245" i="7" s="1"/>
  <c r="AD246" i="7" s="1"/>
  <c r="AD247" i="7" s="1"/>
  <c r="AD248" i="7" s="1"/>
  <c r="AD249" i="7" s="1"/>
  <c r="AD250" i="7" s="1"/>
  <c r="AD251" i="7" s="1"/>
  <c r="AE225" i="7" s="1"/>
  <c r="AE226" i="7" s="1"/>
  <c r="AE227" i="7" s="1"/>
  <c r="AE228" i="7" s="1"/>
  <c r="AE229" i="7" s="1"/>
  <c r="AE230" i="7" s="1"/>
  <c r="AE231" i="7" s="1"/>
  <c r="AE232" i="7" s="1"/>
  <c r="AE233" i="7" s="1"/>
  <c r="AE234" i="7" s="1"/>
  <c r="AE235" i="7" s="1"/>
  <c r="AE236" i="7" s="1"/>
  <c r="AE237" i="7" s="1"/>
  <c r="AE238" i="7" s="1"/>
  <c r="AE239" i="7" s="1"/>
  <c r="AE240" i="7" s="1"/>
  <c r="AE241" i="7" s="1"/>
  <c r="AE242" i="7" s="1"/>
  <c r="AE243" i="7" s="1"/>
  <c r="AE244" i="7" s="1"/>
  <c r="AE245" i="7" s="1"/>
  <c r="AE246" i="7" s="1"/>
  <c r="AE247" i="7" s="1"/>
  <c r="AE248" i="7" s="1"/>
  <c r="AE249" i="7" s="1"/>
  <c r="AE250" i="7" s="1"/>
  <c r="AE251" i="7" s="1"/>
  <c r="D45" i="37"/>
  <c r="BK5" i="7"/>
  <c r="BK7" i="7" s="1"/>
  <c r="AZ16" i="7" s="1"/>
  <c r="AY3" i="7"/>
  <c r="AY16" i="7"/>
  <c r="AY13" i="7"/>
  <c r="AY5" i="7"/>
  <c r="AY8" i="7"/>
  <c r="AY15" i="7"/>
  <c r="AY6" i="7"/>
  <c r="AY7" i="7"/>
  <c r="AY12" i="7"/>
  <c r="AY4" i="7"/>
  <c r="AY9" i="7"/>
  <c r="AY11" i="7"/>
  <c r="AY10" i="7"/>
  <c r="AY14" i="7"/>
  <c r="BS9" i="7"/>
  <c r="P57" i="1" s="1"/>
  <c r="F131" i="44" s="1"/>
  <c r="BP13" i="7"/>
  <c r="P58" i="1" s="1"/>
  <c r="BP9" i="7"/>
  <c r="V56" i="1"/>
  <c r="P56" i="1" s="1"/>
  <c r="Q87" i="1"/>
  <c r="M8" i="26" s="1"/>
  <c r="P63" i="1"/>
  <c r="F136" i="44" s="1"/>
  <c r="R8" i="26"/>
  <c r="P72" i="1"/>
  <c r="F137" i="44" s="1"/>
  <c r="P52" i="1"/>
  <c r="F126" i="44" s="1"/>
  <c r="BP14" i="7"/>
  <c r="H33" i="3"/>
  <c r="F241" i="44" s="1"/>
  <c r="L79" i="1"/>
  <c r="P53" i="1"/>
  <c r="F127" i="44" s="1"/>
  <c r="P60" i="1"/>
  <c r="F134" i="44" s="1"/>
  <c r="P54" i="1"/>
  <c r="F128" i="44" s="1"/>
  <c r="I30" i="4"/>
  <c r="I87" i="4" s="1"/>
  <c r="I144" i="4" s="1"/>
  <c r="O79" i="1"/>
  <c r="P59" i="1"/>
  <c r="F133" i="44" s="1"/>
  <c r="P61" i="1"/>
  <c r="F135" i="44" s="1"/>
  <c r="I31" i="4"/>
  <c r="I88" i="4" s="1"/>
  <c r="I145" i="4" s="1"/>
  <c r="P73" i="1"/>
  <c r="F138" i="44" s="1"/>
  <c r="Q88" i="1"/>
  <c r="L4" i="7"/>
  <c r="P55" i="1"/>
  <c r="F129" i="44" s="1"/>
  <c r="I29" i="4"/>
  <c r="I86" i="4" s="1"/>
  <c r="I143" i="4" s="1"/>
  <c r="Q89" i="1"/>
  <c r="N8" i="26" s="1"/>
  <c r="F21" i="44"/>
  <c r="B13" i="43"/>
  <c r="BO9" i="7"/>
  <c r="E42" i="37"/>
  <c r="E43" i="37" s="1"/>
  <c r="E45" i="37" s="1"/>
  <c r="K115" i="4"/>
  <c r="F8" i="41"/>
  <c r="F9" i="41"/>
  <c r="F7" i="41"/>
  <c r="P8" i="41"/>
  <c r="P7" i="41"/>
  <c r="P9" i="41"/>
  <c r="L9" i="41"/>
  <c r="L8" i="41"/>
  <c r="L7" i="41"/>
  <c r="J9" i="41"/>
  <c r="J8" i="41"/>
  <c r="J7" i="41"/>
  <c r="N9" i="41"/>
  <c r="N8" i="41"/>
  <c r="N7" i="41"/>
  <c r="D9" i="41"/>
  <c r="D8" i="41"/>
  <c r="D7" i="41"/>
  <c r="H9" i="41"/>
  <c r="H8" i="41"/>
  <c r="H7" i="41"/>
  <c r="B8" i="41"/>
  <c r="B9" i="41"/>
  <c r="B7" i="41"/>
  <c r="B13" i="39"/>
  <c r="B13" i="6"/>
  <c r="P8" i="26"/>
  <c r="G37" i="1"/>
  <c r="H35" i="1"/>
  <c r="H37" i="1" s="1"/>
  <c r="D92" i="1" s="1"/>
  <c r="G38" i="44" s="1"/>
  <c r="A104" i="1"/>
  <c r="B104" i="1" s="1"/>
  <c r="N27" i="1"/>
  <c r="F152" i="44" s="1"/>
  <c r="C109" i="1"/>
  <c r="C107" i="1"/>
  <c r="D107" i="1" s="1"/>
  <c r="C108" i="1"/>
  <c r="I89" i="1"/>
  <c r="I95" i="1" s="1"/>
  <c r="O23" i="1" s="1"/>
  <c r="O67" i="1" s="1"/>
  <c r="G116" i="44" s="1"/>
  <c r="H14" i="7"/>
  <c r="H15" i="7"/>
  <c r="O57" i="1"/>
  <c r="G106" i="44" s="1"/>
  <c r="N34" i="1"/>
  <c r="B99" i="1"/>
  <c r="G60" i="44" s="1"/>
  <c r="S8" i="26"/>
  <c r="J66" i="4"/>
  <c r="J123" i="4"/>
  <c r="H10" i="41"/>
  <c r="L10" i="41"/>
  <c r="B10" i="41"/>
  <c r="N10" i="41"/>
  <c r="J10" i="41"/>
  <c r="P10" i="41"/>
  <c r="F10" i="41"/>
  <c r="D10" i="41"/>
  <c r="T13" i="7" l="1"/>
  <c r="T15" i="7" s="1"/>
  <c r="G261" i="44" s="1"/>
  <c r="C31" i="3"/>
  <c r="G231" i="44" s="1"/>
  <c r="C63" i="4"/>
  <c r="U52" i="7"/>
  <c r="G57" i="6"/>
  <c r="G173" i="44" s="1"/>
  <c r="O61" i="1"/>
  <c r="G110" i="44" s="1"/>
  <c r="T52" i="7"/>
  <c r="G177" i="44"/>
  <c r="C32" i="3"/>
  <c r="G232" i="44" s="1"/>
  <c r="B8" i="29"/>
  <c r="C8" i="29" s="1"/>
  <c r="T51" i="7"/>
  <c r="V51" i="7"/>
  <c r="V53" i="7"/>
  <c r="T53" i="7"/>
  <c r="L11" i="43"/>
  <c r="L11" i="39"/>
  <c r="L11" i="6"/>
  <c r="G114" i="44"/>
  <c r="Y8" i="26"/>
  <c r="S55" i="7"/>
  <c r="N26" i="1" s="1"/>
  <c r="T50" i="7"/>
  <c r="O58" i="1"/>
  <c r="T8" i="26" s="1"/>
  <c r="BK6" i="7"/>
  <c r="AZ3" i="7"/>
  <c r="AZ11" i="7"/>
  <c r="AZ6" i="7"/>
  <c r="U50" i="7"/>
  <c r="C64" i="4"/>
  <c r="O28" i="1"/>
  <c r="G155" i="44" s="1"/>
  <c r="AZ5" i="7"/>
  <c r="AZ12" i="7"/>
  <c r="AA8" i="26"/>
  <c r="C8" i="4"/>
  <c r="C122" i="4" s="1"/>
  <c r="T54" i="7"/>
  <c r="V54" i="7"/>
  <c r="U54" i="7"/>
  <c r="BL15" i="7"/>
  <c r="BL17" i="7" s="1"/>
  <c r="K134" i="4" s="1"/>
  <c r="U49" i="7"/>
  <c r="T49" i="7"/>
  <c r="V49" i="7"/>
  <c r="O69" i="1"/>
  <c r="G118" i="44" s="1"/>
  <c r="D96" i="1"/>
  <c r="G31" i="44" s="1"/>
  <c r="O62" i="1"/>
  <c r="D91" i="1"/>
  <c r="G28" i="44" s="1"/>
  <c r="G179" i="44"/>
  <c r="O73" i="1"/>
  <c r="G122" i="44" s="1"/>
  <c r="BP16" i="7"/>
  <c r="BP17" i="7" s="1"/>
  <c r="AZ13" i="7"/>
  <c r="AZ9" i="7"/>
  <c r="AZ4" i="7"/>
  <c r="AZ10" i="7"/>
  <c r="AZ8" i="7"/>
  <c r="AZ15" i="7"/>
  <c r="AZ14" i="7"/>
  <c r="AZ7" i="7"/>
  <c r="F132" i="44"/>
  <c r="D108" i="1"/>
  <c r="D109" i="1"/>
  <c r="O8" i="26"/>
  <c r="J6" i="4"/>
  <c r="F130" i="44"/>
  <c r="B106" i="1"/>
  <c r="B107" i="1" s="1"/>
  <c r="B108" i="1"/>
  <c r="B109" i="1" s="1"/>
  <c r="P28" i="1"/>
  <c r="O56" i="1"/>
  <c r="G105" i="44" s="1"/>
  <c r="B91" i="1"/>
  <c r="G27" i="44" s="1"/>
  <c r="U8" i="26"/>
  <c r="P13" i="41"/>
  <c r="N11" i="41"/>
  <c r="H12" i="41"/>
  <c r="H17" i="41"/>
  <c r="L17" i="41"/>
  <c r="P17" i="41"/>
  <c r="J17" i="41"/>
  <c r="F17" i="41"/>
  <c r="B13" i="41"/>
  <c r="B11" i="41"/>
  <c r="D13" i="41"/>
  <c r="B17" i="41"/>
  <c r="L11" i="41"/>
  <c r="J13" i="41"/>
  <c r="D11" i="41"/>
  <c r="L13" i="41"/>
  <c r="L12" i="41"/>
  <c r="D12" i="41"/>
  <c r="N12" i="41"/>
  <c r="H11" i="41"/>
  <c r="F13" i="41"/>
  <c r="J11" i="41"/>
  <c r="N13" i="41"/>
  <c r="P12" i="41"/>
  <c r="H13" i="41"/>
  <c r="D17" i="41"/>
  <c r="F11" i="41"/>
  <c r="N17" i="41"/>
  <c r="P11" i="41"/>
  <c r="B12" i="41"/>
  <c r="J12" i="41"/>
  <c r="F12" i="41"/>
  <c r="O72" i="1" l="1"/>
  <c r="G121" i="44" s="1"/>
  <c r="T55" i="7"/>
  <c r="T44" i="7" s="1"/>
  <c r="T43" i="7" s="1"/>
  <c r="BA10" i="7"/>
  <c r="BC10" i="7" s="1"/>
  <c r="I29" i="1"/>
  <c r="U79" i="1" s="1"/>
  <c r="G150" i="44" s="1"/>
  <c r="N28" i="1"/>
  <c r="F153" i="44" s="1"/>
  <c r="V55" i="7"/>
  <c r="G107" i="44"/>
  <c r="BA14" i="7"/>
  <c r="BC14" i="7" s="1"/>
  <c r="BA12" i="7"/>
  <c r="BC12" i="7" s="1"/>
  <c r="BA5" i="7"/>
  <c r="BC5" i="7" s="1"/>
  <c r="BA6" i="7"/>
  <c r="BC6" i="7" s="1"/>
  <c r="BA16" i="7"/>
  <c r="BC16" i="7" s="1"/>
  <c r="BA9" i="7"/>
  <c r="BC9" i="7" s="1"/>
  <c r="BA11" i="7"/>
  <c r="BC11" i="7" s="1"/>
  <c r="BA7" i="7"/>
  <c r="BC7" i="7" s="1"/>
  <c r="BA15" i="7"/>
  <c r="BC15" i="7" s="1"/>
  <c r="BA13" i="7"/>
  <c r="BC13" i="7" s="1"/>
  <c r="BA3" i="7"/>
  <c r="BC3" i="7" s="1"/>
  <c r="BA8" i="7"/>
  <c r="BC8" i="7" s="1"/>
  <c r="BA4" i="7"/>
  <c r="BC4" i="7" s="1"/>
  <c r="U55" i="7"/>
  <c r="F8" i="22"/>
  <c r="C65" i="4"/>
  <c r="O64" i="1"/>
  <c r="G113" i="44" s="1"/>
  <c r="G111" i="44"/>
  <c r="Z8" i="26"/>
  <c r="J120" i="4"/>
  <c r="J63" i="4"/>
  <c r="H14" i="41"/>
  <c r="P15" i="41"/>
  <c r="P18" i="41" s="1"/>
  <c r="N19" i="41"/>
  <c r="H19" i="41"/>
  <c r="N14" i="41"/>
  <c r="F15" i="41"/>
  <c r="F18" i="41" s="1"/>
  <c r="J14" i="41"/>
  <c r="N15" i="41"/>
  <c r="N18" i="41" s="1"/>
  <c r="D15" i="41"/>
  <c r="D18" i="41" s="1"/>
  <c r="H15" i="41"/>
  <c r="H18" i="41" s="1"/>
  <c r="P14" i="41"/>
  <c r="J19" i="41"/>
  <c r="L19" i="41"/>
  <c r="L15" i="41"/>
  <c r="L18" i="41" s="1"/>
  <c r="P19" i="41"/>
  <c r="J15" i="41"/>
  <c r="J18" i="41" s="1"/>
  <c r="L14" i="41"/>
  <c r="B15" i="41"/>
  <c r="B18" i="41" s="1"/>
  <c r="G269" i="44" s="1"/>
  <c r="V8" i="26"/>
  <c r="F19" i="41"/>
  <c r="F14" i="41"/>
  <c r="D19" i="41"/>
  <c r="D14" i="41"/>
  <c r="B14" i="41"/>
  <c r="G268" i="44" s="1"/>
  <c r="B19" i="41"/>
  <c r="G270" i="44" s="1"/>
  <c r="W8" i="26" l="1"/>
  <c r="S77" i="1"/>
  <c r="S76" i="1"/>
  <c r="S79" i="1"/>
  <c r="S80" i="1"/>
  <c r="S78" i="1"/>
  <c r="U80" i="1"/>
  <c r="G151" i="44" s="1"/>
  <c r="W55" i="7"/>
  <c r="BK9" i="7"/>
  <c r="U78" i="1"/>
  <c r="G149" i="44" s="1"/>
  <c r="G148" i="44"/>
  <c r="L5" i="7"/>
  <c r="G305" i="44"/>
  <c r="G288" i="44"/>
  <c r="G273" i="44"/>
  <c r="G290" i="44"/>
  <c r="G285" i="44"/>
  <c r="G294" i="44"/>
  <c r="G275" i="44"/>
  <c r="G303" i="44"/>
  <c r="G300" i="44"/>
  <c r="G279" i="44"/>
  <c r="G298" i="44"/>
  <c r="G278" i="44"/>
  <c r="G284" i="44"/>
  <c r="G304" i="44"/>
  <c r="G293" i="44"/>
  <c r="G274" i="44"/>
  <c r="G283" i="44"/>
  <c r="G295" i="44"/>
  <c r="G280" i="44"/>
  <c r="G289" i="44"/>
  <c r="G299" i="44"/>
  <c r="P20" i="41"/>
  <c r="N20" i="41"/>
  <c r="L20" i="41"/>
  <c r="J20" i="41"/>
  <c r="H20" i="41"/>
  <c r="D20" i="41"/>
  <c r="F20" i="41"/>
  <c r="B20" i="41"/>
  <c r="G271" i="44" s="1"/>
  <c r="BK10" i="7" l="1"/>
  <c r="G301" i="44"/>
  <c r="G276" i="44"/>
  <c r="G306" i="44"/>
  <c r="G286" i="44"/>
  <c r="G296" i="44"/>
  <c r="G281" i="44"/>
  <c r="G291" i="44"/>
  <c r="B21" i="41"/>
  <c r="G272" i="44" s="1"/>
  <c r="P21" i="41"/>
  <c r="N21" i="41"/>
  <c r="L21" i="41"/>
  <c r="J21" i="41"/>
  <c r="H21" i="41"/>
  <c r="F21" i="41"/>
  <c r="D21" i="41"/>
  <c r="X5" i="41" a="1"/>
  <c r="Y570" i="41" s="1"/>
  <c r="G282" i="44" l="1"/>
  <c r="G287" i="44"/>
  <c r="G302" i="44"/>
  <c r="G277" i="44"/>
  <c r="G292" i="44"/>
  <c r="G297" i="44"/>
  <c r="G307" i="44"/>
  <c r="X935" i="41"/>
  <c r="X807" i="41"/>
  <c r="Y958" i="41"/>
  <c r="X1014" i="41"/>
  <c r="X758" i="41"/>
  <c r="X999" i="41"/>
  <c r="X871" i="41"/>
  <c r="Y1022" i="41"/>
  <c r="Y862" i="41"/>
  <c r="X886" i="41"/>
  <c r="Y909" i="41"/>
  <c r="Y781" i="41"/>
  <c r="Y835" i="41"/>
  <c r="Y665" i="41"/>
  <c r="X936" i="41"/>
  <c r="X716" i="41"/>
  <c r="X588" i="41"/>
  <c r="X460" i="41"/>
  <c r="Y895" i="41"/>
  <c r="X653" i="41"/>
  <c r="X497" i="41"/>
  <c r="X738" i="41"/>
  <c r="Y569" i="41"/>
  <c r="X913" i="41"/>
  <c r="X995" i="41"/>
  <c r="X867" i="41"/>
  <c r="Y1018" i="41"/>
  <c r="Y858" i="41"/>
  <c r="X882" i="41"/>
  <c r="Y905" i="41"/>
  <c r="Y827" i="41"/>
  <c r="X928" i="41"/>
  <c r="X584" i="41"/>
  <c r="Y884" i="41"/>
  <c r="Y492" i="41"/>
  <c r="X565" i="41"/>
  <c r="X991" i="41"/>
  <c r="Y1014" i="41"/>
  <c r="Y773" i="41"/>
  <c r="Y642" i="41"/>
  <c r="Y882" i="41"/>
  <c r="X976" i="41"/>
  <c r="X594" i="41"/>
  <c r="Y765" i="41"/>
  <c r="Y874" i="41"/>
  <c r="Y775" i="41"/>
  <c r="X194" i="41"/>
  <c r="X821" i="41"/>
  <c r="X967" i="41"/>
  <c r="X903" i="41"/>
  <c r="X839" i="41"/>
  <c r="X775" i="41"/>
  <c r="Y990" i="41"/>
  <c r="Y926" i="41"/>
  <c r="Y798" i="41"/>
  <c r="X950" i="41"/>
  <c r="X822" i="41"/>
  <c r="Y973" i="41"/>
  <c r="Y845" i="41"/>
  <c r="Y963" i="41"/>
  <c r="Y729" i="41"/>
  <c r="Y601" i="41"/>
  <c r="X808" i="41"/>
  <c r="X652" i="41"/>
  <c r="X524" i="41"/>
  <c r="X396" i="41"/>
  <c r="Y738" i="41"/>
  <c r="X570" i="41"/>
  <c r="X893" i="41"/>
  <c r="Y652" i="41"/>
  <c r="Y496" i="41"/>
  <c r="Y747" i="41"/>
  <c r="X931" i="41"/>
  <c r="X803" i="41"/>
  <c r="Y954" i="41"/>
  <c r="X1010" i="41"/>
  <c r="X754" i="41"/>
  <c r="Y777" i="41"/>
  <c r="Y661" i="41"/>
  <c r="X712" i="41"/>
  <c r="X456" i="41"/>
  <c r="Y647" i="41"/>
  <c r="Y732" i="41"/>
  <c r="Y903" i="41"/>
  <c r="X863" i="41"/>
  <c r="X1006" i="41"/>
  <c r="X708" i="41"/>
  <c r="Y892" i="41"/>
  <c r="Y929" i="41"/>
  <c r="Y948" i="41"/>
  <c r="X759" i="41"/>
  <c r="Y936" i="41"/>
  <c r="X960" i="41"/>
  <c r="X667" i="41"/>
  <c r="Y262" i="41"/>
  <c r="X204" i="41"/>
  <c r="Y894" i="41"/>
  <c r="Y830" i="41"/>
  <c r="Y766" i="41"/>
  <c r="X982" i="41"/>
  <c r="X918" i="41"/>
  <c r="X854" i="41"/>
  <c r="X790" i="41"/>
  <c r="Y1005" i="41"/>
  <c r="Y941" i="41"/>
  <c r="Y877" i="41"/>
  <c r="Y813" i="41"/>
  <c r="Y1027" i="41"/>
  <c r="Y899" i="41"/>
  <c r="Y771" i="41"/>
  <c r="Y697" i="41"/>
  <c r="Y633" i="41"/>
  <c r="X1000" i="41"/>
  <c r="X872" i="41"/>
  <c r="X748" i="41"/>
  <c r="X684" i="41"/>
  <c r="X620" i="41"/>
  <c r="X556" i="41"/>
  <c r="X492" i="41"/>
  <c r="X428" i="41"/>
  <c r="Y980" i="41"/>
  <c r="X809" i="41"/>
  <c r="Y695" i="41"/>
  <c r="Y610" i="41"/>
  <c r="Y533" i="41"/>
  <c r="X980" i="41"/>
  <c r="Y808" i="41"/>
  <c r="X695" i="41"/>
  <c r="X610" i="41"/>
  <c r="X533" i="41"/>
  <c r="Y999" i="41"/>
  <c r="Y828" i="41"/>
  <c r="X1027" i="41"/>
  <c r="X963" i="41"/>
  <c r="X899" i="41"/>
  <c r="X835" i="41"/>
  <c r="X771" i="41"/>
  <c r="Y986" i="41"/>
  <c r="Y922" i="41"/>
  <c r="Y794" i="41"/>
  <c r="X946" i="41"/>
  <c r="X818" i="41"/>
  <c r="Y969" i="41"/>
  <c r="Y841" i="41"/>
  <c r="Y955" i="41"/>
  <c r="Y725" i="41"/>
  <c r="Y597" i="41"/>
  <c r="X800" i="41"/>
  <c r="X648" i="41"/>
  <c r="X520" i="41"/>
  <c r="X392" i="41"/>
  <c r="X733" i="41"/>
  <c r="Y565" i="41"/>
  <c r="X884" i="41"/>
  <c r="X647" i="41"/>
  <c r="Y491" i="41"/>
  <c r="Y742" i="41"/>
  <c r="X927" i="41"/>
  <c r="X799" i="41"/>
  <c r="Y918" i="41"/>
  <c r="Y1029" i="41"/>
  <c r="Y657" i="41"/>
  <c r="X452" i="41"/>
  <c r="X727" i="41"/>
  <c r="X859" i="41"/>
  <c r="X906" i="41"/>
  <c r="Y875" i="41"/>
  <c r="X608" i="41"/>
  <c r="Y519" i="41"/>
  <c r="X1015" i="41"/>
  <c r="X998" i="41"/>
  <c r="X700" i="41"/>
  <c r="X523" i="41"/>
  <c r="Y921" i="41"/>
  <c r="X669" i="41"/>
  <c r="Y802" i="41"/>
  <c r="X1018" i="41"/>
  <c r="X442" i="41"/>
  <c r="X243" i="41"/>
  <c r="Y488" i="41"/>
  <c r="Y221" i="41"/>
  <c r="Y890" i="41"/>
  <c r="Y826" i="41"/>
  <c r="Y762" i="41"/>
  <c r="X978" i="41"/>
  <c r="X914" i="41"/>
  <c r="X850" i="41"/>
  <c r="X786" i="41"/>
  <c r="Y1001" i="41"/>
  <c r="Y937" i="41"/>
  <c r="Y873" i="41"/>
  <c r="Y809" i="41"/>
  <c r="Y1019" i="41"/>
  <c r="Y891" i="41"/>
  <c r="Y763" i="41"/>
  <c r="Y693" i="41"/>
  <c r="Y629" i="41"/>
  <c r="X992" i="41"/>
  <c r="X864" i="41"/>
  <c r="X744" i="41"/>
  <c r="X680" i="41"/>
  <c r="X616" i="41"/>
  <c r="X552" i="41"/>
  <c r="X488" i="41"/>
  <c r="X424" i="41"/>
  <c r="X969" i="41"/>
  <c r="Y799" i="41"/>
  <c r="Y690" i="41"/>
  <c r="X605" i="41"/>
  <c r="X529" i="41"/>
  <c r="Y968" i="41"/>
  <c r="X797" i="41"/>
  <c r="X690" i="41"/>
  <c r="Y604" i="41"/>
  <c r="Y528" i="41"/>
  <c r="Y988" i="41"/>
  <c r="X817" i="41"/>
  <c r="X1023" i="41"/>
  <c r="X959" i="41"/>
  <c r="X895" i="41"/>
  <c r="X831" i="41"/>
  <c r="X767" i="41"/>
  <c r="Y982" i="41"/>
  <c r="Y854" i="41"/>
  <c r="X878" i="41"/>
  <c r="Y901" i="41"/>
  <c r="Y819" i="41"/>
  <c r="X920" i="41"/>
  <c r="X580" i="41"/>
  <c r="X873" i="41"/>
  <c r="Y487" i="41"/>
  <c r="Y560" i="41"/>
  <c r="X987" i="41"/>
  <c r="Y1010" i="41"/>
  <c r="Y754" i="41"/>
  <c r="X778" i="41"/>
  <c r="Y801" i="41"/>
  <c r="Y685" i="41"/>
  <c r="X736" i="41"/>
  <c r="X480" i="41"/>
  <c r="Y679" i="41"/>
  <c r="Y776" i="41"/>
  <c r="Y967" i="41"/>
  <c r="X887" i="41"/>
  <c r="Y910" i="41"/>
  <c r="Y1021" i="41"/>
  <c r="Y649" i="41"/>
  <c r="Y852" i="41"/>
  <c r="Y956" i="41"/>
  <c r="X851" i="41"/>
  <c r="X898" i="41"/>
  <c r="Y859" i="41"/>
  <c r="X600" i="41"/>
  <c r="X711" i="41"/>
  <c r="X1007" i="41"/>
  <c r="Y1020" i="41"/>
  <c r="X971" i="41"/>
  <c r="Y578" i="41"/>
  <c r="Y760" i="41"/>
  <c r="Y383" i="41"/>
  <c r="Y720" i="41"/>
  <c r="X395" i="41"/>
  <c r="Y612" i="41"/>
  <c r="Y671" i="41"/>
  <c r="Y334" i="41"/>
  <c r="Y211" i="41"/>
  <c r="Y790" i="41"/>
  <c r="X942" i="41"/>
  <c r="X814" i="41"/>
  <c r="Y965" i="41"/>
  <c r="Y837" i="41"/>
  <c r="Y947" i="41"/>
  <c r="Y721" i="41"/>
  <c r="Y593" i="41"/>
  <c r="X792" i="41"/>
  <c r="X644" i="41"/>
  <c r="X516" i="41"/>
  <c r="X388" i="41"/>
  <c r="Y727" i="41"/>
  <c r="X561" i="41"/>
  <c r="Y872" i="41"/>
  <c r="X642" i="41"/>
  <c r="X487" i="41"/>
  <c r="X737" i="41"/>
  <c r="X923" i="41"/>
  <c r="X795" i="41"/>
  <c r="Y946" i="41"/>
  <c r="Y818" i="41"/>
  <c r="X970" i="41"/>
  <c r="X842" i="41"/>
  <c r="Y993" i="41"/>
  <c r="Y865" i="41"/>
  <c r="Y1003" i="41"/>
  <c r="Y749" i="41"/>
  <c r="Y621" i="41"/>
  <c r="X848" i="41"/>
  <c r="X672" i="41"/>
  <c r="X544" i="41"/>
  <c r="X416" i="41"/>
  <c r="X777" i="41"/>
  <c r="Y594" i="41"/>
  <c r="X948" i="41"/>
  <c r="X679" i="41"/>
  <c r="X519" i="41"/>
  <c r="Y796" i="41"/>
  <c r="X951" i="41"/>
  <c r="X823" i="41"/>
  <c r="Y974" i="41"/>
  <c r="Y846" i="41"/>
  <c r="X870" i="41"/>
  <c r="Y893" i="41"/>
  <c r="Y803" i="41"/>
  <c r="X904" i="41"/>
  <c r="X572" i="41"/>
  <c r="Y631" i="41"/>
  <c r="X674" i="41"/>
  <c r="Y683" i="41"/>
  <c r="X979" i="41"/>
  <c r="Y1002" i="41"/>
  <c r="X1026" i="41"/>
  <c r="X770" i="41"/>
  <c r="Y793" i="41"/>
  <c r="Y677" i="41"/>
  <c r="X728" i="41"/>
  <c r="Y927" i="41"/>
  <c r="X1012" i="41"/>
  <c r="Y546" i="41"/>
  <c r="X593" i="41"/>
  <c r="Y834" i="41"/>
  <c r="X1016" i="41"/>
  <c r="X917" i="41"/>
  <c r="X559" i="41"/>
  <c r="Y831" i="41"/>
  <c r="X762" i="41"/>
  <c r="Y746" i="41"/>
  <c r="Y427" i="41"/>
  <c r="X181" i="41"/>
  <c r="Y100" i="41"/>
  <c r="X120" i="41"/>
  <c r="Y266" i="41"/>
  <c r="Y74" i="41"/>
  <c r="X847" i="41"/>
  <c r="X746" i="41"/>
  <c r="Y723" i="41"/>
  <c r="Y614" i="41"/>
  <c r="X426" i="41"/>
  <c r="X109" i="41"/>
  <c r="Y235" i="41"/>
  <c r="Y188" i="41"/>
  <c r="X169" i="41"/>
  <c r="X49" i="41"/>
  <c r="Y782" i="41"/>
  <c r="X934" i="41"/>
  <c r="X806" i="41"/>
  <c r="Y957" i="41"/>
  <c r="Y829" i="41"/>
  <c r="Y931" i="41"/>
  <c r="Y713" i="41"/>
  <c r="Y585" i="41"/>
  <c r="X776" i="41"/>
  <c r="X636" i="41"/>
  <c r="Y1023" i="41"/>
  <c r="X717" i="41"/>
  <c r="Y551" i="41"/>
  <c r="X765" i="41"/>
  <c r="Y588" i="41"/>
  <c r="X785" i="41"/>
  <c r="Y598" i="41"/>
  <c r="X921" i="41"/>
  <c r="X915" i="41"/>
  <c r="X787" i="41"/>
  <c r="Y938" i="41"/>
  <c r="Y810" i="41"/>
  <c r="X962" i="41"/>
  <c r="X834" i="41"/>
  <c r="Y985" i="41"/>
  <c r="Y857" i="41"/>
  <c r="Y987" i="41"/>
  <c r="Y741" i="41"/>
  <c r="Y613" i="41"/>
  <c r="X832" i="41"/>
  <c r="X664" i="41"/>
  <c r="X536" i="41"/>
  <c r="Y756" i="41"/>
  <c r="Y583" i="41"/>
  <c r="Y840" i="41"/>
  <c r="X626" i="41"/>
  <c r="X945" i="41"/>
  <c r="Y678" i="41"/>
  <c r="Y518" i="41"/>
  <c r="X943" i="41"/>
  <c r="X1003" i="41"/>
  <c r="Y913" i="41"/>
  <c r="X476" i="41"/>
  <c r="Y431" i="41"/>
  <c r="X397" i="41"/>
  <c r="Y321" i="41"/>
  <c r="X285" i="41"/>
  <c r="Y881" i="41"/>
  <c r="Y783" i="41"/>
  <c r="X944" i="41"/>
  <c r="X564" i="41"/>
  <c r="Y468" i="41"/>
  <c r="Y443" i="41"/>
  <c r="X1020" i="41"/>
  <c r="Y181" i="41"/>
  <c r="Y366" i="41"/>
  <c r="Y780" i="41"/>
  <c r="Y248" i="41"/>
  <c r="Y580" i="41"/>
  <c r="X248" i="41"/>
  <c r="Y856" i="41"/>
  <c r="Y323" i="41"/>
  <c r="X549" i="41"/>
  <c r="Y740" i="41"/>
  <c r="X359" i="41"/>
  <c r="Y730" i="41"/>
  <c r="X432" i="41"/>
  <c r="X302" i="41"/>
  <c r="Y759" i="41"/>
  <c r="Y342" i="41"/>
  <c r="X413" i="41"/>
  <c r="Y669" i="41"/>
  <c r="Y608" i="41"/>
  <c r="Y416" i="41"/>
  <c r="X457" i="41"/>
  <c r="X894" i="41"/>
  <c r="X929" i="41"/>
  <c r="X5" i="41"/>
  <c r="Y586" i="41"/>
  <c r="X54" i="41"/>
  <c r="Y912" i="41"/>
  <c r="Y169" i="41"/>
  <c r="X157" i="41"/>
  <c r="Y255" i="41"/>
  <c r="Y199" i="41"/>
  <c r="Y542" i="41"/>
  <c r="Y573" i="41"/>
  <c r="Y964" i="41"/>
  <c r="Y576" i="41"/>
  <c r="X274" i="41"/>
  <c r="Y458" i="41"/>
  <c r="X909" i="41"/>
  <c r="X390" i="41"/>
  <c r="Y708" i="41"/>
  <c r="X1022" i="41"/>
  <c r="X952" i="41"/>
  <c r="Y935" i="41"/>
  <c r="X939" i="41"/>
  <c r="Y849" i="41"/>
  <c r="Y930" i="41"/>
  <c r="Y733" i="41"/>
  <c r="Y706" i="41"/>
  <c r="X625" i="41"/>
  <c r="Y341" i="41"/>
  <c r="Y643" i="41"/>
  <c r="X306" i="41"/>
  <c r="X82" i="41"/>
  <c r="Y624" i="41"/>
  <c r="Y293" i="41"/>
  <c r="Y69" i="41"/>
  <c r="Y522" i="41"/>
  <c r="X265" i="41"/>
  <c r="X93" i="41"/>
  <c r="X581" i="41"/>
  <c r="X334" i="41"/>
  <c r="Y172" i="41"/>
  <c r="X715" i="41"/>
  <c r="X467" i="41"/>
  <c r="X312" i="41"/>
  <c r="X184" i="41"/>
  <c r="X56" i="41"/>
  <c r="Y456" i="41"/>
  <c r="Y91" i="41"/>
  <c r="Y122" i="41"/>
  <c r="Y78" i="41"/>
  <c r="Y187" i="41"/>
  <c r="Y398" i="41"/>
  <c r="X425" i="41"/>
  <c r="Y158" i="41"/>
  <c r="Y32" i="41"/>
  <c r="Y393" i="41"/>
  <c r="X39" i="41"/>
  <c r="Y785" i="41"/>
  <c r="X753" i="41"/>
  <c r="X789" i="41"/>
  <c r="Y502" i="41"/>
  <c r="X362" i="41"/>
  <c r="X437" i="41"/>
  <c r="Y513" i="41"/>
  <c r="X586" i="41"/>
  <c r="X526" i="41"/>
  <c r="X602" i="41"/>
  <c r="Y870" i="41"/>
  <c r="X621" i="41"/>
  <c r="Y329" i="41"/>
  <c r="X294" i="41"/>
  <c r="X973" i="41"/>
  <c r="X745" i="41"/>
  <c r="Y992" i="41"/>
  <c r="Y429" i="41"/>
  <c r="Y364" i="41"/>
  <c r="Y847" i="41"/>
  <c r="Y952" i="41"/>
  <c r="Y120" i="41"/>
  <c r="X315" i="41"/>
  <c r="X291" i="41"/>
  <c r="X267" i="41"/>
  <c r="Y632" i="41"/>
  <c r="Y213" i="41"/>
  <c r="X1017" i="41"/>
  <c r="X249" i="41"/>
  <c r="Y587" i="41"/>
  <c r="X889" i="41"/>
  <c r="Y686" i="41"/>
  <c r="X179" i="41"/>
  <c r="Y107" i="41"/>
  <c r="Y31" i="41"/>
  <c r="Y331" i="41"/>
  <c r="X228" i="41"/>
  <c r="Y226" i="41"/>
  <c r="Y238" i="41"/>
  <c r="Y23" i="41"/>
  <c r="X622" i="41"/>
  <c r="X183" i="41"/>
  <c r="X638" i="41"/>
  <c r="Y687" i="41"/>
  <c r="X203" i="41"/>
  <c r="X393" i="41"/>
  <c r="Y340" i="41"/>
  <c r="X986" i="41"/>
  <c r="X816" i="41"/>
  <c r="X916" i="41"/>
  <c r="X537" i="41"/>
  <c r="Y879" i="41"/>
  <c r="Y438" i="41"/>
  <c r="Y736" i="41"/>
  <c r="Y348" i="41"/>
  <c r="Y508" i="41"/>
  <c r="X261" i="41"/>
  <c r="X573" i="41"/>
  <c r="X329" i="41"/>
  <c r="X639" i="41"/>
  <c r="Y420" i="41"/>
  <c r="X276" i="41"/>
  <c r="X337" i="41"/>
  <c r="X351" i="41"/>
  <c r="Y714" i="41"/>
  <c r="X446" i="41"/>
  <c r="X346" i="41"/>
  <c r="Y1004" i="41"/>
  <c r="Y977" i="41"/>
  <c r="X528" i="41"/>
  <c r="Y514" i="41"/>
  <c r="Y445" i="41"/>
  <c r="Y1024" i="41"/>
  <c r="X423" i="41"/>
  <c r="X710" i="41"/>
  <c r="Y339" i="41"/>
  <c r="X607" i="41"/>
  <c r="X297" i="41"/>
  <c r="Y558" i="41"/>
  <c r="Y324" i="41"/>
  <c r="Y698" i="41"/>
  <c r="X304" i="41"/>
  <c r="Y703" i="41"/>
  <c r="X521" i="41"/>
  <c r="Y332" i="41"/>
  <c r="X820" i="41"/>
  <c r="X230" i="41"/>
  <c r="Y217" i="41"/>
  <c r="X209" i="41"/>
  <c r="Y276" i="41"/>
  <c r="X410" i="41"/>
  <c r="X76" i="41"/>
  <c r="Y6" i="41"/>
  <c r="X964" i="41"/>
  <c r="Y95" i="41"/>
  <c r="Y752" i="41"/>
  <c r="Y497" i="41"/>
  <c r="Y272" i="41"/>
  <c r="X141" i="41"/>
  <c r="Y45" i="41"/>
  <c r="X693" i="41"/>
  <c r="X226" i="41"/>
  <c r="Y637" i="41"/>
  <c r="X725" i="41"/>
  <c r="Y101" i="41"/>
  <c r="X282" i="41"/>
  <c r="Y640" i="41"/>
  <c r="X94" i="41"/>
  <c r="X875" i="41"/>
  <c r="X74" i="41"/>
  <c r="X830" i="41"/>
  <c r="X156" i="41"/>
  <c r="Y139" i="41"/>
  <c r="Y243" i="41"/>
  <c r="Y132" i="41"/>
  <c r="Y64" i="41"/>
  <c r="X206" i="41"/>
  <c r="Y14" i="41"/>
  <c r="X405" i="41"/>
  <c r="Y82" i="41"/>
  <c r="X66" i="41"/>
  <c r="X38" i="41"/>
  <c r="Y84" i="41"/>
  <c r="X566" i="41"/>
  <c r="Y374" i="41"/>
  <c r="Y750" i="41"/>
  <c r="Y291" i="41"/>
  <c r="Y327" i="41"/>
  <c r="X360" i="41"/>
  <c r="Y302" i="41"/>
  <c r="Y577" i="41"/>
  <c r="X811" i="41"/>
  <c r="X720" i="41"/>
  <c r="Y509" i="41"/>
  <c r="X503" i="41"/>
  <c r="X118" i="41"/>
  <c r="Y480" i="41"/>
  <c r="Y109" i="41"/>
  <c r="X411" i="41"/>
  <c r="X125" i="41"/>
  <c r="X479" i="41"/>
  <c r="Y196" i="41"/>
  <c r="Y622" i="41"/>
  <c r="X268" i="41"/>
  <c r="X140" i="41"/>
  <c r="X12" i="41"/>
  <c r="Y143" i="41"/>
  <c r="Y186" i="41"/>
  <c r="Y680" i="41"/>
  <c r="Y1008" i="41"/>
  <c r="Y119" i="41"/>
  <c r="Y739" i="41"/>
  <c r="Y72" i="41"/>
  <c r="Y880" i="41"/>
  <c r="X9" i="41"/>
  <c r="Y179" i="41"/>
  <c r="Y92" i="41"/>
  <c r="Y415" i="41"/>
  <c r="X61" i="41"/>
  <c r="X205" i="41"/>
  <c r="Y581" i="41"/>
  <c r="Y129" i="41"/>
  <c r="Y396" i="41"/>
  <c r="X29" i="41"/>
  <c r="X142" i="41"/>
  <c r="Y412" i="41"/>
  <c r="X501" i="41"/>
  <c r="X844" i="41"/>
  <c r="Y316" i="41"/>
  <c r="X121" i="41"/>
  <c r="X702" i="41"/>
  <c r="Y273" i="41"/>
  <c r="X114" i="41"/>
  <c r="X981" i="41"/>
  <c r="X656" i="41"/>
  <c r="Y93" i="41"/>
  <c r="X21" i="41"/>
  <c r="X222" i="41"/>
  <c r="X701" i="41"/>
  <c r="Y41" i="41"/>
  <c r="Y494" i="41"/>
  <c r="X202" i="41"/>
  <c r="X1009" i="41"/>
  <c r="X110" i="41"/>
  <c r="Y152" i="41"/>
  <c r="X187" i="41"/>
  <c r="Y247" i="41"/>
  <c r="X901" i="41"/>
  <c r="X132" i="41"/>
  <c r="X195" i="41"/>
  <c r="Y150" i="41"/>
  <c r="X128" i="41"/>
  <c r="Y26" i="41"/>
  <c r="Y114" i="41"/>
  <c r="Y209" i="41"/>
  <c r="X199" i="41"/>
  <c r="Y170" i="41"/>
  <c r="Y174" i="41"/>
  <c r="Y303" i="41"/>
  <c r="X117" i="41"/>
  <c r="X577" i="41"/>
  <c r="Y102" i="41"/>
  <c r="X189" i="41"/>
  <c r="Y68" i="41"/>
  <c r="X550" i="41"/>
  <c r="X133" i="41"/>
  <c r="Y259" i="41"/>
  <c r="Y349" i="41"/>
  <c r="Y712" i="41"/>
  <c r="X505" i="41"/>
  <c r="X1001" i="41"/>
  <c r="X890" i="41"/>
  <c r="Y124" i="41"/>
  <c r="Y252" i="41"/>
  <c r="Y473" i="41"/>
  <c r="X17" i="41"/>
  <c r="X185" i="41"/>
  <c r="X406" i="41"/>
  <c r="Y17" i="41"/>
  <c r="Y185" i="41"/>
  <c r="Y469" i="41"/>
  <c r="X26" i="41"/>
  <c r="X198" i="41"/>
  <c r="X489" i="41"/>
  <c r="Y373" i="41"/>
  <c r="Y748" i="41"/>
  <c r="Y998" i="41"/>
  <c r="Y29" i="41"/>
  <c r="Y157" i="41"/>
  <c r="X433" i="41"/>
  <c r="X30" i="41"/>
  <c r="X158" i="41"/>
  <c r="X475" i="41"/>
  <c r="X578" i="41"/>
  <c r="Y907" i="41"/>
  <c r="X735" i="41"/>
  <c r="Y105" i="41"/>
  <c r="Y233" i="41"/>
  <c r="X10" i="41"/>
  <c r="X138" i="41"/>
  <c r="X298" i="41"/>
  <c r="Y390" i="41"/>
  <c r="X532" i="41"/>
  <c r="X687" i="41"/>
  <c r="Y53" i="41"/>
  <c r="X597" i="41"/>
  <c r="Y435" i="41"/>
  <c r="X20" i="41"/>
  <c r="Y163" i="41"/>
  <c r="X7" i="41"/>
  <c r="Y138" i="41"/>
  <c r="X731" i="41"/>
  <c r="Y165" i="41"/>
  <c r="Y144" i="41"/>
  <c r="X373" i="41"/>
  <c r="Y283" i="41"/>
  <c r="Y295" i="41"/>
  <c r="Y190" i="41"/>
  <c r="Y135" i="41"/>
  <c r="X260" i="41"/>
  <c r="X123" i="41"/>
  <c r="Y242" i="41"/>
  <c r="X163" i="41"/>
  <c r="Y234" i="41"/>
  <c r="Y48" i="41"/>
  <c r="Y36" i="41"/>
  <c r="X46" i="41"/>
  <c r="X703" i="41"/>
  <c r="Y461" i="41"/>
  <c r="X833" i="41"/>
  <c r="Y194" i="41"/>
  <c r="Y79" i="41"/>
  <c r="X429" i="41"/>
  <c r="X207" i="41"/>
  <c r="X136" i="41"/>
  <c r="Y212" i="41"/>
  <c r="Y77" i="41"/>
  <c r="Y20" i="41"/>
  <c r="Y203" i="41"/>
  <c r="X79" i="41"/>
  <c r="X60" i="41"/>
  <c r="Y216" i="41"/>
  <c r="Y153" i="41"/>
  <c r="X86" i="41"/>
  <c r="Y191" i="41"/>
  <c r="X635" i="41"/>
  <c r="Y113" i="41"/>
  <c r="Y103" i="41"/>
  <c r="X59" i="41"/>
  <c r="X73" i="41"/>
  <c r="Y180" i="41"/>
  <c r="X232" i="41"/>
  <c r="Y214" i="41"/>
  <c r="Y753" i="41"/>
  <c r="X400" i="41"/>
  <c r="Y699" i="41"/>
  <c r="Y381" i="41"/>
  <c r="Y719" i="41"/>
  <c r="Y344" i="41"/>
  <c r="Y702" i="41"/>
  <c r="X335" i="41"/>
  <c r="Y590" i="41"/>
  <c r="X293" i="41"/>
  <c r="Y639" i="41"/>
  <c r="X366" i="41"/>
  <c r="X780" i="41"/>
  <c r="X499" i="41"/>
  <c r="X333" i="41"/>
  <c r="Y548" i="41"/>
  <c r="Y354" i="41"/>
  <c r="Y306" i="41"/>
  <c r="Y484" i="41"/>
  <c r="Y503" i="41"/>
  <c r="X328" i="41"/>
  <c r="Y424" i="41"/>
  <c r="Y392" i="41"/>
  <c r="Y465" i="41"/>
  <c r="Y338" i="41"/>
  <c r="Y507" i="41"/>
  <c r="X801" i="41"/>
  <c r="X269" i="41"/>
  <c r="Y442" i="41"/>
  <c r="X781" i="41"/>
  <c r="Y301" i="41"/>
  <c r="X517" i="41"/>
  <c r="X310" i="41"/>
  <c r="Y539" i="41"/>
  <c r="X761" i="41"/>
  <c r="Y404" i="41"/>
  <c r="Y646" i="41"/>
  <c r="Y501" i="41"/>
  <c r="X592" i="41"/>
  <c r="Y821" i="41"/>
  <c r="Y962" i="41"/>
  <c r="Y389" i="41"/>
  <c r="X590" i="41"/>
  <c r="X313" i="41"/>
  <c r="Y530" i="41"/>
  <c r="Y362" i="41"/>
  <c r="X634" i="41"/>
  <c r="Y376" i="41"/>
  <c r="X651" i="41"/>
  <c r="Y911" i="41"/>
  <c r="X473" i="41"/>
  <c r="Y839" i="41"/>
  <c r="Y743" i="41"/>
  <c r="Y885" i="41"/>
  <c r="Y421" i="41"/>
  <c r="Y285" i="41"/>
  <c r="Y659" i="41"/>
  <c r="X318" i="41"/>
  <c r="X729" i="41"/>
  <c r="Y413" i="41"/>
  <c r="X510" i="41"/>
  <c r="X624" i="41"/>
  <c r="X922" i="41"/>
  <c r="Y479" i="41"/>
  <c r="Y330" i="41"/>
  <c r="X764" i="41"/>
  <c r="X449" i="41"/>
  <c r="Y836" i="41"/>
  <c r="X546" i="41"/>
  <c r="X579" i="41"/>
  <c r="Y737" i="41"/>
  <c r="X783" i="41"/>
  <c r="Y544" i="41"/>
  <c r="Y975" i="41"/>
  <c r="X453" i="41"/>
  <c r="X522" i="41"/>
  <c r="X394" i="41"/>
  <c r="X374" i="41"/>
  <c r="X645" i="41"/>
  <c r="Y595" i="41"/>
  <c r="Y983" i="41"/>
  <c r="X481" i="41"/>
  <c r="X319" i="41"/>
  <c r="X596" i="41"/>
  <c r="X698" i="41"/>
  <c r="Y950" i="41"/>
  <c r="Y886" i="41"/>
  <c r="Y822" i="41"/>
  <c r="Y758" i="41"/>
  <c r="X974" i="41"/>
  <c r="X910" i="41"/>
  <c r="X846" i="41"/>
  <c r="X782" i="41"/>
  <c r="Y997" i="41"/>
  <c r="Y933" i="41"/>
  <c r="Y869" i="41"/>
  <c r="Y805" i="41"/>
  <c r="Y1011" i="41"/>
  <c r="Y883" i="41"/>
  <c r="Y755" i="41"/>
  <c r="Y689" i="41"/>
  <c r="Y625" i="41"/>
  <c r="X984" i="41"/>
  <c r="X856" i="41"/>
  <c r="X740" i="41"/>
  <c r="X676" i="41"/>
  <c r="X612" i="41"/>
  <c r="X548" i="41"/>
  <c r="X484" i="41"/>
  <c r="X420" i="41"/>
  <c r="Y959" i="41"/>
  <c r="Y788" i="41"/>
  <c r="X685" i="41"/>
  <c r="Y599" i="41"/>
  <c r="Y524" i="41"/>
  <c r="X957" i="41"/>
  <c r="X788" i="41"/>
  <c r="Y684" i="41"/>
  <c r="X599" i="41"/>
  <c r="Y523" i="41"/>
  <c r="X977" i="41"/>
  <c r="Y807" i="41"/>
  <c r="X1019" i="41"/>
  <c r="X955" i="41"/>
  <c r="X891" i="41"/>
  <c r="X827" i="41"/>
  <c r="X763" i="41"/>
  <c r="Y978" i="41"/>
  <c r="Y914" i="41"/>
  <c r="Y850" i="41"/>
  <c r="Y786" i="41"/>
  <c r="X1002" i="41"/>
  <c r="X938" i="41"/>
  <c r="X874" i="41"/>
  <c r="X810" i="41"/>
  <c r="Y1025" i="41"/>
  <c r="Y961" i="41"/>
  <c r="Y897" i="41"/>
  <c r="Y833" i="41"/>
  <c r="Y769" i="41"/>
  <c r="Y939" i="41"/>
  <c r="Y811" i="41"/>
  <c r="Y717" i="41"/>
  <c r="Y653" i="41"/>
  <c r="Y589" i="41"/>
  <c r="X912" i="41"/>
  <c r="X784" i="41"/>
  <c r="X704" i="41"/>
  <c r="X640" i="41"/>
  <c r="X576" i="41"/>
  <c r="X512" i="41"/>
  <c r="X448" i="41"/>
  <c r="X384" i="41"/>
  <c r="Y863" i="41"/>
  <c r="Y722" i="41"/>
  <c r="X637" i="41"/>
  <c r="Y556" i="41"/>
  <c r="X483" i="41"/>
  <c r="X861" i="41"/>
  <c r="X722" i="41"/>
  <c r="Y636" i="41"/>
  <c r="Y555" i="41"/>
  <c r="Y482" i="41"/>
  <c r="X881" i="41"/>
  <c r="Y731" i="41"/>
  <c r="X983" i="41"/>
  <c r="X919" i="41"/>
  <c r="X855" i="41"/>
  <c r="X791" i="41"/>
  <c r="Y1006" i="41"/>
  <c r="Y942" i="41"/>
  <c r="Y878" i="41"/>
  <c r="Y814" i="41"/>
  <c r="X1030" i="41"/>
  <c r="X966" i="41"/>
  <c r="X902" i="41"/>
  <c r="X838" i="41"/>
  <c r="X774" i="41"/>
  <c r="Y989" i="41"/>
  <c r="Y925" i="41"/>
  <c r="Y861" i="41"/>
  <c r="Y797" i="41"/>
  <c r="Y995" i="41"/>
  <c r="Y867" i="41"/>
  <c r="Y745" i="41"/>
  <c r="Y681" i="41"/>
  <c r="Y617" i="41"/>
  <c r="X968" i="41"/>
  <c r="X840" i="41"/>
  <c r="X732" i="41"/>
  <c r="X668" i="41"/>
  <c r="X604" i="41"/>
  <c r="X540" i="41"/>
  <c r="X937" i="41"/>
  <c r="Y767" i="41"/>
  <c r="Y674" i="41"/>
  <c r="X589" i="41"/>
  <c r="X1021" i="41"/>
  <c r="X852" i="41"/>
  <c r="Y716" i="41"/>
  <c r="X631" i="41"/>
  <c r="X551" i="41"/>
  <c r="Y871" i="41"/>
  <c r="Y726" i="41"/>
  <c r="X641" i="41"/>
  <c r="Y559" i="41"/>
  <c r="Y1007" i="41"/>
  <c r="X1011" i="41"/>
  <c r="X947" i="41"/>
  <c r="X883" i="41"/>
  <c r="X819" i="41"/>
  <c r="X755" i="41"/>
  <c r="Y970" i="41"/>
  <c r="Y906" i="41"/>
  <c r="Y842" i="41"/>
  <c r="Y778" i="41"/>
  <c r="X994" i="41"/>
  <c r="X930" i="41"/>
  <c r="X866" i="41"/>
  <c r="X802" i="41"/>
  <c r="Y1017" i="41"/>
  <c r="Y953" i="41"/>
  <c r="Y889" i="41"/>
  <c r="Y825" i="41"/>
  <c r="Y761" i="41"/>
  <c r="Y923" i="41"/>
  <c r="Y795" i="41"/>
  <c r="Y709" i="41"/>
  <c r="Y645" i="41"/>
  <c r="X1024" i="41"/>
  <c r="X896" i="41"/>
  <c r="X768" i="41"/>
  <c r="X696" i="41"/>
  <c r="X632" i="41"/>
  <c r="X568" i="41"/>
  <c r="Y1012" i="41"/>
  <c r="X841" i="41"/>
  <c r="Y711" i="41"/>
  <c r="Y626" i="41"/>
  <c r="X547" i="41"/>
  <c r="X925" i="41"/>
  <c r="X756" i="41"/>
  <c r="Y668" i="41"/>
  <c r="X583" i="41"/>
  <c r="Y1031" i="41"/>
  <c r="Y860" i="41"/>
  <c r="X721" i="41"/>
  <c r="Y635" i="41"/>
  <c r="X555" i="41"/>
  <c r="Y996" i="41"/>
  <c r="X975" i="41"/>
  <c r="X779" i="41"/>
  <c r="X862" i="41"/>
  <c r="Y1030" i="41"/>
  <c r="X858" i="41"/>
  <c r="Y851" i="41"/>
  <c r="X688" i="41"/>
  <c r="X905" i="41"/>
  <c r="Y700" i="41"/>
  <c r="X673" i="41"/>
  <c r="X491" i="41"/>
  <c r="Y365" i="41"/>
  <c r="Y815" i="41"/>
  <c r="X694" i="41"/>
  <c r="X470" i="41"/>
  <c r="Y335" i="41"/>
  <c r="Y848" i="41"/>
  <c r="Y561" i="41"/>
  <c r="Y380" i="41"/>
  <c r="Y261" i="41"/>
  <c r="X683" i="41"/>
  <c r="X469" i="41"/>
  <c r="X325" i="41"/>
  <c r="Y887" i="41"/>
  <c r="X614" i="41"/>
  <c r="Y994" i="41"/>
  <c r="X826" i="41"/>
  <c r="Y787" i="41"/>
  <c r="X628" i="41"/>
  <c r="Y620" i="41"/>
  <c r="X953" i="41"/>
  <c r="X853" i="41"/>
  <c r="Y966" i="41"/>
  <c r="X798" i="41"/>
  <c r="Y779" i="41"/>
  <c r="X879" i="41"/>
  <c r="X990" i="41"/>
  <c r="Y789" i="41"/>
  <c r="X880" i="41"/>
  <c r="X436" i="41"/>
  <c r="X989" i="41"/>
  <c r="Y764" i="41"/>
  <c r="Y541" i="41"/>
  <c r="Y399" i="41"/>
  <c r="Y900" i="41"/>
  <c r="X812" i="41"/>
  <c r="Y525" i="41"/>
  <c r="X372" i="41"/>
  <c r="X250" i="41"/>
  <c r="X134" i="41"/>
  <c r="X22" i="41"/>
  <c r="X747" i="41"/>
  <c r="X509" i="41"/>
  <c r="X358" i="41"/>
  <c r="Y241" i="41"/>
  <c r="Y121" i="41"/>
  <c r="Y13" i="41"/>
  <c r="X633" i="41"/>
  <c r="Y432" i="41"/>
  <c r="X309" i="41"/>
  <c r="X225" i="41"/>
  <c r="X137" i="41"/>
  <c r="Y1015" i="41"/>
  <c r="X675" i="41"/>
  <c r="Y499" i="41"/>
  <c r="Y384" i="41"/>
  <c r="Y292" i="41"/>
  <c r="Y208" i="41"/>
  <c r="Y136" i="41"/>
  <c r="Y864" i="41"/>
  <c r="Y648" i="41"/>
  <c r="Y521" i="41"/>
  <c r="Y425" i="41"/>
  <c r="X347" i="41"/>
  <c r="X280" i="41"/>
  <c r="X216" i="41"/>
  <c r="X152" i="41"/>
  <c r="X88" i="41"/>
  <c r="X24" i="41"/>
  <c r="X611" i="41"/>
  <c r="Y350" i="41"/>
  <c r="Y175" i="41"/>
  <c r="Y27" i="41"/>
  <c r="Y218" i="41"/>
  <c r="X35" i="41"/>
  <c r="X47" i="41"/>
  <c r="X751" i="41"/>
  <c r="X377" i="41"/>
  <c r="Y28" i="41"/>
  <c r="X543" i="41"/>
  <c r="X19" i="41"/>
  <c r="Y562" i="41"/>
  <c r="X323" i="41"/>
  <c r="Y151" i="41"/>
  <c r="X171" i="41"/>
  <c r="Y984" i="41"/>
  <c r="X897" i="41"/>
  <c r="X466" i="41"/>
  <c r="Y267" i="41"/>
  <c r="Y98" i="41"/>
  <c r="X924" i="41"/>
  <c r="X461" i="41"/>
  <c r="X13" i="41"/>
  <c r="X518" i="41"/>
  <c r="X299" i="41"/>
  <c r="Y71" i="41"/>
  <c r="Y554" i="41"/>
  <c r="X255" i="41"/>
  <c r="Y94" i="41"/>
  <c r="Y155" i="41"/>
  <c r="Y902" i="41"/>
  <c r="Y1013" i="41"/>
  <c r="Y705" i="41"/>
  <c r="X560" i="41"/>
  <c r="Y663" i="41"/>
  <c r="X574" i="41"/>
  <c r="Y619" i="41"/>
  <c r="X459" i="41"/>
  <c r="Y337" i="41"/>
  <c r="X741" i="41"/>
  <c r="Y517" i="41"/>
  <c r="X363" i="41"/>
  <c r="X997" i="41"/>
  <c r="Y607" i="41"/>
  <c r="X422" i="41"/>
  <c r="Y289" i="41"/>
  <c r="Y623" i="41"/>
  <c r="Y426" i="41"/>
  <c r="X305" i="41"/>
  <c r="X993" i="41"/>
  <c r="X666" i="41"/>
  <c r="Y493" i="41"/>
  <c r="Y379" i="41"/>
  <c r="Y288" i="41"/>
  <c r="Y707" i="41"/>
  <c r="Y572" i="41"/>
  <c r="X462" i="41"/>
  <c r="X379" i="41"/>
  <c r="X308" i="41"/>
  <c r="X796" i="41"/>
  <c r="Y444" i="41"/>
  <c r="X303" i="41"/>
  <c r="X527" i="41"/>
  <c r="X697" i="41"/>
  <c r="X387" i="41"/>
  <c r="X541" i="41"/>
  <c r="Y311" i="41"/>
  <c r="X836" i="41"/>
  <c r="X451" i="41"/>
  <c r="Y876" i="41"/>
  <c r="X419" i="41"/>
  <c r="X815" i="41"/>
  <c r="X926" i="41"/>
  <c r="Y757" i="41"/>
  <c r="X724" i="41"/>
  <c r="X408" i="41"/>
  <c r="X829" i="41"/>
  <c r="X705" i="41"/>
  <c r="X514" i="41"/>
  <c r="X386" i="41"/>
  <c r="X857" i="41"/>
  <c r="X739" i="41"/>
  <c r="X511" i="41"/>
  <c r="X349" i="41"/>
  <c r="Y976" i="41"/>
  <c r="X582" i="41"/>
  <c r="Y411" i="41"/>
  <c r="Y281" i="41"/>
  <c r="X726" i="41"/>
  <c r="X494" i="41"/>
  <c r="X348" i="41"/>
  <c r="Y951" i="41"/>
  <c r="X649" i="41"/>
  <c r="Y485" i="41"/>
  <c r="Y370" i="41"/>
  <c r="Y280" i="41"/>
  <c r="Y800" i="41"/>
  <c r="X630" i="41"/>
  <c r="X507" i="41"/>
  <c r="X415" i="41"/>
  <c r="X338" i="41"/>
  <c r="X272" i="41"/>
  <c r="Y563" i="41"/>
  <c r="X327" i="41"/>
  <c r="Y490" i="41"/>
  <c r="Y511" i="41"/>
  <c r="X1025" i="41"/>
  <c r="Y504" i="41"/>
  <c r="Y696" i="41"/>
  <c r="X398" i="41"/>
  <c r="Y476" i="41"/>
  <c r="X773" i="41"/>
  <c r="X439" i="41"/>
  <c r="X813" i="41"/>
  <c r="Y866" i="41"/>
  <c r="Y949" i="41"/>
  <c r="Y641" i="41"/>
  <c r="X508" i="41"/>
  <c r="Y615" i="41"/>
  <c r="Y505" i="41"/>
  <c r="X609" i="41"/>
  <c r="X441" i="41"/>
  <c r="Y1028" i="41"/>
  <c r="X1004" i="41"/>
  <c r="X601" i="41"/>
  <c r="Y417" i="41"/>
  <c r="X290" i="41"/>
  <c r="X174" i="41"/>
  <c r="X58" i="41"/>
  <c r="X956" i="41"/>
  <c r="Y575" i="41"/>
  <c r="Y401" i="41"/>
  <c r="Y277" i="41"/>
  <c r="Y161" i="41"/>
  <c r="Y49" i="41"/>
  <c r="Y718" i="41"/>
  <c r="X486" i="41"/>
  <c r="X339" i="41"/>
  <c r="X253" i="41"/>
  <c r="X165" i="41"/>
  <c r="X69" i="41"/>
  <c r="Y734" i="41"/>
  <c r="Y552" i="41"/>
  <c r="X421" i="41"/>
  <c r="Y320" i="41"/>
  <c r="Y232" i="41"/>
  <c r="Y160" i="41"/>
  <c r="X972" i="41"/>
  <c r="X691" i="41"/>
  <c r="X558" i="41"/>
  <c r="Y451" i="41"/>
  <c r="X370" i="41"/>
  <c r="X300" i="41"/>
  <c r="X236" i="41"/>
  <c r="X172" i="41"/>
  <c r="X108" i="41"/>
  <c r="X44" i="41"/>
  <c r="X723" i="41"/>
  <c r="Y414" i="41"/>
  <c r="Y230" i="41"/>
  <c r="Y67" i="41"/>
  <c r="Y282" i="41"/>
  <c r="X83" i="41"/>
  <c r="X191" i="41"/>
  <c r="Y7" i="41"/>
  <c r="X490" i="41"/>
  <c r="Y123" i="41"/>
  <c r="X654" i="41"/>
  <c r="Y314" i="41"/>
  <c r="X671" i="41"/>
  <c r="X383" i="41"/>
  <c r="Y206" i="41"/>
  <c r="Y50" i="41"/>
  <c r="X223" i="41"/>
  <c r="Y70" i="41"/>
  <c r="Y557" i="41"/>
  <c r="Y322" i="41"/>
  <c r="X151" i="41"/>
  <c r="Y10" i="41"/>
  <c r="X571" i="41"/>
  <c r="Y86" i="41"/>
  <c r="X619" i="41"/>
  <c r="Y355" i="41"/>
  <c r="Y159" i="41"/>
  <c r="X662" i="41"/>
  <c r="X355" i="41"/>
  <c r="X307" i="41"/>
  <c r="Y274" i="41"/>
  <c r="Y240" i="41"/>
  <c r="Y304" i="41"/>
  <c r="X375" i="41"/>
  <c r="Y457" i="41"/>
  <c r="Y566" i="41"/>
  <c r="X699" i="41"/>
  <c r="Y972" i="41"/>
  <c r="X105" i="41"/>
  <c r="X173" i="41"/>
  <c r="X237" i="41"/>
  <c r="X301" i="41"/>
  <c r="X385" i="41"/>
  <c r="X502" i="41"/>
  <c r="Y675" i="41"/>
  <c r="Y1016" i="41"/>
  <c r="Y85" i="41"/>
  <c r="Y173" i="41"/>
  <c r="Y257" i="41"/>
  <c r="X344" i="41"/>
  <c r="Y453" i="41"/>
  <c r="Y600" i="41"/>
  <c r="X828" i="41"/>
  <c r="X14" i="41"/>
  <c r="X98" i="41"/>
  <c r="X182" i="41"/>
  <c r="X270" i="41"/>
  <c r="Y358" i="41"/>
  <c r="X465" i="41"/>
  <c r="X627" i="41"/>
  <c r="Y896" i="41"/>
  <c r="Y868" i="41"/>
  <c r="Y361" i="41"/>
  <c r="Y454" i="41"/>
  <c r="X569" i="41"/>
  <c r="Y715" i="41"/>
  <c r="X663" i="41"/>
  <c r="Y658" i="41"/>
  <c r="X472" i="41"/>
  <c r="X760" i="41"/>
  <c r="Y843" i="41"/>
  <c r="Y1009" i="41"/>
  <c r="Y774" i="41"/>
  <c r="X843" i="41"/>
  <c r="X1013" i="41"/>
  <c r="Y156" i="41"/>
  <c r="Y220" i="41"/>
  <c r="Y284" i="41"/>
  <c r="X352" i="41"/>
  <c r="X431" i="41"/>
  <c r="X530" i="41"/>
  <c r="Y656" i="41"/>
  <c r="X865" i="41"/>
  <c r="X85" i="41"/>
  <c r="X153" i="41"/>
  <c r="X217" i="41"/>
  <c r="X281" i="41"/>
  <c r="Y352" i="41"/>
  <c r="X458" i="41"/>
  <c r="Y616" i="41"/>
  <c r="X868" i="41"/>
  <c r="Y57" i="41"/>
  <c r="Y145" i="41"/>
  <c r="Y229" i="41"/>
  <c r="Y313" i="41"/>
  <c r="X417" i="41"/>
  <c r="Y545" i="41"/>
  <c r="X719" i="41"/>
  <c r="X57" i="41"/>
  <c r="X70" i="41"/>
  <c r="X154" i="41"/>
  <c r="X242" i="41"/>
  <c r="Y326" i="41"/>
  <c r="Y428" i="41"/>
  <c r="Y568" i="41"/>
  <c r="X750" i="41"/>
  <c r="X793" i="41"/>
  <c r="Y333" i="41"/>
  <c r="Y422" i="41"/>
  <c r="Y527" i="41"/>
  <c r="Y667" i="41"/>
  <c r="Y537" i="41"/>
  <c r="X515" i="41"/>
  <c r="X412" i="41"/>
  <c r="Y673" i="41"/>
  <c r="X954" i="41"/>
  <c r="Y343" i="41"/>
  <c r="Y516" i="41"/>
  <c r="Y824" i="41"/>
  <c r="Y61" i="41"/>
  <c r="Y125" i="41"/>
  <c r="Y189" i="41"/>
  <c r="Y253" i="41"/>
  <c r="X353" i="41"/>
  <c r="X531" i="41"/>
  <c r="X869" i="41"/>
  <c r="X81" i="41"/>
  <c r="X62" i="41"/>
  <c r="X126" i="41"/>
  <c r="X190" i="41"/>
  <c r="X254" i="41"/>
  <c r="Y391" i="41"/>
  <c r="Y591" i="41"/>
  <c r="Y735" i="41"/>
  <c r="Y345" i="41"/>
  <c r="Y486" i="41"/>
  <c r="Y694" i="41"/>
  <c r="Y904" i="41"/>
  <c r="X440" i="41"/>
  <c r="X1008" i="41"/>
  <c r="Y945" i="41"/>
  <c r="Y898" i="41"/>
  <c r="Y395" i="41"/>
  <c r="X598" i="41"/>
  <c r="Y9" i="41"/>
  <c r="Y73" i="41"/>
  <c r="Y137" i="41"/>
  <c r="Y201" i="41"/>
  <c r="Y265" i="41"/>
  <c r="Y406" i="41"/>
  <c r="X617" i="41"/>
  <c r="X45" i="41"/>
  <c r="X42" i="41"/>
  <c r="X106" i="41"/>
  <c r="X170" i="41"/>
  <c r="X234" i="41"/>
  <c r="Y367" i="41"/>
  <c r="X554" i="41"/>
  <c r="X940" i="41"/>
  <c r="Y325" i="41"/>
  <c r="Y463" i="41"/>
  <c r="X657" i="41"/>
  <c r="X706" i="41"/>
  <c r="X404" i="41"/>
  <c r="X824" i="41"/>
  <c r="Y853" i="41"/>
  <c r="Y806" i="41"/>
  <c r="X1031" i="41"/>
  <c r="X418" i="41"/>
  <c r="Y197" i="41"/>
  <c r="X567" i="41"/>
  <c r="X77" i="41"/>
  <c r="Y244" i="41"/>
  <c r="Y928" i="41"/>
  <c r="X220" i="41"/>
  <c r="X84" i="41"/>
  <c r="X471" i="41"/>
  <c r="Y35" i="41"/>
  <c r="Y940" i="41"/>
  <c r="Y418" i="41"/>
  <c r="Y250" i="41"/>
  <c r="Y58" i="41"/>
  <c r="X369" i="41"/>
  <c r="X71" i="41"/>
  <c r="X368" i="41"/>
  <c r="X587" i="41"/>
  <c r="Y638" i="41"/>
  <c r="X78" i="41"/>
  <c r="Y25" i="41"/>
  <c r="X245" i="41"/>
  <c r="X25" i="41"/>
  <c r="Y224" i="41"/>
  <c r="Y744" i="41"/>
  <c r="X208" i="41"/>
  <c r="X68" i="41"/>
  <c r="X155" i="41"/>
  <c r="Y131" i="41"/>
  <c r="Y30" i="41"/>
  <c r="X67" i="41"/>
  <c r="Y34" i="41"/>
  <c r="X279" i="41"/>
  <c r="X730" i="41"/>
  <c r="Y644" i="41"/>
  <c r="Y275" i="41"/>
  <c r="X135" i="41"/>
  <c r="X389" i="41"/>
  <c r="X196" i="41"/>
  <c r="X64" i="41"/>
  <c r="Y99" i="41"/>
  <c r="Y920" i="41"/>
  <c r="Y628" i="41"/>
  <c r="Y439" i="41"/>
  <c r="X235" i="41"/>
  <c r="Y258" i="41"/>
  <c r="X147" i="41"/>
  <c r="Y87" i="41"/>
  <c r="Y62" i="41"/>
  <c r="Y63" i="41"/>
  <c r="Y219" i="41"/>
  <c r="X127" i="41"/>
  <c r="Y65" i="41"/>
  <c r="X37" i="41"/>
  <c r="X122" i="41"/>
  <c r="X278" i="41"/>
  <c r="Y550" i="41"/>
  <c r="X23" i="41"/>
  <c r="X107" i="41"/>
  <c r="X382" i="41"/>
  <c r="Y549" i="41"/>
  <c r="Y80" i="41"/>
  <c r="Y299" i="41"/>
  <c r="X31" i="41"/>
  <c r="Y66" i="41"/>
  <c r="Y483" i="41"/>
  <c r="Y146" i="41"/>
  <c r="X15" i="41"/>
  <c r="X75" i="41"/>
  <c r="Y83" i="41"/>
  <c r="X52" i="41"/>
  <c r="X224" i="41"/>
  <c r="Y112" i="41"/>
  <c r="X623" i="41"/>
  <c r="X233" i="41"/>
  <c r="Y225" i="41"/>
  <c r="X130" i="41"/>
  <c r="X743" i="41"/>
  <c r="Y22" i="41"/>
  <c r="Y127" i="41"/>
  <c r="Y307" i="41"/>
  <c r="X55" i="41"/>
  <c r="X11" i="41"/>
  <c r="Y227" i="41"/>
  <c r="X629" i="41"/>
  <c r="X144" i="41"/>
  <c r="Y116" i="41"/>
  <c r="X41" i="41"/>
  <c r="Y5" i="41"/>
  <c r="X376" i="41"/>
  <c r="X214" i="41"/>
  <c r="Y676" i="41"/>
  <c r="X238" i="41"/>
  <c r="X159" i="41"/>
  <c r="Y40" i="41"/>
  <c r="X227" i="41"/>
  <c r="X143" i="41"/>
  <c r="X160" i="41"/>
  <c r="Y236" i="41"/>
  <c r="X246" i="41"/>
  <c r="X229" i="41"/>
  <c r="X218" i="41"/>
  <c r="X256" i="41"/>
  <c r="Y142" i="41"/>
  <c r="Y47" i="41"/>
  <c r="Y672" i="41"/>
  <c r="X131" i="41"/>
  <c r="Y59" i="41"/>
  <c r="X193" i="41"/>
  <c r="Y39" i="41"/>
  <c r="Y54" i="41"/>
  <c r="Y419" i="41"/>
  <c r="Y198" i="41"/>
  <c r="X8" i="41"/>
  <c r="X96" i="41"/>
  <c r="X180" i="41"/>
  <c r="X264" i="41"/>
  <c r="X613" i="41"/>
  <c r="Y164" i="41"/>
  <c r="Y356" i="41"/>
  <c r="X33" i="41"/>
  <c r="X177" i="41"/>
  <c r="X545" i="41"/>
  <c r="Y149" i="41"/>
  <c r="Y567" i="41"/>
  <c r="X50" i="41"/>
  <c r="X210" i="41"/>
  <c r="Y369" i="41"/>
  <c r="X539" i="41"/>
  <c r="X231" i="41"/>
  <c r="X63" i="41"/>
  <c r="X769" i="41"/>
  <c r="Y278" i="41"/>
  <c r="Y318" i="41"/>
  <c r="Y88" i="41"/>
  <c r="Y38" i="41"/>
  <c r="Y118" i="41"/>
  <c r="Y183" i="41"/>
  <c r="X167" i="41"/>
  <c r="X91" i="41"/>
  <c r="Y12" i="41"/>
  <c r="Y207" i="41"/>
  <c r="X16" i="41"/>
  <c r="X100" i="41"/>
  <c r="X188" i="41"/>
  <c r="Y529" i="41"/>
  <c r="Y168" i="41"/>
  <c r="Y467" i="41"/>
  <c r="X129" i="41"/>
  <c r="X241" i="41"/>
  <c r="Y81" i="41"/>
  <c r="Y237" i="41"/>
  <c r="X65" i="41"/>
  <c r="X146" i="41"/>
  <c r="Y960" i="41"/>
  <c r="Y249" i="41"/>
  <c r="X6" i="41"/>
  <c r="X162" i="41"/>
  <c r="Y436" i="41"/>
  <c r="Y167" i="41"/>
  <c r="X988" i="41"/>
  <c r="Y319" i="41"/>
  <c r="X247" i="41"/>
  <c r="Y18" i="41"/>
  <c r="X111" i="41"/>
  <c r="Y147" i="41"/>
  <c r="Y134" i="41"/>
  <c r="X72" i="41"/>
  <c r="X244" i="41"/>
  <c r="Y140" i="41"/>
  <c r="X149" i="41"/>
  <c r="X90" i="41"/>
  <c r="Y943" i="41"/>
  <c r="Y141" i="41"/>
  <c r="Y919" i="41"/>
  <c r="Y106" i="41"/>
  <c r="Y309" i="41"/>
  <c r="Y128" i="41"/>
  <c r="X124" i="41"/>
  <c r="X603" i="41"/>
  <c r="Y231" i="41"/>
  <c r="Y46" i="41"/>
  <c r="Y202" i="41"/>
  <c r="X371" i="41"/>
  <c r="X40" i="41"/>
  <c r="X103" i="41"/>
  <c r="Y97" i="41"/>
  <c r="X104" i="41"/>
  <c r="Y76" i="41"/>
  <c r="X150" i="41"/>
  <c r="Y96" i="41"/>
  <c r="Y51" i="41"/>
  <c r="Y16" i="41"/>
  <c r="X119" i="41"/>
  <c r="X175" i="41"/>
  <c r="Y251" i="41"/>
  <c r="X87" i="41"/>
  <c r="X500" i="41"/>
  <c r="X888" i="41"/>
  <c r="Y971" i="41"/>
  <c r="X766" i="41"/>
  <c r="Y838" i="41"/>
  <c r="X907" i="41"/>
  <c r="X380" i="41"/>
  <c r="X463" i="41"/>
  <c r="X575" i="41"/>
  <c r="X709" i="41"/>
  <c r="X996" i="41"/>
  <c r="Y317" i="41"/>
  <c r="X391" i="41"/>
  <c r="Y474" i="41"/>
  <c r="X591" i="41"/>
  <c r="Y728" i="41"/>
  <c r="X286" i="41"/>
  <c r="X354" i="41"/>
  <c r="Y433" i="41"/>
  <c r="Y531" i="41"/>
  <c r="Y660" i="41"/>
  <c r="X876" i="41"/>
  <c r="Y804" i="41"/>
  <c r="X985" i="41"/>
  <c r="Y377" i="41"/>
  <c r="X450" i="41"/>
  <c r="Y532" i="41"/>
  <c r="Y630" i="41"/>
  <c r="X849" i="41"/>
  <c r="X658" i="41"/>
  <c r="X538" i="41"/>
  <c r="Y991" i="41"/>
  <c r="X504" i="41"/>
  <c r="X752" i="41"/>
  <c r="Y701" i="41"/>
  <c r="Y817" i="41"/>
  <c r="X794" i="41"/>
  <c r="Y770" i="41"/>
  <c r="Y1026" i="41"/>
  <c r="X357" i="41"/>
  <c r="Y437" i="41"/>
  <c r="Y538" i="41"/>
  <c r="Y666" i="41"/>
  <c r="Y888" i="41"/>
  <c r="Y297" i="41"/>
  <c r="X367" i="41"/>
  <c r="Y448" i="41"/>
  <c r="Y553" i="41"/>
  <c r="X686" i="41"/>
  <c r="X933" i="41"/>
  <c r="X266" i="41"/>
  <c r="X331" i="41"/>
  <c r="X407" i="41"/>
  <c r="X495" i="41"/>
  <c r="X618" i="41"/>
  <c r="Y768" i="41"/>
  <c r="Y751" i="41"/>
  <c r="Y932" i="41"/>
  <c r="Y357" i="41"/>
  <c r="X427" i="41"/>
  <c r="Y500" i="41"/>
  <c r="Y603" i="41"/>
  <c r="Y710" i="41"/>
  <c r="X542" i="41"/>
  <c r="Y1000" i="41"/>
  <c r="X749" i="41"/>
  <c r="X468" i="41"/>
  <c r="X660" i="41"/>
  <c r="Y609" i="41"/>
  <c r="Y979" i="41"/>
  <c r="Y981" i="41"/>
  <c r="X958" i="41"/>
  <c r="Y934" i="41"/>
  <c r="X911" i="41"/>
  <c r="X434" i="41"/>
  <c r="X444" i="41"/>
  <c r="X402" i="41"/>
  <c r="Y650" i="41"/>
  <c r="X277" i="41"/>
  <c r="Y394" i="41"/>
  <c r="Y596" i="41"/>
  <c r="X316" i="41"/>
  <c r="Y602" i="41"/>
  <c r="Y944" i="41"/>
  <c r="X378" i="41"/>
  <c r="Y423" i="41"/>
  <c r="Y916" i="41"/>
  <c r="X908" i="41"/>
  <c r="X1028" i="41"/>
  <c r="X713" i="41"/>
  <c r="Y510" i="41"/>
  <c r="X262" i="41"/>
  <c r="Y464" i="41"/>
  <c r="X343" i="41"/>
  <c r="Y543" i="41"/>
  <c r="X288" i="41"/>
  <c r="X965" i="41"/>
  <c r="X742" i="41"/>
  <c r="X455" i="41"/>
  <c r="Y670" i="41"/>
  <c r="X345" i="41"/>
  <c r="Y618" i="41"/>
  <c r="Y515" i="41"/>
  <c r="Y535" i="41"/>
  <c r="Y294" i="41"/>
  <c r="X350" i="41"/>
  <c r="Y263" i="41"/>
  <c r="X332" i="41"/>
  <c r="Y571" i="41"/>
  <c r="X326" i="41"/>
  <c r="Y459" i="41"/>
  <c r="Y353" i="41"/>
  <c r="X615" i="41"/>
  <c r="Y471" i="41"/>
  <c r="Y298" i="41"/>
  <c r="X707" i="41"/>
  <c r="X557" i="41"/>
  <c r="Y286" i="41"/>
  <c r="Y520" i="41"/>
  <c r="Y279" i="41"/>
  <c r="X961" i="41"/>
  <c r="Y792" i="41"/>
  <c r="X445" i="41"/>
  <c r="Y470" i="41"/>
  <c r="Y526" i="41"/>
  <c r="Y328" i="41"/>
  <c r="X493" i="41"/>
  <c r="X757" i="41"/>
  <c r="Y264" i="41"/>
  <c r="Y462" i="41"/>
  <c r="X321" i="41"/>
  <c r="X932" i="41"/>
  <c r="Y371" i="41"/>
  <c r="X314" i="41"/>
  <c r="Y832" i="41"/>
  <c r="Y564" i="41"/>
  <c r="X496" i="41"/>
  <c r="X464" i="41"/>
  <c r="X513" i="41"/>
  <c r="Y408" i="41"/>
  <c r="X941" i="41"/>
  <c r="Y592" i="41"/>
  <c r="Y540" i="41"/>
  <c r="X336" i="41"/>
  <c r="Y855" i="41"/>
  <c r="Y460" i="41"/>
  <c r="Y351" i="41"/>
  <c r="X885" i="41"/>
  <c r="Y268" i="41"/>
  <c r="X330" i="41"/>
  <c r="X322" i="41"/>
  <c r="Y582" i="41"/>
  <c r="Y584" i="41"/>
  <c r="Y574" i="41"/>
  <c r="Y378" i="41"/>
  <c r="Y664" i="41"/>
  <c r="Y536" i="41"/>
  <c r="X401" i="41"/>
  <c r="X443" i="41"/>
  <c r="Y915" i="41"/>
  <c r="Y908" i="41"/>
  <c r="Y791" i="41"/>
  <c r="Y512" i="41"/>
  <c r="X845" i="41"/>
  <c r="Y300" i="41"/>
  <c r="X678" i="41"/>
  <c r="Y812" i="41"/>
  <c r="X447" i="41"/>
  <c r="Y287" i="41"/>
  <c r="X478" i="41"/>
  <c r="X474" i="41"/>
  <c r="X399" i="41"/>
  <c r="Y166" i="41"/>
  <c r="Y347" i="41"/>
  <c r="X211" i="41"/>
  <c r="X53" i="41"/>
  <c r="Y177" i="41"/>
  <c r="X148" i="41"/>
  <c r="X435" i="41"/>
  <c r="Y382" i="41"/>
  <c r="X259" i="41"/>
  <c r="Y11" i="41"/>
  <c r="X92" i="41"/>
  <c r="Y441" i="41"/>
  <c r="Y256" i="41"/>
  <c r="Y205" i="41"/>
  <c r="X482" i="41"/>
  <c r="Y270" i="41"/>
  <c r="X43" i="41"/>
  <c r="Y506" i="41"/>
  <c r="X324" i="41"/>
  <c r="X101" i="41"/>
  <c r="X562" i="41"/>
  <c r="Y481" i="41"/>
  <c r="X837" i="41"/>
  <c r="X95" i="41"/>
  <c r="Y271" i="41"/>
  <c r="X176" i="41"/>
  <c r="Y192" i="41"/>
  <c r="X113" i="41"/>
  <c r="Y117" i="41"/>
  <c r="Y52" i="41"/>
  <c r="Y534" i="41"/>
  <c r="Y310" i="41"/>
  <c r="Y56" i="41"/>
  <c r="Y498" i="41"/>
  <c r="X139" i="41"/>
  <c r="Y359" i="41"/>
  <c r="Y210" i="41"/>
  <c r="Y115" i="41"/>
  <c r="Y111" i="41"/>
  <c r="X48" i="41"/>
  <c r="X192" i="41"/>
  <c r="X485" i="41"/>
  <c r="Y200" i="41"/>
  <c r="Y844" i="41"/>
  <c r="X221" i="41"/>
  <c r="Y133" i="41"/>
  <c r="X34" i="41"/>
  <c r="Y924" i="41"/>
  <c r="Y246" i="41"/>
  <c r="Y171" i="41"/>
  <c r="X99" i="41"/>
  <c r="X168" i="41"/>
  <c r="Y204" i="41"/>
  <c r="X145" i="41"/>
  <c r="Y21" i="41"/>
  <c r="Y385" i="41"/>
  <c r="X258" i="41"/>
  <c r="X689" i="41"/>
  <c r="Y386" i="41"/>
  <c r="X166" i="41"/>
  <c r="X18" i="41"/>
  <c r="Y193" i="41"/>
  <c r="Y33" i="41"/>
  <c r="X201" i="41"/>
  <c r="X89" i="41"/>
  <c r="Y308" i="41"/>
  <c r="Y184" i="41"/>
  <c r="X949" i="41"/>
  <c r="X365" i="41"/>
  <c r="X200" i="41"/>
  <c r="X116" i="41"/>
  <c r="X32" i="41"/>
  <c r="X251" i="41"/>
  <c r="Y43" i="41"/>
  <c r="X27" i="41"/>
  <c r="X115" i="41"/>
  <c r="Y44" i="41"/>
  <c r="Y372" i="41"/>
  <c r="Y110" i="41"/>
  <c r="Y15" i="41"/>
  <c r="Y688" i="41"/>
  <c r="Y130" i="41"/>
  <c r="Y403" i="41"/>
  <c r="X311" i="41"/>
  <c r="Y579" i="41"/>
  <c r="Y440" i="41"/>
  <c r="X1029" i="41"/>
  <c r="Y407" i="41"/>
  <c r="Y363" i="41"/>
  <c r="X284" i="41"/>
  <c r="Y430" i="41"/>
  <c r="Y655" i="41"/>
  <c r="X361" i="41"/>
  <c r="Y682" i="41"/>
  <c r="X553" i="41"/>
  <c r="X643" i="41"/>
  <c r="Y547" i="41"/>
  <c r="X409" i="41"/>
  <c r="X506" i="41"/>
  <c r="X692" i="41"/>
  <c r="X438" i="41"/>
  <c r="X381" i="41"/>
  <c r="X825" i="41"/>
  <c r="Y662" i="41"/>
  <c r="Y605" i="41"/>
  <c r="Y315" i="41"/>
  <c r="X595" i="41"/>
  <c r="Y450" i="41"/>
  <c r="X860" i="41"/>
  <c r="Y704" i="41"/>
  <c r="Y397" i="41"/>
  <c r="X646" i="41"/>
  <c r="X585" i="41"/>
  <c r="X263" i="41"/>
  <c r="X271" i="41"/>
  <c r="Y402" i="41"/>
  <c r="X296" i="41"/>
  <c r="Y446" i="41"/>
  <c r="X682" i="41"/>
  <c r="Y405" i="41"/>
  <c r="Y823" i="41"/>
  <c r="X273" i="41"/>
  <c r="X659" i="41"/>
  <c r="Y269" i="41"/>
  <c r="Y784" i="41"/>
  <c r="Y634" i="41"/>
  <c r="Y477" i="41"/>
  <c r="Y820" i="41"/>
  <c r="Y772" i="41"/>
  <c r="Y447" i="41"/>
  <c r="Y312" i="41"/>
  <c r="X734" i="41"/>
  <c r="X681" i="41"/>
  <c r="Y611" i="41"/>
  <c r="X477" i="41"/>
  <c r="Y434" i="41"/>
  <c r="Y475" i="41"/>
  <c r="X677" i="41"/>
  <c r="Y375" i="41"/>
  <c r="Y452" i="41"/>
  <c r="Y724" i="41"/>
  <c r="Y360" i="41"/>
  <c r="X283" i="41"/>
  <c r="Y336" i="41"/>
  <c r="X900" i="41"/>
  <c r="X661" i="41"/>
  <c r="X535" i="41"/>
  <c r="X670" i="41"/>
  <c r="X356" i="41"/>
  <c r="X534" i="41"/>
  <c r="Y388" i="41"/>
  <c r="X892" i="41"/>
  <c r="X317" i="41"/>
  <c r="Y410" i="41"/>
  <c r="X665" i="41"/>
  <c r="Y409" i="41"/>
  <c r="X364" i="41"/>
  <c r="X650" i="41"/>
  <c r="Y606" i="41"/>
  <c r="Y489" i="41"/>
  <c r="X414" i="41"/>
  <c r="Y816" i="41"/>
  <c r="Y290" i="41"/>
  <c r="Y466" i="41"/>
  <c r="X525" i="41"/>
  <c r="Y368" i="41"/>
  <c r="X342" i="41"/>
  <c r="X287" i="41"/>
  <c r="X430" i="41"/>
  <c r="Y651" i="41"/>
  <c r="X186" i="41"/>
  <c r="Y305" i="41"/>
  <c r="X804" i="41"/>
  <c r="X213" i="41"/>
  <c r="X718" i="41"/>
  <c r="Y296" i="41"/>
  <c r="Y108" i="41"/>
  <c r="Y478" i="41"/>
  <c r="X252" i="41"/>
  <c r="X112" i="41"/>
  <c r="Y654" i="41"/>
  <c r="Y75" i="41"/>
  <c r="X51" i="41"/>
  <c r="X655" i="41"/>
  <c r="X563" i="41"/>
  <c r="Y346" i="41"/>
  <c r="Y126" i="41"/>
  <c r="X215" i="41"/>
  <c r="X498" i="41"/>
  <c r="Y449" i="41"/>
  <c r="Y495" i="41"/>
  <c r="X178" i="41"/>
  <c r="Y245" i="41"/>
  <c r="Y692" i="41"/>
  <c r="X197" i="41"/>
  <c r="Y691" i="41"/>
  <c r="Y260" i="41"/>
  <c r="Y104" i="41"/>
  <c r="Y472" i="41"/>
  <c r="X240" i="41"/>
  <c r="X36" i="41"/>
  <c r="Y239" i="41"/>
  <c r="X239" i="41"/>
  <c r="X275" i="41"/>
  <c r="Y455" i="41"/>
  <c r="Y55" i="41"/>
  <c r="Y24" i="41"/>
  <c r="X877" i="41"/>
  <c r="Y917" i="41"/>
  <c r="X454" i="41"/>
  <c r="X805" i="41"/>
  <c r="Y89" i="41"/>
  <c r="X289" i="41"/>
  <c r="X97" i="41"/>
  <c r="Y400" i="41"/>
  <c r="Y176" i="41"/>
  <c r="X606" i="41"/>
  <c r="X320" i="41"/>
  <c r="X164" i="41"/>
  <c r="X28" i="41"/>
  <c r="X219" i="41"/>
  <c r="Y195" i="41"/>
  <c r="Y222" i="41"/>
  <c r="Y60" i="41"/>
  <c r="Y627" i="41"/>
  <c r="Y90" i="41"/>
  <c r="X1005" i="41"/>
  <c r="Y162" i="41"/>
  <c r="X772" i="41"/>
  <c r="Y223" i="41"/>
  <c r="X295" i="41"/>
  <c r="X161" i="41"/>
  <c r="X403" i="41"/>
  <c r="Y254" i="41"/>
  <c r="Y42" i="41"/>
  <c r="X340" i="41"/>
  <c r="X80" i="41"/>
  <c r="Y8" i="41"/>
  <c r="Y148" i="41"/>
  <c r="X212" i="41"/>
  <c r="X102" i="41"/>
  <c r="Y387" i="41"/>
  <c r="X341" i="41"/>
  <c r="Y19" i="41"/>
  <c r="Y228" i="41"/>
  <c r="Y215" i="41"/>
  <c r="Y178" i="41"/>
  <c r="X257" i="41"/>
  <c r="Y37" i="41"/>
  <c r="Y154" i="41"/>
  <c r="Y182" i="41"/>
  <c r="X292" i="41"/>
  <c r="X714" i="41"/>
  <c r="F16" i="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bradp</author>
  </authors>
  <commentList>
    <comment ref="D2" authorId="0" shapeId="0" xr:uid="{00000000-0006-0000-0400-000001000000}">
      <text>
        <r>
          <rPr>
            <b/>
            <sz val="8"/>
            <color indexed="81"/>
            <rFont val="Tahoma"/>
            <family val="2"/>
          </rPr>
          <t>bradp:</t>
        </r>
        <r>
          <rPr>
            <sz val="8"/>
            <color indexed="81"/>
            <rFont val="Tahoma"/>
            <family val="2"/>
          </rPr>
          <t xml:space="preserve">
This is just for visual verification;  this will not load into SM.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 Kaltenbaugh</author>
  </authors>
  <commentList>
    <comment ref="B22" authorId="0" shapeId="0" xr:uid="{00000000-0006-0000-0B00-000001000000}">
      <text>
        <r>
          <rPr>
            <b/>
            <sz val="9"/>
            <color indexed="81"/>
            <rFont val="Tahoma"/>
            <family val="2"/>
          </rPr>
          <t xml:space="preserve">The input filename will normally be used to label the data on the chart and the report. If you wish to customize the name shown on the chart and report, enter any text here.
</t>
        </r>
      </text>
    </comment>
    <comment ref="B23" authorId="0" shapeId="0" xr:uid="{00000000-0006-0000-0B00-000002000000}">
      <text>
        <r>
          <rPr>
            <b/>
            <sz val="9"/>
            <color indexed="81"/>
            <rFont val="Tahoma"/>
            <family val="2"/>
          </rPr>
          <t>Optional Information - Not required for calculations.</t>
        </r>
      </text>
    </comment>
    <comment ref="B24" authorId="0" shapeId="0" xr:uid="{00000000-0006-0000-0B00-000003000000}">
      <text>
        <r>
          <rPr>
            <b/>
            <sz val="9"/>
            <color indexed="81"/>
            <rFont val="Tahoma"/>
            <family val="2"/>
          </rPr>
          <t>Optional Information - Not required for calculations.</t>
        </r>
      </text>
    </comment>
    <comment ref="B25" authorId="0" shapeId="0" xr:uid="{00000000-0006-0000-0B00-000004000000}">
      <text>
        <r>
          <rPr>
            <b/>
            <sz val="9"/>
            <color indexed="81"/>
            <rFont val="Tahoma"/>
            <family val="2"/>
          </rPr>
          <t>Specimen Diameter - automatically input from .ITD File.</t>
        </r>
      </text>
    </comment>
    <comment ref="B26" authorId="0" shapeId="0" xr:uid="{00000000-0006-0000-0B00-000005000000}">
      <text>
        <r>
          <rPr>
            <b/>
            <sz val="9"/>
            <color indexed="81"/>
            <rFont val="Tahoma"/>
            <family val="2"/>
          </rPr>
          <t>Specimen Thickness - automatically input from .ITD File.</t>
        </r>
      </text>
    </comment>
    <comment ref="A28" authorId="0" shapeId="0" xr:uid="{00000000-0006-0000-0B00-000006000000}">
      <text>
        <r>
          <rPr>
            <b/>
            <sz val="9"/>
            <color indexed="81"/>
            <rFont val="Tahoma"/>
            <family val="2"/>
          </rPr>
          <t>FILENAME - automatically input from .ITD File.</t>
        </r>
      </text>
    </comment>
    <comment ref="A29" authorId="0" shapeId="0" xr:uid="{00000000-0006-0000-0B00-000007000000}">
      <text>
        <r>
          <rPr>
            <b/>
            <sz val="11"/>
            <color indexed="81"/>
            <rFont val="Tahoma"/>
            <family val="2"/>
          </rPr>
          <t>Displacement at Peak Load</t>
        </r>
      </text>
    </comment>
    <comment ref="B29" authorId="0" shapeId="0" xr:uid="{00000000-0006-0000-0B00-000008000000}">
      <text>
        <r>
          <rPr>
            <b/>
            <sz val="11"/>
            <color indexed="81"/>
            <rFont val="Tahoma"/>
            <family val="2"/>
          </rPr>
          <t>Peak Load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bradp</author>
  </authors>
  <commentList>
    <comment ref="Z2" authorId="0" shapeId="0" xr:uid="{00000000-0006-0000-1100-000001000000}">
      <text>
        <r>
          <rPr>
            <b/>
            <sz val="8"/>
            <color indexed="81"/>
            <rFont val="Tahoma"/>
            <family val="2"/>
          </rPr>
          <t>bradp:</t>
        </r>
        <r>
          <rPr>
            <sz val="8"/>
            <color indexed="81"/>
            <rFont val="Tahoma"/>
            <family val="2"/>
          </rPr>
          <t xml:space="preserve">
</t>
        </r>
        <r>
          <rPr>
            <b/>
            <sz val="8"/>
            <color indexed="81"/>
            <rFont val="Tahoma"/>
            <family val="2"/>
          </rPr>
          <t>UNABLE TO DO THIS DUE TO THE NUMBER OF SYNTAX ROWS REQUIRED TO BUILD THIS TEMPLATE (I.E., APPROACHING 1000 ROWS)</t>
        </r>
      </text>
    </comment>
    <comment ref="W142" authorId="0" shapeId="0" xr:uid="{00000000-0006-0000-1100-000002000000}">
      <text>
        <r>
          <rPr>
            <b/>
            <sz val="8"/>
            <color indexed="81"/>
            <rFont val="Tahoma"/>
            <family val="2"/>
          </rPr>
          <t>bradp:</t>
        </r>
        <r>
          <rPr>
            <sz val="8"/>
            <color indexed="81"/>
            <rFont val="Tahoma"/>
            <family val="2"/>
          </rPr>
          <t xml:space="preserve">
</t>
        </r>
        <r>
          <rPr>
            <sz val="12"/>
            <color indexed="81"/>
            <rFont val="Tahoma"/>
            <family val="2"/>
          </rPr>
          <t>Label should not appear on the template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Brad Parks</author>
    <author>bradp</author>
  </authors>
  <commentList>
    <comment ref="A1" authorId="0" shapeId="0" xr:uid="{00000000-0006-0000-1200-000001000000}">
      <text>
        <r>
          <rPr>
            <b/>
            <sz val="10"/>
            <color indexed="81"/>
            <rFont val="Tahoma"/>
            <family val="2"/>
          </rPr>
          <t>Brad Parks:</t>
        </r>
        <r>
          <rPr>
            <sz val="10"/>
            <color indexed="81"/>
            <rFont val="Tahoma"/>
            <family val="2"/>
          </rPr>
          <t xml:space="preserve">
c = comment row
d = current system date row</t>
        </r>
      </text>
    </comment>
    <comment ref="M5" authorId="1" shapeId="0" xr:uid="{00000000-0006-0000-1200-000002000000}">
      <text>
        <r>
          <rPr>
            <b/>
            <sz val="8"/>
            <color indexed="81"/>
            <rFont val="Tahoma"/>
            <family val="2"/>
          </rPr>
          <t>bradp:</t>
        </r>
        <r>
          <rPr>
            <sz val="8"/>
            <color indexed="81"/>
            <rFont val="Tahoma"/>
            <family val="2"/>
          </rPr>
          <t xml:space="preserve">
In other disciplines, this is "System Date the sample was successfully imported into SiteManager."</t>
        </r>
      </text>
    </comment>
    <comment ref="U5" authorId="1" shapeId="0" xr:uid="{00000000-0006-0000-1200-000003000000}">
      <text>
        <r>
          <rPr>
            <b/>
            <sz val="8"/>
            <color indexed="81"/>
            <rFont val="Tahoma"/>
            <family val="2"/>
          </rPr>
          <t>bradp:</t>
        </r>
        <r>
          <rPr>
            <sz val="8"/>
            <color indexed="81"/>
            <rFont val="Tahoma"/>
            <family val="2"/>
          </rPr>
          <t xml:space="preserve">
Still want the label "Sample Date"?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Brad Parks</author>
  </authors>
  <commentList>
    <comment ref="A1" authorId="0" shapeId="0" xr:uid="{00000000-0006-0000-1300-000001000000}">
      <text>
        <r>
          <rPr>
            <b/>
            <sz val="10"/>
            <color indexed="81"/>
            <rFont val="Tahoma"/>
            <family val="2"/>
          </rPr>
          <t>Brad Parks:</t>
        </r>
        <r>
          <rPr>
            <sz val="10"/>
            <color indexed="81"/>
            <rFont val="Tahoma"/>
            <family val="2"/>
          </rPr>
          <t xml:space="preserve">
c = comment row
d = current system date row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Brad Parks</author>
  </authors>
  <commentList>
    <comment ref="A1" authorId="0" shapeId="0" xr:uid="{00000000-0006-0000-1400-000001000000}">
      <text>
        <r>
          <rPr>
            <b/>
            <sz val="10"/>
            <color indexed="81"/>
            <rFont val="Tahoma"/>
            <family val="2"/>
          </rPr>
          <t>Brad Parks:</t>
        </r>
        <r>
          <rPr>
            <sz val="10"/>
            <color indexed="81"/>
            <rFont val="Tahoma"/>
            <family val="2"/>
          </rPr>
          <t xml:space="preserve">
c = comment row
d = current system date row</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Brad Parks</author>
  </authors>
  <commentList>
    <comment ref="A1" authorId="0" shapeId="0" xr:uid="{00000000-0006-0000-1500-000001000000}">
      <text>
        <r>
          <rPr>
            <b/>
            <sz val="10"/>
            <color indexed="81"/>
            <rFont val="Tahoma"/>
            <family val="2"/>
          </rPr>
          <t>Brad Parks:</t>
        </r>
        <r>
          <rPr>
            <sz val="10"/>
            <color indexed="81"/>
            <rFont val="Tahoma"/>
            <family val="2"/>
          </rPr>
          <t xml:space="preserve">
c = comment row
d = current system date row</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Brad Parks</author>
  </authors>
  <commentList>
    <comment ref="A1" authorId="0" shapeId="0" xr:uid="{00000000-0006-0000-1600-000001000000}">
      <text>
        <r>
          <rPr>
            <b/>
            <sz val="10"/>
            <color indexed="81"/>
            <rFont val="Tahoma"/>
            <family val="2"/>
          </rPr>
          <t>Brad Parks:</t>
        </r>
        <r>
          <rPr>
            <sz val="10"/>
            <color indexed="81"/>
            <rFont val="Tahoma"/>
            <family val="2"/>
          </rPr>
          <t xml:space="preserve">
c = comment row
d = current system date row</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Brad Parks</author>
  </authors>
  <commentList>
    <comment ref="A1" authorId="0" shapeId="0" xr:uid="{00000000-0006-0000-1700-000001000000}">
      <text>
        <r>
          <rPr>
            <b/>
            <sz val="10"/>
            <color indexed="81"/>
            <rFont val="Tahoma"/>
            <family val="2"/>
          </rPr>
          <t>Brad Parks:</t>
        </r>
        <r>
          <rPr>
            <sz val="10"/>
            <color indexed="81"/>
            <rFont val="Tahoma"/>
            <family val="2"/>
          </rPr>
          <t xml:space="preserve">
c = comment row
d = current system date row</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Brad Parks</author>
    <author>bradp</author>
  </authors>
  <commentList>
    <comment ref="A1" authorId="0" shapeId="0" xr:uid="{00000000-0006-0000-1800-000001000000}">
      <text>
        <r>
          <rPr>
            <b/>
            <sz val="10"/>
            <color indexed="81"/>
            <rFont val="Tahoma"/>
            <family val="2"/>
          </rPr>
          <t>Brad Parks:</t>
        </r>
        <r>
          <rPr>
            <sz val="10"/>
            <color indexed="81"/>
            <rFont val="Tahoma"/>
            <family val="2"/>
          </rPr>
          <t xml:space="preserve">
c = comment row
d = current system date row</t>
        </r>
      </text>
    </comment>
    <comment ref="G4" authorId="1" shapeId="0" xr:uid="{00000000-0006-0000-1800-000002000000}">
      <text>
        <r>
          <rPr>
            <b/>
            <sz val="8"/>
            <color indexed="81"/>
            <rFont val="Tahoma"/>
            <family val="2"/>
          </rPr>
          <t>bradp:</t>
        </r>
        <r>
          <rPr>
            <sz val="8"/>
            <color indexed="81"/>
            <rFont val="Tahoma"/>
            <family val="2"/>
          </rPr>
          <t xml:space="preserve">
9/15/06 - Changed Date Format to be consistent for all KYTC templates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Brad Parks</author>
    <author>bradp</author>
  </authors>
  <commentList>
    <comment ref="A1" authorId="0" shapeId="0" xr:uid="{00000000-0006-0000-1900-000001000000}">
      <text>
        <r>
          <rPr>
            <b/>
            <sz val="10"/>
            <color indexed="81"/>
            <rFont val="Tahoma"/>
            <family val="2"/>
          </rPr>
          <t>Brad Parks:</t>
        </r>
        <r>
          <rPr>
            <sz val="10"/>
            <color indexed="81"/>
            <rFont val="Tahoma"/>
            <family val="2"/>
          </rPr>
          <t xml:space="preserve">
c = comment row
d = current system date row</t>
        </r>
      </text>
    </comment>
    <comment ref="H8" authorId="1" shapeId="0" xr:uid="{00000000-0006-0000-1900-000002000000}">
      <text>
        <r>
          <rPr>
            <b/>
            <sz val="8"/>
            <color indexed="81"/>
            <rFont val="Tahoma"/>
            <family val="2"/>
          </rPr>
          <t>bradp:</t>
        </r>
        <r>
          <rPr>
            <sz val="8"/>
            <color indexed="81"/>
            <rFont val="Tahoma"/>
            <family val="2"/>
          </rPr>
          <t xml:space="preserve">
NEED ASSIGNMENT ON Design Data Tab and then will link.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Brad Parks</author>
  </authors>
  <commentList>
    <comment ref="A1" authorId="0" shapeId="0" xr:uid="{00000000-0006-0000-1A00-000001000000}">
      <text>
        <r>
          <rPr>
            <b/>
            <sz val="10"/>
            <color indexed="81"/>
            <rFont val="Tahoma"/>
            <family val="2"/>
          </rPr>
          <t>Brad Parks:</t>
        </r>
        <r>
          <rPr>
            <sz val="10"/>
            <color indexed="81"/>
            <rFont val="Tahoma"/>
            <family val="2"/>
          </rPr>
          <t xml:space="preserve">
c = comment row
d = current system date row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<sst xmlns="http://schemas.openxmlformats.org/spreadsheetml/2006/main" count="5847" uniqueCount="2714">
  <si>
    <t>LS #10's (Washed)</t>
  </si>
  <si>
    <t>Dolomite #67's Class A</t>
  </si>
  <si>
    <t>Dolomite #67's Class B</t>
  </si>
  <si>
    <t>Dolomite #68's Class A</t>
  </si>
  <si>
    <t>Dolomite #68's Class B</t>
  </si>
  <si>
    <t>Dolomite #78's Class A</t>
  </si>
  <si>
    <t>Dolomite #78's Class B</t>
  </si>
  <si>
    <t>Dolomite #8's Class A</t>
  </si>
  <si>
    <t>Dolomite #8's Class B</t>
  </si>
  <si>
    <t>Dolomite #9M's Class A</t>
  </si>
  <si>
    <t>Dolomite #9M's Class B</t>
  </si>
  <si>
    <t>Dolomite Comb.-NSG</t>
  </si>
  <si>
    <t>Dolomite NSG Class A</t>
  </si>
  <si>
    <t>Dolomite NSG Class B</t>
  </si>
  <si>
    <t>Dol. #10's Unwashed</t>
  </si>
  <si>
    <t>Dol. #10's Washed</t>
  </si>
  <si>
    <t>Dol. #11's Unwashed</t>
  </si>
  <si>
    <t>Dol. #11's Washed</t>
  </si>
  <si>
    <t>Dol. NSG Fine (Unwashed)</t>
  </si>
  <si>
    <t>Dol. NSG Fine (Washed)</t>
  </si>
  <si>
    <t>Dol. Sand (Unwashed)</t>
  </si>
  <si>
    <t>Dol. Sand (Washed)</t>
  </si>
  <si>
    <t>Dolomite Sand Class A</t>
  </si>
  <si>
    <t>Dolomite Sand Class B</t>
  </si>
  <si>
    <t>LS #67's Class A</t>
  </si>
  <si>
    <t>LS #67's Class B</t>
  </si>
  <si>
    <t>LS #68's Class A</t>
  </si>
  <si>
    <t>LS #68's Class B</t>
  </si>
  <si>
    <t>LS #78's Class A</t>
  </si>
  <si>
    <t>LS #78's Class B</t>
  </si>
  <si>
    <t>LS #8's Class A</t>
  </si>
  <si>
    <t>LS #8's Class B</t>
  </si>
  <si>
    <t>LS #9M's Class A</t>
  </si>
  <si>
    <t>LS #9M's Class B</t>
  </si>
  <si>
    <t>LS NSG Class A</t>
  </si>
  <si>
    <t>LS NSG Class B</t>
  </si>
  <si>
    <t>Dolomite NSG-Coarse</t>
  </si>
  <si>
    <t>PRODUCER NAME #6</t>
  </si>
  <si>
    <t>MAT.CODE #2</t>
  </si>
  <si>
    <t>MAT.CODE #3</t>
  </si>
  <si>
    <t>MAT.CODE #4</t>
  </si>
  <si>
    <t>MAT.CODE #5</t>
  </si>
  <si>
    <t>MAT.CODE #6</t>
  </si>
  <si>
    <t>AGG. TYPE #2</t>
  </si>
  <si>
    <t>AGG. TYPE #3</t>
  </si>
  <si>
    <t>AGG. TYPE #4</t>
  </si>
  <si>
    <t>AGG. TYPE #5</t>
  </si>
  <si>
    <t>AGG. TYPE #6</t>
  </si>
  <si>
    <t>% #2</t>
  </si>
  <si>
    <t>% #3</t>
  </si>
  <si>
    <t>% #4</t>
  </si>
  <si>
    <t>% #5</t>
  </si>
  <si>
    <t>% #6</t>
  </si>
  <si>
    <t>SiteManager Agg. Sample ID #2</t>
  </si>
  <si>
    <t>SiteManager Agg. Sample ID #3</t>
  </si>
  <si>
    <t>SiteManager Agg. Sample ID #4</t>
  </si>
  <si>
    <t>SiteManager Agg. Sample ID #5</t>
  </si>
  <si>
    <t>SiteManager Agg. Sample ID #6</t>
  </si>
  <si>
    <t>psi</t>
  </si>
  <si>
    <t>TEST TYPE #2</t>
  </si>
  <si>
    <t>TEST TYPE #3</t>
  </si>
  <si>
    <t>TEST TYPE #4</t>
  </si>
  <si>
    <t>TEST TYPE #5</t>
  </si>
  <si>
    <t>TEST TYPE #6</t>
  </si>
  <si>
    <t>AGG S/C #2</t>
  </si>
  <si>
    <t>AGG S/C #3</t>
  </si>
  <si>
    <t>AGG S/C #4</t>
  </si>
  <si>
    <t>AGG S/C #5</t>
  </si>
  <si>
    <t>AGG S/C #6</t>
  </si>
  <si>
    <t>MCL S/C #2</t>
  </si>
  <si>
    <t>MCL S/C #3</t>
  </si>
  <si>
    <t>MCL S/C #4</t>
  </si>
  <si>
    <t>MCL S/C #5</t>
  </si>
  <si>
    <t>MCL S/C #6</t>
  </si>
  <si>
    <t xml:space="preserve"> </t>
  </si>
  <si>
    <t>Kentucky Transportation Cabinet, Department of Highways, Division of Materials</t>
  </si>
  <si>
    <t>Asphalt Mixtures Testing Section</t>
  </si>
  <si>
    <t>1227 Wilkinson Boulevard, Frankfort, KY  40601-1226</t>
  </si>
  <si>
    <t>Asphalt-Mixture-Design Results</t>
  </si>
  <si>
    <t>MIX ID NUM.:</t>
  </si>
  <si>
    <t>COUNTY:</t>
  </si>
  <si>
    <t>LAB:</t>
  </si>
  <si>
    <t>TEST METHOD:</t>
  </si>
  <si>
    <t>F254</t>
  </si>
  <si>
    <t>RAP MSG: "label" assignment</t>
  </si>
  <si>
    <t>6.0</t>
  </si>
  <si>
    <t>8.0</t>
  </si>
  <si>
    <t>Mapping completed.  Needs to be populated for testing.</t>
  </si>
  <si>
    <t>GRADATION:</t>
  </si>
  <si>
    <t>DATE REC.:</t>
  </si>
  <si>
    <t>CNTR. &amp; LOC.:</t>
  </si>
  <si>
    <t>CNTR. PROD. #:</t>
  </si>
  <si>
    <t>Sieve</t>
  </si>
  <si>
    <t>JMF</t>
  </si>
  <si>
    <t>"WeighUp"</t>
  </si>
  <si>
    <t>2 "</t>
  </si>
  <si>
    <t>DATE REL.:</t>
  </si>
  <si>
    <t>SUBMITTED BY:</t>
  </si>
  <si>
    <t>MIX MAT. CODE:</t>
  </si>
  <si>
    <t>1 1/2 "</t>
  </si>
  <si>
    <t>1 "</t>
  </si>
  <si>
    <t>BINDER GRADE:</t>
  </si>
  <si>
    <t>BIND. PROD. #:</t>
  </si>
  <si>
    <t>3/4 "</t>
  </si>
  <si>
    <t>1/2 "</t>
  </si>
  <si>
    <t>BINDER CODE:</t>
  </si>
  <si>
    <t>ESAL CLASS:</t>
  </si>
  <si>
    <t>DEPTH (mm):</t>
  </si>
  <si>
    <t>3/8 "</t>
  </si>
  <si>
    <t>1/4 "</t>
  </si>
  <si>
    <t>N / A</t>
  </si>
  <si>
    <t>AGG. PROD. NO.</t>
  </si>
  <si>
    <t>PRODUCER NAME</t>
  </si>
  <si>
    <t xml:space="preserve">MAT. CODE </t>
  </si>
  <si>
    <t>AGG. TYPE</t>
  </si>
  <si>
    <r>
      <t>G</t>
    </r>
    <r>
      <rPr>
        <b/>
        <vertAlign val="subscript"/>
        <sz val="8"/>
        <rFont val="Arial"/>
        <family val="2"/>
      </rPr>
      <t>sb</t>
    </r>
  </si>
  <si>
    <t>%</t>
  </si>
  <si>
    <t>Gravity Info.</t>
  </si>
  <si>
    <t>Max. Specific</t>
  </si>
  <si>
    <t>#4</t>
  </si>
  <si>
    <r>
      <t>G</t>
    </r>
    <r>
      <rPr>
        <vertAlign val="subscript"/>
        <sz val="8"/>
        <rFont val="Arial"/>
        <family val="2"/>
      </rPr>
      <t xml:space="preserve">sb    </t>
    </r>
    <r>
      <rPr>
        <sz val="10"/>
        <rFont val="Arial"/>
        <family val="2"/>
      </rPr>
      <t>=</t>
    </r>
  </si>
  <si>
    <t>#8</t>
  </si>
  <si>
    <r>
      <t>G</t>
    </r>
    <r>
      <rPr>
        <vertAlign val="subscript"/>
        <sz val="8"/>
        <rFont val="Arial"/>
        <family val="2"/>
      </rPr>
      <t xml:space="preserve">se    </t>
    </r>
    <r>
      <rPr>
        <sz val="10"/>
        <rFont val="Arial"/>
        <family val="2"/>
      </rPr>
      <t>=</t>
    </r>
  </si>
  <si>
    <t>%AC</t>
  </si>
  <si>
    <t>MSG's</t>
  </si>
  <si>
    <t>#16</t>
  </si>
  <si>
    <r>
      <t>G</t>
    </r>
    <r>
      <rPr>
        <vertAlign val="subscript"/>
        <sz val="8"/>
        <rFont val="Arial"/>
        <family val="2"/>
      </rPr>
      <t xml:space="preserve">b     </t>
    </r>
    <r>
      <rPr>
        <sz val="10"/>
        <rFont val="Arial"/>
        <family val="2"/>
      </rPr>
      <t>=</t>
    </r>
  </si>
  <si>
    <t>#30</t>
  </si>
  <si>
    <t>#50</t>
  </si>
  <si>
    <t>#100</t>
  </si>
  <si>
    <t>Average:</t>
  </si>
  <si>
    <t>#200</t>
  </si>
  <si>
    <t>Sample #</t>
  </si>
  <si>
    <t>% AC</t>
  </si>
  <si>
    <t>Weight (g)</t>
  </si>
  <si>
    <t>Bulk Vol.</t>
  </si>
  <si>
    <t>BSG</t>
  </si>
  <si>
    <t>Unit Wt. @</t>
  </si>
  <si>
    <t>Max Spec</t>
  </si>
  <si>
    <t>% Voids</t>
  </si>
  <si>
    <t>% Abs. AC</t>
  </si>
  <si>
    <t>% Eff. AC</t>
  </si>
  <si>
    <t>% VMA</t>
  </si>
  <si>
    <t>% VFA</t>
  </si>
  <si>
    <t>Film Th.</t>
  </si>
  <si>
    <r>
      <t>%G</t>
    </r>
    <r>
      <rPr>
        <vertAlign val="subscript"/>
        <sz val="6.8"/>
        <rFont val="Arial"/>
        <family val="2"/>
      </rPr>
      <t>mm</t>
    </r>
  </si>
  <si>
    <t>D/A</t>
  </si>
  <si>
    <t>Height</t>
  </si>
  <si>
    <t>(Mix)</t>
  </si>
  <si>
    <t>(Air)</t>
  </si>
  <si>
    <t>(Water)</t>
  </si>
  <si>
    <t>(SSD)</t>
  </si>
  <si>
    <t>(g)</t>
  </si>
  <si>
    <r>
      <t>@ N</t>
    </r>
    <r>
      <rPr>
        <vertAlign val="subscript"/>
        <sz val="6.8"/>
        <rFont val="Arial"/>
        <family val="2"/>
      </rPr>
      <t>des</t>
    </r>
  </si>
  <si>
    <r>
      <t>N</t>
    </r>
    <r>
      <rPr>
        <vertAlign val="subscript"/>
        <sz val="6.8"/>
        <rFont val="Arial"/>
        <family val="2"/>
      </rPr>
      <t xml:space="preserve">des </t>
    </r>
    <r>
      <rPr>
        <sz val="6.8"/>
        <rFont val="Arial"/>
        <family val="2"/>
      </rPr>
      <t>(pcf)</t>
    </r>
  </si>
  <si>
    <t>Gravity</t>
  </si>
  <si>
    <t>(µm)</t>
  </si>
  <si>
    <r>
      <t>@ N</t>
    </r>
    <r>
      <rPr>
        <vertAlign val="subscript"/>
        <sz val="6.8"/>
        <rFont val="Arial"/>
        <family val="2"/>
      </rPr>
      <t>ini</t>
    </r>
  </si>
  <si>
    <t>Ratio</t>
  </si>
  <si>
    <r>
      <t>@ N</t>
    </r>
    <r>
      <rPr>
        <vertAlign val="subscript"/>
        <sz val="6.8"/>
        <rFont val="Arial"/>
        <family val="2"/>
      </rPr>
      <t xml:space="preserve">ini </t>
    </r>
    <r>
      <rPr>
        <sz val="6.8"/>
        <rFont val="Arial"/>
        <family val="2"/>
      </rPr>
      <t>(mm)</t>
    </r>
  </si>
  <si>
    <r>
      <t>@ N</t>
    </r>
    <r>
      <rPr>
        <vertAlign val="subscript"/>
        <sz val="6.8"/>
        <rFont val="Arial"/>
        <family val="2"/>
      </rPr>
      <t>des</t>
    </r>
    <r>
      <rPr>
        <sz val="6.8"/>
        <rFont val="Arial"/>
        <family val="2"/>
      </rPr>
      <t xml:space="preserve"> (mm)</t>
    </r>
  </si>
  <si>
    <t>Average</t>
  </si>
  <si>
    <t>Specimens at optimum AC:</t>
  </si>
  <si>
    <r>
      <t>@ N</t>
    </r>
    <r>
      <rPr>
        <vertAlign val="subscript"/>
        <sz val="6.8"/>
        <rFont val="Arial"/>
        <family val="2"/>
      </rPr>
      <t xml:space="preserve">des </t>
    </r>
    <r>
      <rPr>
        <sz val="6.8"/>
        <rFont val="Arial"/>
        <family val="2"/>
      </rPr>
      <t>(mm)</t>
    </r>
  </si>
  <si>
    <r>
      <t>@ N</t>
    </r>
    <r>
      <rPr>
        <vertAlign val="subscript"/>
        <sz val="6.8"/>
        <rFont val="Arial"/>
        <family val="2"/>
      </rPr>
      <t>max</t>
    </r>
    <r>
      <rPr>
        <sz val="6.8"/>
        <rFont val="Arial"/>
        <family val="2"/>
      </rPr>
      <t>(mm)</t>
    </r>
  </si>
  <si>
    <r>
      <t>@ N</t>
    </r>
    <r>
      <rPr>
        <vertAlign val="subscript"/>
        <sz val="6.8"/>
        <rFont val="Arial"/>
        <family val="2"/>
      </rPr>
      <t>max</t>
    </r>
  </si>
  <si>
    <t>A</t>
  </si>
  <si>
    <t>B</t>
  </si>
  <si>
    <t>Coarse Aggregate Angularity Criteria</t>
  </si>
  <si>
    <t>Fine Aggregate Angularity Criteria</t>
  </si>
  <si>
    <t>RANDOM NUMBER GENERATOR</t>
  </si>
  <si>
    <t>Design Property</t>
  </si>
  <si>
    <t>Design Value</t>
  </si>
  <si>
    <t>Criteria</t>
  </si>
  <si>
    <t>Reference Information</t>
  </si>
  <si>
    <t>&lt;=100mm</t>
  </si>
  <si>
    <t>&gt;100 mm</t>
  </si>
  <si>
    <t>PLEASE NOTE:  Random numbers can only be generated one time.  Make</t>
  </si>
  <si>
    <t>Coarse Aggregate Angularity (%)</t>
  </si>
  <si>
    <t>County:</t>
  </si>
  <si>
    <t>75/- (minimum)</t>
  </si>
  <si>
    <t>75/-</t>
  </si>
  <si>
    <t>40 (minimum)</t>
  </si>
  <si>
    <t>sure the correct tonnage appears below.  If so, press GENERATE.</t>
  </si>
  <si>
    <t>Fine Aggregate Angularity (%)</t>
  </si>
  <si>
    <t>ID #:</t>
  </si>
  <si>
    <t>Flat &amp; Elongated Particles (%)</t>
  </si>
  <si>
    <t>Binder:</t>
  </si>
  <si>
    <t>95/90 (minimum)</t>
  </si>
  <si>
    <t>80/75 (minimum)</t>
  </si>
  <si>
    <t>45 (minimum)</t>
  </si>
  <si>
    <t>Sublot</t>
  </si>
  <si>
    <t>Rand. #</t>
  </si>
  <si>
    <t>Clay Content (SE) (%)</t>
  </si>
  <si>
    <t>Date Released:</t>
  </si>
  <si>
    <t>100/100 (minimum)</t>
  </si>
  <si>
    <t>Design AC %:</t>
  </si>
  <si>
    <t>Job Complete?</t>
  </si>
  <si>
    <t>D/A Ratio</t>
  </si>
  <si>
    <r>
      <t>% G</t>
    </r>
    <r>
      <rPr>
        <vertAlign val="subscript"/>
        <sz val="6.8"/>
        <rFont val="Arial"/>
        <family val="2"/>
      </rPr>
      <t>mm</t>
    </r>
    <r>
      <rPr>
        <sz val="8"/>
        <rFont val="Arial"/>
        <family val="2"/>
      </rPr>
      <t xml:space="preserve"> @ N</t>
    </r>
    <r>
      <rPr>
        <vertAlign val="subscript"/>
        <sz val="8"/>
        <rFont val="Arial"/>
        <family val="2"/>
      </rPr>
      <t>initial</t>
    </r>
  </si>
  <si>
    <r>
      <t>% G</t>
    </r>
    <r>
      <rPr>
        <vertAlign val="subscript"/>
        <sz val="6.8"/>
        <rFont val="Arial"/>
        <family val="2"/>
      </rPr>
      <t>mm</t>
    </r>
    <r>
      <rPr>
        <sz val="8"/>
        <rFont val="Arial"/>
        <family val="2"/>
      </rPr>
      <t xml:space="preserve"> @ N</t>
    </r>
    <r>
      <rPr>
        <vertAlign val="subscript"/>
        <sz val="8"/>
        <rFont val="Arial"/>
        <family val="2"/>
      </rPr>
      <t>max</t>
    </r>
  </si>
  <si>
    <t>Revised</t>
  </si>
  <si>
    <t>% Air Voids</t>
  </si>
  <si>
    <r>
      <t>Unit Weight (lb/ft</t>
    </r>
    <r>
      <rPr>
        <vertAlign val="superscript"/>
        <sz val="6.8"/>
        <rFont val="Arial"/>
        <family val="2"/>
      </rPr>
      <t>3</t>
    </r>
    <r>
      <rPr>
        <sz val="8"/>
        <rFont val="Arial"/>
        <family val="2"/>
      </rPr>
      <t>)</t>
    </r>
  </si>
  <si>
    <t>% Effective AC</t>
  </si>
  <si>
    <t>Maximum Specific Gravity</t>
  </si>
  <si>
    <t>% Absorbed AC (Mix)</t>
  </si>
  <si>
    <r>
      <t>G</t>
    </r>
    <r>
      <rPr>
        <vertAlign val="subscript"/>
        <sz val="6.8"/>
        <rFont val="Arial"/>
        <family val="2"/>
      </rPr>
      <t>sb</t>
    </r>
  </si>
  <si>
    <r>
      <t>G</t>
    </r>
    <r>
      <rPr>
        <vertAlign val="subscript"/>
        <sz val="6.8"/>
        <rFont val="Arial"/>
        <family val="2"/>
      </rPr>
      <t>se</t>
    </r>
  </si>
  <si>
    <t>Film Thickness (µm)</t>
  </si>
  <si>
    <t>Specimen Weight (g)</t>
  </si>
  <si>
    <t>TSR Weight (g)</t>
  </si>
  <si>
    <t>% TSR without additive</t>
  </si>
  <si>
    <t>% TSR with additive</t>
  </si>
  <si>
    <t>% Additive</t>
  </si>
  <si>
    <t>Type of Additive</t>
  </si>
  <si>
    <t>NOTES:</t>
  </si>
  <si>
    <t>App.-New Design</t>
  </si>
  <si>
    <t>App.-Ref. Mix</t>
  </si>
  <si>
    <t>MCL Design</t>
  </si>
  <si>
    <t>Contr. Design</t>
  </si>
  <si>
    <t>APPROVED BY:</t>
  </si>
  <si>
    <t>Revised Asphalt Content (+ or - 0.3 %):</t>
  </si>
  <si>
    <t>GRAPH DATA</t>
  </si>
  <si>
    <t>AC</t>
  </si>
  <si>
    <r>
      <t>G</t>
    </r>
    <r>
      <rPr>
        <b/>
        <vertAlign val="subscript"/>
        <sz val="6.8"/>
        <rFont val="Arial"/>
        <family val="2"/>
      </rPr>
      <t>mm</t>
    </r>
    <r>
      <rPr>
        <b/>
        <sz val="8"/>
        <rFont val="Arial"/>
        <family val="2"/>
      </rPr>
      <t>ini</t>
    </r>
  </si>
  <si>
    <t>AV</t>
  </si>
  <si>
    <t>VMA</t>
  </si>
  <si>
    <t>MCL Mix Date</t>
  </si>
  <si>
    <t>Gyration Data</t>
  </si>
  <si>
    <r>
      <t>N</t>
    </r>
    <r>
      <rPr>
        <b/>
        <vertAlign val="subscript"/>
        <sz val="6.8"/>
        <rFont val="Arial"/>
        <family val="2"/>
      </rPr>
      <t>ini</t>
    </r>
  </si>
  <si>
    <t>AGGREGATE</t>
  </si>
  <si>
    <r>
      <t>N</t>
    </r>
    <r>
      <rPr>
        <b/>
        <vertAlign val="subscript"/>
        <sz val="6.8"/>
        <rFont val="Arial"/>
        <family val="2"/>
      </rPr>
      <t>des</t>
    </r>
  </si>
  <si>
    <r>
      <t>N</t>
    </r>
    <r>
      <rPr>
        <b/>
        <vertAlign val="subscript"/>
        <sz val="6.8"/>
        <rFont val="Arial"/>
        <family val="2"/>
      </rPr>
      <t>max</t>
    </r>
  </si>
  <si>
    <t>VFA</t>
  </si>
  <si>
    <t>UW</t>
  </si>
  <si>
    <t>MSG</t>
  </si>
  <si>
    <t>Eff. AC</t>
  </si>
  <si>
    <t>Film Th</t>
  </si>
  <si>
    <t>SUM=</t>
  </si>
  <si>
    <t xml:space="preserve">SA = </t>
  </si>
  <si>
    <t>ALPHA =</t>
  </si>
  <si>
    <t xml:space="preserve"> Graph Limits</t>
  </si>
  <si>
    <r>
      <t>G</t>
    </r>
    <r>
      <rPr>
        <b/>
        <vertAlign val="subscript"/>
        <sz val="6.8"/>
        <rFont val="Arial"/>
        <family val="2"/>
      </rPr>
      <t>mm</t>
    </r>
    <r>
      <rPr>
        <b/>
        <sz val="6.8"/>
        <rFont val="Arial"/>
        <family val="2"/>
      </rPr>
      <t>ini Limits</t>
    </r>
  </si>
  <si>
    <t>AV Limits</t>
  </si>
  <si>
    <t>VMA Limits</t>
  </si>
  <si>
    <t>VFA Limits</t>
  </si>
  <si>
    <t>D/A Limits</t>
  </si>
  <si>
    <t>muley</t>
  </si>
  <si>
    <t>PROJECT INFORMATION</t>
  </si>
  <si>
    <t>Mix ID #:</t>
  </si>
  <si>
    <t xml:space="preserve">- </t>
  </si>
  <si>
    <t>Mix Type:</t>
  </si>
  <si>
    <t>Binder Type:</t>
  </si>
  <si>
    <t>Project #:</t>
  </si>
  <si>
    <t>One-Point Gyratory Specimen Properties Evaluation</t>
  </si>
  <si>
    <t>Mix ID # &amp; County:</t>
  </si>
  <si>
    <t>Tested By:</t>
  </si>
  <si>
    <t>Lab:</t>
  </si>
  <si>
    <t>Date Received:</t>
  </si>
  <si>
    <t>Date Comp.:</t>
  </si>
  <si>
    <t>Test Methods Used:</t>
  </si>
  <si>
    <t>AASHTO T166 &amp; T209</t>
  </si>
  <si>
    <t>Specimens:</t>
  </si>
  <si>
    <t>Gyratory Specimen Weights</t>
  </si>
  <si>
    <t>Spec. No.</t>
  </si>
  <si>
    <t>Wt. in Air</t>
  </si>
  <si>
    <r>
      <t>Wt. in H</t>
    </r>
    <r>
      <rPr>
        <vertAlign val="subscript"/>
        <sz val="10"/>
        <rFont val="MS Sans Serif"/>
        <family val="2"/>
      </rPr>
      <t>2</t>
    </r>
    <r>
      <rPr>
        <sz val="10"/>
        <rFont val="MS Sans Serif"/>
        <family val="2"/>
      </rPr>
      <t>0</t>
    </r>
  </si>
  <si>
    <t>SSD Wt.</t>
  </si>
  <si>
    <t>B.S.G.</t>
  </si>
  <si>
    <t>Unit Wt.</t>
  </si>
  <si>
    <t/>
  </si>
  <si>
    <r>
      <t>Maximum Specific Gravity (G</t>
    </r>
    <r>
      <rPr>
        <b/>
        <vertAlign val="subscript"/>
        <sz val="12"/>
        <rFont val="MS Sans Serif"/>
        <family val="2"/>
      </rPr>
      <t>mm</t>
    </r>
    <r>
      <rPr>
        <b/>
        <sz val="12"/>
        <rFont val="MS Sans Serif"/>
        <family val="2"/>
      </rPr>
      <t>) Determination</t>
    </r>
  </si>
  <si>
    <t>1.  Wt. of Pycnometer + Mix (g)</t>
  </si>
  <si>
    <t>2.  Wt. of Pycnometer (g)</t>
  </si>
  <si>
    <t>3.  Wt. of Mix (g) [1-2]</t>
  </si>
  <si>
    <t>4.  Calibration Wt. (g)</t>
  </si>
  <si>
    <t>B.S.G.A.</t>
  </si>
  <si>
    <t>5.  Calibration Wt. + Wt. of Mix (g) [3+4]</t>
  </si>
  <si>
    <t>Added "Tab" Hide/Unhide macros and removed green highlights for "FINAL" version.</t>
  </si>
  <si>
    <t>Made changes to code to allow Non-Superpave mixtures to save correctly.</t>
  </si>
  <si>
    <r>
      <t xml:space="preserve">Existing on t_matl_user 
AND  t_matl_user.smplr_ind='Y"
AND  active sampler qualification of </t>
    </r>
    <r>
      <rPr>
        <b/>
        <sz val="10"/>
        <rFont val="Arial"/>
        <family val="2"/>
      </rPr>
      <t>"Superpave Mix Design Tech."</t>
    </r>
    <r>
      <rPr>
        <sz val="10"/>
        <rFont val="Arial"/>
        <family val="2"/>
      </rPr>
      <t xml:space="preserve"> 
        (  I.e., At least one row returned from:
         SELECT * FROM t_insp_qualfn
         WHERE smpld_by = smpld_by
         AND      insp_qualfn_t = "ASMD"
         AND      qualfn_lev_t = "SMDT"
         AND      exp_dt &gt;= t_smpl.smpl_dt (same keys as current row)
         AND      effdt     &lt;= t_smpl.smpl_dt (same keys as current row)   )
         </t>
    </r>
  </si>
  <si>
    <r>
      <t xml:space="preserve">Existing on t_matl_user 
AND  t_matl_user.tstr_ind='Y"
AND  active test qualification of </t>
    </r>
    <r>
      <rPr>
        <b/>
        <sz val="10"/>
        <rFont val="Arial"/>
        <family val="2"/>
      </rPr>
      <t>"Superpave Mix Design Tech."</t>
    </r>
    <r>
      <rPr>
        <sz val="10"/>
        <rFont val="Arial"/>
        <family val="2"/>
      </rPr>
      <t xml:space="preserve"> 
        (  I.e., At least one row returned from:
         SELECT * FROM t_tst_prsnl_qualfn
         WHERE tst_id = tst_id
         AND      tst_prsnlqualfn_t = "ASMD"
         AND      qualfn_lev_t = "SMDT"
         AND      exp_dt &gt;= t_smpl_tst.strt_dt (same keys as current row)
         AND      effdt     &lt;= t_smpl_tst.strt_dt (same keys as current row)
         For any row above, return at least one row:
         SELECT * FROM t_tst_prsnqualftst
         WHERE tst_id = tst_id
         AND      tst_prsnlqualfn_t = t_tst_prsnl_qualfn.tst_prsnlqualfn_t
         AND      qualfn_lev_t = t_tst_prsnl_qualfn.qualfn_lev_t
         AND      effdt = t_tst_prsnl_qualfn.effdt
         AND      tst_meth = t_smpl_tst.tst_meth   )
         </t>
    </r>
  </si>
  <si>
    <t>S.G.AC</t>
  </si>
  <si>
    <t>6.  Final Wt. (g) [Test Complete]</t>
  </si>
  <si>
    <r>
      <t>7.  Volume of Mix (cm</t>
    </r>
    <r>
      <rPr>
        <vertAlign val="superscript"/>
        <sz val="10"/>
        <rFont val="MS Sans Serif"/>
        <family val="2"/>
      </rPr>
      <t>3</t>
    </r>
    <r>
      <rPr>
        <sz val="10"/>
        <rFont val="MS Sans Serif"/>
        <family val="2"/>
      </rPr>
      <t>) [5-6]</t>
    </r>
  </si>
  <si>
    <t>E.S.G.A.</t>
  </si>
  <si>
    <r>
      <t>8.  G</t>
    </r>
    <r>
      <rPr>
        <vertAlign val="subscript"/>
        <sz val="10"/>
        <rFont val="MS Sans Serif"/>
        <family val="2"/>
      </rPr>
      <t>mm</t>
    </r>
    <r>
      <rPr>
        <sz val="10"/>
        <rFont val="MS Sans Serif"/>
        <family val="2"/>
      </rPr>
      <t xml:space="preserve"> Without Dry-back (3/7)</t>
    </r>
  </si>
  <si>
    <r>
      <t>9.  Volume of Absorbed Water (cm</t>
    </r>
    <r>
      <rPr>
        <vertAlign val="superscript"/>
        <sz val="10"/>
        <rFont val="MS Sans Serif"/>
        <family val="2"/>
      </rPr>
      <t>3</t>
    </r>
    <r>
      <rPr>
        <sz val="10"/>
        <rFont val="MS Sans Serif"/>
        <family val="2"/>
      </rPr>
      <t>)</t>
    </r>
  </si>
  <si>
    <t xml:space="preserve">AMP070101      </t>
  </si>
  <si>
    <t xml:space="preserve">AMP070303      </t>
  </si>
  <si>
    <t xml:space="preserve">AMP070201      </t>
  </si>
  <si>
    <t xml:space="preserve">AMP060402      </t>
  </si>
  <si>
    <t xml:space="preserve">AMP060301      </t>
  </si>
  <si>
    <t xml:space="preserve">AMP080301      </t>
  </si>
  <si>
    <t xml:space="preserve">AMP050301      </t>
  </si>
  <si>
    <t xml:space="preserve">AMP050401      </t>
  </si>
  <si>
    <t xml:space="preserve">AMP040301      </t>
  </si>
  <si>
    <t xml:space="preserve">AMP070304      </t>
  </si>
  <si>
    <t xml:space="preserve">AMP020301      </t>
  </si>
  <si>
    <t xml:space="preserve">AMP060302      </t>
  </si>
  <si>
    <t xml:space="preserve">AMP110501      </t>
  </si>
  <si>
    <t xml:space="preserve">AMP110502      </t>
  </si>
  <si>
    <t xml:space="preserve">AMP110201      </t>
  </si>
  <si>
    <t xml:space="preserve">AMP110301      </t>
  </si>
  <si>
    <t xml:space="preserve">AMP110202      </t>
  </si>
  <si>
    <t xml:space="preserve">AMP110203      </t>
  </si>
  <si>
    <t xml:space="preserve">AMP110204      </t>
  </si>
  <si>
    <t xml:space="preserve">AMP080302      </t>
  </si>
  <si>
    <t xml:space="preserve">AMP110302      </t>
  </si>
  <si>
    <t xml:space="preserve">AMP090102      </t>
  </si>
  <si>
    <t xml:space="preserve">AMP050302      </t>
  </si>
  <si>
    <t xml:space="preserve">AMP050303      </t>
  </si>
  <si>
    <t xml:space="preserve">AMP080101      </t>
  </si>
  <si>
    <t xml:space="preserve">AMP030301      </t>
  </si>
  <si>
    <t xml:space="preserve">AMP020101      </t>
  </si>
  <si>
    <t xml:space="preserve">AMP070305      </t>
  </si>
  <si>
    <t xml:space="preserve">AMP100301      </t>
  </si>
  <si>
    <t xml:space="preserve">AMP100201      </t>
  </si>
  <si>
    <t xml:space="preserve">AMP100401      </t>
  </si>
  <si>
    <t xml:space="preserve">AMP090103      </t>
  </si>
  <si>
    <t xml:space="preserve">AMP070306      </t>
  </si>
  <si>
    <t xml:space="preserve">AMP100101      </t>
  </si>
  <si>
    <t xml:space="preserve">AMP100402      </t>
  </si>
  <si>
    <t xml:space="preserve">AMP080303      </t>
  </si>
  <si>
    <t xml:space="preserve">AMP020302      </t>
  </si>
  <si>
    <t xml:space="preserve">AMP010301      </t>
  </si>
  <si>
    <t xml:space="preserve">AMP010101      </t>
  </si>
  <si>
    <t xml:space="preserve">AMP010302      </t>
  </si>
  <si>
    <t xml:space="preserve">AMP010303      </t>
  </si>
  <si>
    <t xml:space="preserve">AMP070307      </t>
  </si>
  <si>
    <t xml:space="preserve">AMP050101      </t>
  </si>
  <si>
    <t xml:space="preserve">AMP020103      </t>
  </si>
  <si>
    <t xml:space="preserve">AMP060303      </t>
  </si>
  <si>
    <t xml:space="preserve">AMP060104      </t>
  </si>
  <si>
    <t xml:space="preserve">AMP040102      </t>
  </si>
  <si>
    <t xml:space="preserve">AMP070102      </t>
  </si>
  <si>
    <t xml:space="preserve">AMP040103      </t>
  </si>
  <si>
    <t xml:space="preserve">AMP050306      </t>
  </si>
  <si>
    <t xml:space="preserve">AMP080103      </t>
  </si>
  <si>
    <t xml:space="preserve">AMP050307      </t>
  </si>
  <si>
    <t xml:space="preserve">AMP070103      </t>
  </si>
  <si>
    <t xml:space="preserve">AMP090104      </t>
  </si>
  <si>
    <t xml:space="preserve">AMP090302      </t>
  </si>
  <si>
    <t xml:space="preserve">AMP090105      </t>
  </si>
  <si>
    <t xml:space="preserve">AMP110101      </t>
  </si>
  <si>
    <t xml:space="preserve">AMP120102      </t>
  </si>
  <si>
    <t xml:space="preserve">AMP120301      </t>
  </si>
  <si>
    <t xml:space="preserve">AMP120302      </t>
  </si>
  <si>
    <t xml:space="preserve">AMP120304      </t>
  </si>
  <si>
    <t xml:space="preserve">AMP120305      </t>
  </si>
  <si>
    <t xml:space="preserve">AMP010102      </t>
  </si>
  <si>
    <t xml:space="preserve">AMP040302      </t>
  </si>
  <si>
    <t xml:space="preserve">AMP040303      </t>
  </si>
  <si>
    <t xml:space="preserve">AMP050308      </t>
  </si>
  <si>
    <t xml:space="preserve">AMP060304      </t>
  </si>
  <si>
    <t xml:space="preserve">AMP020303      </t>
  </si>
  <si>
    <t xml:space="preserve">AMP020105      </t>
  </si>
  <si>
    <t>Blanked sheet for final version.</t>
  </si>
  <si>
    <t xml:space="preserve">AMP030303      </t>
  </si>
  <si>
    <t xml:space="preserve">AMP030304      </t>
  </si>
  <si>
    <t xml:space="preserve">AMP030305      </t>
  </si>
  <si>
    <t xml:space="preserve">AMP030306      </t>
  </si>
  <si>
    <t xml:space="preserve">AMP030307      </t>
  </si>
  <si>
    <t xml:space="preserve">AMP050304      </t>
  </si>
  <si>
    <t xml:space="preserve">AMP050102      </t>
  </si>
  <si>
    <t xml:space="preserve">AMP070301      </t>
  </si>
  <si>
    <t xml:space="preserve">AMP070302      </t>
  </si>
  <si>
    <t xml:space="preserve">AMP070501      </t>
  </si>
  <si>
    <t xml:space="preserve">AMP100302      </t>
  </si>
  <si>
    <t xml:space="preserve">AMP070308      </t>
  </si>
  <si>
    <t>Jim Smith Contracting @ Lake City (Batch)</t>
  </si>
  <si>
    <t>Jim Smith Contracting @ Lake City (Drum)</t>
  </si>
  <si>
    <t>MDH&amp;MTB</t>
  </si>
  <si>
    <t>Added drop-downs to Liquid and Contractor P/S.</t>
  </si>
  <si>
    <r>
      <t>10.  Adjusted Volume of Mix (cm</t>
    </r>
    <r>
      <rPr>
        <vertAlign val="superscript"/>
        <sz val="10"/>
        <rFont val="MS Sans Serif"/>
        <family val="2"/>
      </rPr>
      <t>3</t>
    </r>
    <r>
      <rPr>
        <sz val="10"/>
        <rFont val="MS Sans Serif"/>
        <family val="2"/>
      </rPr>
      <t>) [7+9]</t>
    </r>
  </si>
  <si>
    <r>
      <t>11.  G</t>
    </r>
    <r>
      <rPr>
        <vertAlign val="subscript"/>
        <sz val="10"/>
        <rFont val="MS Sans Serif"/>
        <family val="2"/>
      </rPr>
      <t>mm</t>
    </r>
    <r>
      <rPr>
        <sz val="10"/>
        <rFont val="MS Sans Serif"/>
        <family val="2"/>
      </rPr>
      <t xml:space="preserve"> With Dry-back (3/10)</t>
    </r>
  </si>
  <si>
    <t>Gyratory Specimen Properties</t>
  </si>
  <si>
    <r>
      <t>Unit Wt. (lb/ft</t>
    </r>
    <r>
      <rPr>
        <vertAlign val="superscript"/>
        <sz val="8"/>
        <rFont val="MS Sans Serif"/>
        <family val="2"/>
      </rPr>
      <t>3</t>
    </r>
    <r>
      <rPr>
        <sz val="10"/>
        <rFont val="MS Sans Serif"/>
        <family val="2"/>
      </rPr>
      <t>) =</t>
    </r>
  </si>
  <si>
    <t>D/A Ratio =</t>
  </si>
  <si>
    <t>AC (%) =</t>
  </si>
  <si>
    <t>% Air Voids =</t>
  </si>
  <si>
    <r>
      <t>G</t>
    </r>
    <r>
      <rPr>
        <vertAlign val="subscript"/>
        <sz val="10"/>
        <rFont val="MS Sans Serif"/>
        <family val="2"/>
      </rPr>
      <t>mm</t>
    </r>
    <r>
      <rPr>
        <sz val="10"/>
        <rFont val="MS Sans Serif"/>
        <family val="2"/>
      </rPr>
      <t xml:space="preserve"> =</t>
    </r>
  </si>
  <si>
    <t>% VMA =</t>
  </si>
  <si>
    <t>% VFA =</t>
  </si>
  <si>
    <t>% Eff. AC =</t>
  </si>
  <si>
    <t>% Abs. AC (Mix) =</t>
  </si>
  <si>
    <r>
      <t>G</t>
    </r>
    <r>
      <rPr>
        <vertAlign val="subscript"/>
        <sz val="10"/>
        <rFont val="MS Sans Serif"/>
        <family val="2"/>
      </rPr>
      <t>sb</t>
    </r>
    <r>
      <rPr>
        <sz val="10"/>
        <rFont val="MS Sans Serif"/>
        <family val="2"/>
      </rPr>
      <t xml:space="preserve"> =</t>
    </r>
  </si>
  <si>
    <r>
      <t>G</t>
    </r>
    <r>
      <rPr>
        <vertAlign val="subscript"/>
        <sz val="10"/>
        <rFont val="MS Sans Serif"/>
        <family val="2"/>
      </rPr>
      <t>se</t>
    </r>
    <r>
      <rPr>
        <sz val="10"/>
        <rFont val="MS Sans Serif"/>
        <family val="2"/>
      </rPr>
      <t xml:space="preserve"> =</t>
    </r>
  </si>
  <si>
    <t>ESAL Class</t>
  </si>
  <si>
    <t>Deviations from Test Method:</t>
  </si>
  <si>
    <t>KENTUCKY DEPARTMENT OF HIGHWAYS</t>
  </si>
  <si>
    <t>DIVISION OF MATERIALS</t>
  </si>
  <si>
    <t>Laboratory Mix Design</t>
  </si>
  <si>
    <t>Type Mix:</t>
  </si>
  <si>
    <t>Project Number:</t>
  </si>
  <si>
    <r>
      <t>N</t>
    </r>
    <r>
      <rPr>
        <b/>
        <u/>
        <vertAlign val="subscript"/>
        <sz val="8.5"/>
        <rFont val="MS Sans Serif"/>
        <family val="2"/>
      </rPr>
      <t>des</t>
    </r>
    <r>
      <rPr>
        <b/>
        <u/>
        <sz val="10"/>
        <rFont val="MS Sans Serif"/>
        <family val="2"/>
      </rPr>
      <t xml:space="preserve"> Gyrations:</t>
    </r>
  </si>
  <si>
    <t>Filename</t>
  </si>
  <si>
    <t>Performance tuning (started using ScreenUpdating Property in background macros to help speed up processing); Added "Filename" (SampleIDRoot) to the discipline tab.</t>
  </si>
  <si>
    <t>Lab :</t>
  </si>
  <si>
    <t>Contractor &amp; Loc.:</t>
  </si>
  <si>
    <t>Date Completed:</t>
  </si>
  <si>
    <t>RESULTS:</t>
  </si>
  <si>
    <t xml:space="preserve">% AC:  </t>
  </si>
  <si>
    <r>
      <t>% G</t>
    </r>
    <r>
      <rPr>
        <vertAlign val="subscript"/>
        <sz val="8.5"/>
        <rFont val="MS Sans Serif"/>
        <family val="2"/>
      </rPr>
      <t>mm</t>
    </r>
    <r>
      <rPr>
        <sz val="10"/>
        <rFont val="MS Sans Serif"/>
        <family val="2"/>
      </rPr>
      <t xml:space="preserve"> @ N</t>
    </r>
    <r>
      <rPr>
        <vertAlign val="subscript"/>
        <sz val="8.5"/>
        <rFont val="MS Sans Serif"/>
        <family val="2"/>
      </rPr>
      <t>ini</t>
    </r>
    <r>
      <rPr>
        <sz val="10"/>
        <rFont val="MS Sans Serif"/>
        <family val="2"/>
      </rPr>
      <t>:</t>
    </r>
  </si>
  <si>
    <t>% Air Voids:</t>
  </si>
  <si>
    <t>% VMA:</t>
  </si>
  <si>
    <t>REMARKS:</t>
  </si>
  <si>
    <t>Technical Responsibility:</t>
  </si>
  <si>
    <t xml:space="preserve">% VFA:  </t>
  </si>
  <si>
    <t>Unit Weight (pcf):</t>
  </si>
  <si>
    <r>
      <t>G</t>
    </r>
    <r>
      <rPr>
        <vertAlign val="subscript"/>
        <sz val="8.5"/>
        <rFont val="MS Sans Serif"/>
        <family val="2"/>
      </rPr>
      <t>mm</t>
    </r>
    <r>
      <rPr>
        <sz val="10"/>
        <rFont val="MS Sans Serif"/>
        <family val="2"/>
      </rPr>
      <t>:</t>
    </r>
  </si>
  <si>
    <t>% Eff. AC:</t>
  </si>
  <si>
    <t>Film Thickness (µm):</t>
  </si>
  <si>
    <t xml:space="preserve">Dust/Asphalt Ratio:  </t>
  </si>
  <si>
    <t>Percentage of Tensile Strength Retained (% TSR) Results</t>
  </si>
  <si>
    <t>MIX ID #:</t>
  </si>
  <si>
    <t>TYPE OF MIX.:</t>
  </si>
  <si>
    <t>PROJ. #:</t>
  </si>
  <si>
    <t>CONTR. &amp; LOC.:</t>
  </si>
  <si>
    <t>BIND. GRADE:</t>
  </si>
  <si>
    <t>ASTM D4867</t>
  </si>
  <si>
    <t>BIND. SOURCE:</t>
  </si>
  <si>
    <t>Test Specimen Results</t>
  </si>
  <si>
    <t>Sample Identification</t>
  </si>
  <si>
    <t>% AC:</t>
  </si>
  <si>
    <t>% ADDITIVE:</t>
  </si>
  <si>
    <t>Sample Aggregate Weight (g)</t>
  </si>
  <si>
    <t>Grams of Asphalt Binder (g)</t>
  </si>
  <si>
    <t>TYPE OF ADDITIVE:</t>
  </si>
  <si>
    <t>Dry Weight in Air (g)</t>
  </si>
  <si>
    <t>Weight in Water (g)</t>
  </si>
  <si>
    <t>SSD Weight (g)</t>
  </si>
  <si>
    <t>Process</t>
  </si>
  <si>
    <t>Date:</t>
  </si>
  <si>
    <t>Time:</t>
  </si>
  <si>
    <t>By:</t>
  </si>
  <si>
    <r>
      <t>Bulk Volume (cm</t>
    </r>
    <r>
      <rPr>
        <vertAlign val="superscript"/>
        <sz val="8"/>
        <rFont val="Arial"/>
        <family val="2"/>
      </rPr>
      <t>3</t>
    </r>
    <r>
      <rPr>
        <sz val="8"/>
        <rFont val="Arial"/>
        <family val="2"/>
      </rPr>
      <t>)</t>
    </r>
  </si>
  <si>
    <t>TSR's Made:</t>
  </si>
  <si>
    <t>Bulk Specific Gravity</t>
  </si>
  <si>
    <t>TSR's Bulked:</t>
  </si>
  <si>
    <t>TSR's Saturated:</t>
  </si>
  <si>
    <t>TSR's in Freezer:</t>
  </si>
  <si>
    <t>Target % Air Voids</t>
  </si>
  <si>
    <r>
      <t>TSR's in 140</t>
    </r>
    <r>
      <rPr>
        <vertAlign val="superscript"/>
        <sz val="8"/>
        <rFont val="Arial"/>
        <family val="2"/>
      </rPr>
      <t>o</t>
    </r>
    <r>
      <rPr>
        <sz val="8"/>
        <rFont val="Arial"/>
        <family val="2"/>
      </rPr>
      <t>F Bath:</t>
    </r>
  </si>
  <si>
    <t>Target Aggregate Weight (g)</t>
  </si>
  <si>
    <t>TSR's Broken :</t>
  </si>
  <si>
    <t>Asphalt Binder (g)</t>
  </si>
  <si>
    <t>Sample ID</t>
  </si>
  <si>
    <t>Diameter (mm)</t>
  </si>
  <si>
    <t>Thickness (mm)</t>
  </si>
  <si>
    <t>Dry Weight (g)</t>
  </si>
  <si>
    <t>Wt. in Water (g)</t>
  </si>
  <si>
    <r>
      <t>Volume (cm</t>
    </r>
    <r>
      <rPr>
        <vertAlign val="superscript"/>
        <sz val="7"/>
        <rFont val="Arial"/>
        <family val="2"/>
      </rPr>
      <t>3</t>
    </r>
    <r>
      <rPr>
        <sz val="8"/>
        <rFont val="Arial"/>
        <family val="2"/>
      </rPr>
      <t>)</t>
    </r>
  </si>
  <si>
    <t>Bulk Spec. Gravity</t>
  </si>
  <si>
    <t>Max. Sp. Gravity</t>
  </si>
  <si>
    <r>
      <t>Vol. Air Voids (cm</t>
    </r>
    <r>
      <rPr>
        <vertAlign val="superscript"/>
        <sz val="7"/>
        <rFont val="Arial"/>
        <family val="2"/>
      </rPr>
      <t>3</t>
    </r>
    <r>
      <rPr>
        <sz val="8"/>
        <rFont val="Arial"/>
        <family val="2"/>
      </rPr>
      <t>)</t>
    </r>
  </si>
  <si>
    <r>
      <t>Load (lb</t>
    </r>
    <r>
      <rPr>
        <vertAlign val="subscript"/>
        <sz val="6.8"/>
        <rFont val="Arial"/>
        <family val="2"/>
      </rPr>
      <t>f</t>
    </r>
    <r>
      <rPr>
        <sz val="8"/>
        <rFont val="Arial"/>
        <family val="2"/>
      </rPr>
      <t>)</t>
    </r>
  </si>
  <si>
    <t>Saturated</t>
  </si>
  <si>
    <r>
      <t>Vol. Abs. Wat. (cm</t>
    </r>
    <r>
      <rPr>
        <vertAlign val="superscript"/>
        <sz val="7"/>
        <rFont val="Arial"/>
        <family val="2"/>
      </rPr>
      <t>3</t>
    </r>
    <r>
      <rPr>
        <sz val="8"/>
        <rFont val="Arial"/>
        <family val="2"/>
      </rPr>
      <t>)</t>
    </r>
  </si>
  <si>
    <t>% Saturation</t>
  </si>
  <si>
    <r>
      <t xml:space="preserve">Conditioned 24 hrs. in 140 </t>
    </r>
    <r>
      <rPr>
        <b/>
        <vertAlign val="superscript"/>
        <sz val="10"/>
        <rFont val="Arial"/>
        <family val="2"/>
      </rPr>
      <t>o</t>
    </r>
    <r>
      <rPr>
        <b/>
        <sz val="10"/>
        <rFont val="Arial"/>
        <family val="2"/>
      </rPr>
      <t>F water</t>
    </r>
  </si>
  <si>
    <t>Wet Strength (psi)</t>
  </si>
  <si>
    <t>Dry Strength (psi)</t>
  </si>
  <si>
    <t xml:space="preserve">% TSR Without Additive = </t>
  </si>
  <si>
    <t xml:space="preserve">% TSR With Additive = </t>
  </si>
  <si>
    <t>Opening</t>
  </si>
  <si>
    <t>Op.^0.45</t>
  </si>
  <si>
    <r>
      <t xml:space="preserve">IF new record THEN
   Set to Current System Date
ELSE </t>
    </r>
    <r>
      <rPr>
        <sz val="9"/>
        <color indexed="10"/>
        <rFont val="Arial"/>
        <family val="2"/>
      </rPr>
      <t>(using REPLACE feature)</t>
    </r>
    <r>
      <rPr>
        <sz val="9"/>
        <rFont val="Arial"/>
        <family val="2"/>
      </rPr>
      <t xml:space="preserve">
   Set to auth_dt on exisitng t_smp record in SM DB
ENDIF</t>
    </r>
  </si>
  <si>
    <t>numeric(3.0)</t>
  </si>
  <si>
    <t>numeric(3.0)
Values can only be 50, 75, 100, 125, (or blank - i.e., since numeric field, blank will be stored as a 0).</t>
  </si>
  <si>
    <r>
      <t>numeric(12.0)
"</t>
    </r>
    <r>
      <rPr>
        <b/>
        <sz val="9"/>
        <color indexed="12"/>
        <rFont val="Arial"/>
        <family val="2"/>
      </rPr>
      <t>N/A" or blanks have been translated to zero (0) below.</t>
    </r>
  </si>
  <si>
    <t>Ref. Mix Design (with changes)-different proj.</t>
  </si>
  <si>
    <t>Ref. Mix Design (with changes)-same proj.</t>
  </si>
  <si>
    <t xml:space="preserve">AMP090108      </t>
  </si>
  <si>
    <t>ATS @ Lexington (Old Frankfort Pike)-Batch (#14)</t>
  </si>
  <si>
    <t>ATS @ Lexington (Old Frankfort Pike)-Drum (#16)</t>
  </si>
  <si>
    <t>ATS @ Lexington (Old Richmond Road) (#15)</t>
  </si>
  <si>
    <t>E &amp; B Paving @ Chandler Indiana</t>
  </si>
  <si>
    <t>Gaddie Shamrock, LLC @ Columbia Plant 2 (Drum)</t>
  </si>
  <si>
    <t xml:space="preserve">AMP080304      </t>
  </si>
  <si>
    <t>Hinkle Contracting @ Somerset (Drum)</t>
  </si>
  <si>
    <t xml:space="preserve">J H Rudolph @ Evansville Indiana </t>
  </si>
  <si>
    <t xml:space="preserve">AMP020304      </t>
  </si>
  <si>
    <t>J H Rudolph @ St Croix Indiana</t>
  </si>
  <si>
    <t>Jim Smith Contracting @ Graves County (Hickory)</t>
  </si>
  <si>
    <t>Scottys Contracting @ Bowling Green (South)</t>
  </si>
  <si>
    <t>Scottys Contracting @ Glasgow ("Rambo")</t>
  </si>
  <si>
    <t>Scottys Contracting @ Hartford</t>
  </si>
  <si>
    <t>Scottys Contracting @ Russellville</t>
  </si>
  <si>
    <t>Scottys Contracting @ Woodburn ("Boll Weevil")</t>
  </si>
  <si>
    <t>The Allen Company Lexington Quarry @ Nicholasville</t>
  </si>
  <si>
    <r>
      <t xml:space="preserve">numeric(3.0)
</t>
    </r>
    <r>
      <rPr>
        <b/>
        <sz val="9"/>
        <color indexed="12"/>
        <rFont val="Arial"/>
        <family val="2"/>
      </rPr>
      <t>Rounded to nearest whole number below.</t>
    </r>
  </si>
  <si>
    <t>ASPHCEM Code</t>
  </si>
  <si>
    <t>Control Points</t>
  </si>
  <si>
    <t>X-Plot</t>
  </si>
  <si>
    <t>Y-Plot</t>
  </si>
  <si>
    <t>TSR =</t>
  </si>
  <si>
    <t>Maximum Density Line</t>
  </si>
  <si>
    <t>1 - 1</t>
  </si>
  <si>
    <t>7 - 4</t>
  </si>
  <si>
    <t>14 - 3</t>
  </si>
  <si>
    <t>21 - 2</t>
  </si>
  <si>
    <t>28 - 1</t>
  </si>
  <si>
    <t>Bid Item</t>
  </si>
  <si>
    <t>0-20</t>
  </si>
  <si>
    <t>21-30</t>
  </si>
  <si>
    <t>34 - 4</t>
  </si>
  <si>
    <t>1 - 2</t>
  </si>
  <si>
    <t>8 - 1</t>
  </si>
  <si>
    <t>14 - 4</t>
  </si>
  <si>
    <t>21 - 3</t>
  </si>
  <si>
    <t>28 - 2</t>
  </si>
  <si>
    <t>1 - 3</t>
  </si>
  <si>
    <t>8 - 2</t>
  </si>
  <si>
    <t>15 - 1</t>
  </si>
  <si>
    <t>21 - 4</t>
  </si>
  <si>
    <t>28 - 3</t>
  </si>
  <si>
    <t>Use KM 427</t>
  </si>
  <si>
    <t>1 - 4</t>
  </si>
  <si>
    <t>8 - 3</t>
  </si>
  <si>
    <t>15 - 2</t>
  </si>
  <si>
    <t>22 - 1</t>
  </si>
  <si>
    <t>28 - 4</t>
  </si>
  <si>
    <t>2 - 1</t>
  </si>
  <si>
    <t>8 - 4</t>
  </si>
  <si>
    <t>15 - 3</t>
  </si>
  <si>
    <t>22 - 2</t>
  </si>
  <si>
    <t>29 - 1</t>
  </si>
  <si>
    <t>2 - 2</t>
  </si>
  <si>
    <t>9 - 1</t>
  </si>
  <si>
    <t>15 - 4</t>
  </si>
  <si>
    <t>22 - 3</t>
  </si>
  <si>
    <t>29 - 2</t>
  </si>
  <si>
    <t>C37</t>
  </si>
  <si>
    <t>9</t>
  </si>
  <si>
    <t>RAP Gsb field "label"</t>
  </si>
  <si>
    <t>varchar(18)
Binder: N/A</t>
  </si>
  <si>
    <t>2 - 3</t>
  </si>
  <si>
    <t>9 - 2</t>
  </si>
  <si>
    <t>16 - 1</t>
  </si>
  <si>
    <t>22 - 4</t>
  </si>
  <si>
    <t>29 - 3</t>
  </si>
  <si>
    <t>2 - 4</t>
  </si>
  <si>
    <t>9 - 3</t>
  </si>
  <si>
    <t>16 - 2</t>
  </si>
  <si>
    <t>23 - 1</t>
  </si>
  <si>
    <t>29 - 4</t>
  </si>
  <si>
    <t>3 - 1</t>
  </si>
  <si>
    <t>9 - 4</t>
  </si>
  <si>
    <t>16 - 3</t>
  </si>
  <si>
    <t>23 - 2</t>
  </si>
  <si>
    <t>30 - 1</t>
  </si>
  <si>
    <t>3 - 2</t>
  </si>
  <si>
    <t>10 - 1</t>
  </si>
  <si>
    <t>16 - 4</t>
  </si>
  <si>
    <t>23 - 3</t>
  </si>
  <si>
    <t>30 - 2</t>
  </si>
  <si>
    <t>3 - 3</t>
  </si>
  <si>
    <t>10 - 2</t>
  </si>
  <si>
    <t>17 - 1</t>
  </si>
  <si>
    <t>23 - 4</t>
  </si>
  <si>
    <t>30 - 3</t>
  </si>
  <si>
    <t>3 - 4</t>
  </si>
  <si>
    <t>10 - 3</t>
  </si>
  <si>
    <t>17 - 2</t>
  </si>
  <si>
    <t>24 - 1</t>
  </si>
  <si>
    <t>30 - 4</t>
  </si>
  <si>
    <t>SUP</t>
  </si>
  <si>
    <t>TON</t>
  </si>
  <si>
    <t>Always assigned as TONS for this discipline</t>
  </si>
  <si>
    <t>Existing on t_cd_tbl_dtl (cd_id)
AND t_cd_tbl_dtl.tbl_id='UNITS'</t>
  </si>
  <si>
    <t>Existing on t_tst_fee_schd</t>
  </si>
  <si>
    <t>Existing on t_cd_tbl_dtl (cd_id)
AND t_cd_tbl_dtl.tbl_id='ASPHCEM'</t>
  </si>
  <si>
    <t>Existing on t_smpl</t>
  </si>
  <si>
    <t>Existing on t_cd_tbl_dtl (cd_id)
AND t_cd_tbl_dtl.tbl_id='MIXDSN'</t>
  </si>
  <si>
    <t>varchar(18)</t>
  </si>
  <si>
    <t>F8</t>
  </si>
  <si>
    <t>F9</t>
  </si>
  <si>
    <t>F10</t>
  </si>
  <si>
    <t>F21</t>
  </si>
  <si>
    <t>F23</t>
  </si>
  <si>
    <t>F24</t>
  </si>
  <si>
    <t>F25</t>
  </si>
  <si>
    <t>F26</t>
  </si>
  <si>
    <t>F27</t>
  </si>
  <si>
    <t>F28</t>
  </si>
  <si>
    <t>F30</t>
  </si>
  <si>
    <t>F32</t>
  </si>
  <si>
    <t>F33</t>
  </si>
  <si>
    <t>F34</t>
  </si>
  <si>
    <t>F35</t>
  </si>
  <si>
    <t>F36</t>
  </si>
  <si>
    <t>F37</t>
  </si>
  <si>
    <t>F38</t>
  </si>
  <si>
    <t>F39</t>
  </si>
  <si>
    <t>F40</t>
  </si>
  <si>
    <t>F41</t>
  </si>
  <si>
    <t>F42</t>
  </si>
  <si>
    <t>F43</t>
  </si>
  <si>
    <t>F44</t>
  </si>
  <si>
    <t>F45</t>
  </si>
  <si>
    <t>F46</t>
  </si>
  <si>
    <t>F47</t>
  </si>
  <si>
    <t>F48</t>
  </si>
  <si>
    <t>F53</t>
  </si>
  <si>
    <t>F54</t>
  </si>
  <si>
    <t>F55</t>
  </si>
  <si>
    <t>F56</t>
  </si>
  <si>
    <t>F57</t>
  </si>
  <si>
    <t>F58</t>
  </si>
  <si>
    <t>F59</t>
  </si>
  <si>
    <t>F60</t>
  </si>
  <si>
    <t>F61</t>
  </si>
  <si>
    <t>F62</t>
  </si>
  <si>
    <t>F63</t>
  </si>
  <si>
    <t>F64</t>
  </si>
  <si>
    <t>F65</t>
  </si>
  <si>
    <t>F66</t>
  </si>
  <si>
    <t>F67</t>
  </si>
  <si>
    <t>F68</t>
  </si>
  <si>
    <t>F69</t>
  </si>
  <si>
    <t>F70</t>
  </si>
  <si>
    <t>F71</t>
  </si>
  <si>
    <t>F72</t>
  </si>
  <si>
    <t>F73</t>
  </si>
  <si>
    <t>F74</t>
  </si>
  <si>
    <t>F75</t>
  </si>
  <si>
    <t>F76</t>
  </si>
  <si>
    <t>F77</t>
  </si>
  <si>
    <t>F78</t>
  </si>
  <si>
    <t>F79</t>
  </si>
  <si>
    <t>F80</t>
  </si>
  <si>
    <t>F81</t>
  </si>
  <si>
    <t>F82</t>
  </si>
  <si>
    <t>F83</t>
  </si>
  <si>
    <t>F84</t>
  </si>
  <si>
    <t>F85</t>
  </si>
  <si>
    <t>F86</t>
  </si>
  <si>
    <t>F87</t>
  </si>
  <si>
    <t>F88</t>
  </si>
  <si>
    <t>F89</t>
  </si>
  <si>
    <t>F90</t>
  </si>
  <si>
    <t>F91</t>
  </si>
  <si>
    <t>F92</t>
  </si>
  <si>
    <t>F93</t>
  </si>
  <si>
    <t>F94</t>
  </si>
  <si>
    <t>F95</t>
  </si>
  <si>
    <t>F96</t>
  </si>
  <si>
    <t>F97</t>
  </si>
  <si>
    <t>F98</t>
  </si>
  <si>
    <t>F99</t>
  </si>
  <si>
    <t>F100</t>
  </si>
  <si>
    <t>F101</t>
  </si>
  <si>
    <t>F102</t>
  </si>
  <si>
    <t>F103</t>
  </si>
  <si>
    <t>F104</t>
  </si>
  <si>
    <t>F105</t>
  </si>
  <si>
    <t>F106</t>
  </si>
  <si>
    <t>F107</t>
  </si>
  <si>
    <t>F108</t>
  </si>
  <si>
    <t>F109</t>
  </si>
  <si>
    <t>F110</t>
  </si>
  <si>
    <t>F111</t>
  </si>
  <si>
    <t>F112</t>
  </si>
  <si>
    <t>F113</t>
  </si>
  <si>
    <t>F114</t>
  </si>
  <si>
    <t>F115</t>
  </si>
  <si>
    <t>F116</t>
  </si>
  <si>
    <t>F117</t>
  </si>
  <si>
    <t>F118</t>
  </si>
  <si>
    <t>F119</t>
  </si>
  <si>
    <t>F120</t>
  </si>
  <si>
    <t>F121</t>
  </si>
  <si>
    <t>F122</t>
  </si>
  <si>
    <t>F123</t>
  </si>
  <si>
    <t>F124</t>
  </si>
  <si>
    <t>F125</t>
  </si>
  <si>
    <t>F126</t>
  </si>
  <si>
    <t>F127</t>
  </si>
  <si>
    <t>F128</t>
  </si>
  <si>
    <t>F129</t>
  </si>
  <si>
    <t>F130</t>
  </si>
  <si>
    <t>F131</t>
  </si>
  <si>
    <t>F132</t>
  </si>
  <si>
    <t>F133</t>
  </si>
  <si>
    <t>F134</t>
  </si>
  <si>
    <t>F135</t>
  </si>
  <si>
    <t>F136</t>
  </si>
  <si>
    <t>F137</t>
  </si>
  <si>
    <t>F138</t>
  </si>
  <si>
    <t>F139</t>
  </si>
  <si>
    <t>F140</t>
  </si>
  <si>
    <t>F141</t>
  </si>
  <si>
    <t>F142</t>
  </si>
  <si>
    <t>F143</t>
  </si>
  <si>
    <t>F144</t>
  </si>
  <si>
    <t>F145</t>
  </si>
  <si>
    <t>F146</t>
  </si>
  <si>
    <t>F147</t>
  </si>
  <si>
    <t>F148</t>
  </si>
  <si>
    <t>F149</t>
  </si>
  <si>
    <t>F150</t>
  </si>
  <si>
    <t>F151</t>
  </si>
  <si>
    <t>F152</t>
  </si>
  <si>
    <t>F153</t>
  </si>
  <si>
    <t>F154</t>
  </si>
  <si>
    <t>F155</t>
  </si>
  <si>
    <t>F156</t>
  </si>
  <si>
    <t>F157</t>
  </si>
  <si>
    <t>F158</t>
  </si>
  <si>
    <t>F159</t>
  </si>
  <si>
    <t>F160</t>
  </si>
  <si>
    <t>F161</t>
  </si>
  <si>
    <t>F162</t>
  </si>
  <si>
    <t>F163</t>
  </si>
  <si>
    <t>F164</t>
  </si>
  <si>
    <t>F165</t>
  </si>
  <si>
    <t>F166</t>
  </si>
  <si>
    <t>F167</t>
  </si>
  <si>
    <t>F168</t>
  </si>
  <si>
    <t>F169</t>
  </si>
  <si>
    <t>F170</t>
  </si>
  <si>
    <t>F171</t>
  </si>
  <si>
    <t>F172</t>
  </si>
  <si>
    <t>F173</t>
  </si>
  <si>
    <t>F174</t>
  </si>
  <si>
    <t>F175</t>
  </si>
  <si>
    <t>F176</t>
  </si>
  <si>
    <t>F177</t>
  </si>
  <si>
    <t>F178</t>
  </si>
  <si>
    <t>F179</t>
  </si>
  <si>
    <t>F180</t>
  </si>
  <si>
    <t>F181</t>
  </si>
  <si>
    <t>F182</t>
  </si>
  <si>
    <t>F183</t>
  </si>
  <si>
    <t>F184</t>
  </si>
  <si>
    <t>F185</t>
  </si>
  <si>
    <t>F186</t>
  </si>
  <si>
    <t>F187</t>
  </si>
  <si>
    <t>F188</t>
  </si>
  <si>
    <t>F189</t>
  </si>
  <si>
    <t>F190</t>
  </si>
  <si>
    <t>F191</t>
  </si>
  <si>
    <t>F192</t>
  </si>
  <si>
    <t>F193</t>
  </si>
  <si>
    <t>F194</t>
  </si>
  <si>
    <t>Mountain Enterprises @ Turkey Creek</t>
  </si>
  <si>
    <t xml:space="preserve">AMP070309      </t>
  </si>
  <si>
    <t>ATS @ Lexington (Old Richmond Road) (#17)</t>
  </si>
  <si>
    <t>F195</t>
  </si>
  <si>
    <t>F196</t>
  </si>
  <si>
    <t>F197</t>
  </si>
  <si>
    <t>F198</t>
  </si>
  <si>
    <t>F199</t>
  </si>
  <si>
    <t>F200</t>
  </si>
  <si>
    <t>F201</t>
  </si>
  <si>
    <t>F202</t>
  </si>
  <si>
    <t>F203</t>
  </si>
  <si>
    <t>F204</t>
  </si>
  <si>
    <t>F205</t>
  </si>
  <si>
    <t>F206</t>
  </si>
  <si>
    <t>F207</t>
  </si>
  <si>
    <t>F208</t>
  </si>
  <si>
    <t>F209</t>
  </si>
  <si>
    <t>F210</t>
  </si>
  <si>
    <t>F211</t>
  </si>
  <si>
    <t>F212</t>
  </si>
  <si>
    <t>F213</t>
  </si>
  <si>
    <t>F214</t>
  </si>
  <si>
    <t>F215</t>
  </si>
  <si>
    <t>F216</t>
  </si>
  <si>
    <t>F217</t>
  </si>
  <si>
    <t>F218</t>
  </si>
  <si>
    <t>F219</t>
  </si>
  <si>
    <t>F220</t>
  </si>
  <si>
    <t>F221</t>
  </si>
  <si>
    <t>F222</t>
  </si>
  <si>
    <t>F223</t>
  </si>
  <si>
    <t>F224</t>
  </si>
  <si>
    <t>F225</t>
  </si>
  <si>
    <t>F226</t>
  </si>
  <si>
    <t>F227</t>
  </si>
  <si>
    <t>F228</t>
  </si>
  <si>
    <t>F229</t>
  </si>
  <si>
    <t>F230</t>
  </si>
  <si>
    <t>F231</t>
  </si>
  <si>
    <t>F232</t>
  </si>
  <si>
    <t>F233</t>
  </si>
  <si>
    <t>F234</t>
  </si>
  <si>
    <t>F235</t>
  </si>
  <si>
    <t>F236</t>
  </si>
  <si>
    <t>F237</t>
  </si>
  <si>
    <t>F238</t>
  </si>
  <si>
    <t>F239</t>
  </si>
  <si>
    <t>F240</t>
  </si>
  <si>
    <t>F241</t>
  </si>
  <si>
    <t>F242</t>
  </si>
  <si>
    <t>F243</t>
  </si>
  <si>
    <t>F244</t>
  </si>
  <si>
    <t>F245</t>
  </si>
  <si>
    <t>F246</t>
  </si>
  <si>
    <t>F247</t>
  </si>
  <si>
    <t>F248</t>
  </si>
  <si>
    <t>F249</t>
  </si>
  <si>
    <t>F250</t>
  </si>
  <si>
    <t>F251</t>
  </si>
  <si>
    <t>F252</t>
  </si>
  <si>
    <t>F253</t>
  </si>
  <si>
    <t>% Gmm @ Ninitial</t>
  </si>
  <si>
    <t>% Gmm @ Nmax</t>
  </si>
  <si>
    <t>Unit Weight (lb/ft3)</t>
  </si>
  <si>
    <t>Gsb</t>
  </si>
  <si>
    <t>Gse</t>
  </si>
  <si>
    <t>Criteria - % Gmm @ Ninitial</t>
  </si>
  <si>
    <t>Criteria - % Gmm @ Nmax</t>
  </si>
  <si>
    <t>Gsb #2</t>
  </si>
  <si>
    <t>Gsb #3</t>
  </si>
  <si>
    <t>Gsb #4</t>
  </si>
  <si>
    <t>Gsb #5</t>
  </si>
  <si>
    <t>Gsb #6</t>
  </si>
  <si>
    <t>Unit Wt. (lb/ft3) =</t>
  </si>
  <si>
    <t>Gsb =</t>
  </si>
  <si>
    <t>LABEL: PROJECT INFORMATION</t>
  </si>
  <si>
    <t>LABEL: 4-PT. GYRATORY MIX DESIGN INFORMATION</t>
  </si>
  <si>
    <t>LABEL: Template Name:  AMMIXPACK</t>
  </si>
  <si>
    <t>LABEL: Descrip.:  MIX DESIGN SPREADSHEET</t>
  </si>
  <si>
    <t>LABEL: GRADATION INFORMATION</t>
  </si>
  <si>
    <t>LABEL: Sieve</t>
  </si>
  <si>
    <t>LABEL: JMF</t>
  </si>
  <si>
    <t>4 - 1</t>
  </si>
  <si>
    <t>10 - 4</t>
  </si>
  <si>
    <t>17 - 3</t>
  </si>
  <si>
    <t>24 - 2</t>
  </si>
  <si>
    <t>31 - 1</t>
  </si>
  <si>
    <t>4 - 2</t>
  </si>
  <si>
    <t>11 - 1</t>
  </si>
  <si>
    <t>17 - 4</t>
  </si>
  <si>
    <t>24 - 3</t>
  </si>
  <si>
    <t>31 - 2</t>
  </si>
  <si>
    <t>4 - 3</t>
  </si>
  <si>
    <t>11 - 2</t>
  </si>
  <si>
    <t>18 - 1</t>
  </si>
  <si>
    <t>24 - 4</t>
  </si>
  <si>
    <t>31 - 3</t>
  </si>
  <si>
    <t>4 - 4</t>
  </si>
  <si>
    <t>11 - 3</t>
  </si>
  <si>
    <t>18 - 2</t>
  </si>
  <si>
    <t>25 - 1</t>
  </si>
  <si>
    <t>31 - 4</t>
  </si>
  <si>
    <t>5 - 1</t>
  </si>
  <si>
    <t>11 - 4</t>
  </si>
  <si>
    <t>18 - 3</t>
  </si>
  <si>
    <t>25 - 2</t>
  </si>
  <si>
    <t>32 - 1</t>
  </si>
  <si>
    <t>5 - 2</t>
  </si>
  <si>
    <t>12 - 1</t>
  </si>
  <si>
    <t>18 - 4</t>
  </si>
  <si>
    <t>25 - 3</t>
  </si>
  <si>
    <t>32 - 2</t>
  </si>
  <si>
    <t>5 - 3</t>
  </si>
  <si>
    <t>12 - 2</t>
  </si>
  <si>
    <t>19 - 1</t>
  </si>
  <si>
    <t>25 - 4</t>
  </si>
  <si>
    <t>32 - 3</t>
  </si>
  <si>
    <t>5 - 4</t>
  </si>
  <si>
    <t>12 - 3</t>
  </si>
  <si>
    <t>19 - 2</t>
  </si>
  <si>
    <t>26 - 1</t>
  </si>
  <si>
    <t>32 - 4</t>
  </si>
  <si>
    <t>6 - 1</t>
  </si>
  <si>
    <t>12 - 4</t>
  </si>
  <si>
    <t>19 - 3</t>
  </si>
  <si>
    <t>26 - 2</t>
  </si>
  <si>
    <t>33 - 1</t>
  </si>
  <si>
    <t>6 - 2</t>
  </si>
  <si>
    <t>13 - 1</t>
  </si>
  <si>
    <t>19 - 4</t>
  </si>
  <si>
    <t>26 - 3</t>
  </si>
  <si>
    <t>33 - 2</t>
  </si>
  <si>
    <t>6 - 3</t>
  </si>
  <si>
    <t>13 - 2</t>
  </si>
  <si>
    <t>20 - 1</t>
  </si>
  <si>
    <t>26 - 4</t>
  </si>
  <si>
    <t>33 - 3</t>
  </si>
  <si>
    <t>6 - 4</t>
  </si>
  <si>
    <t>13 - 3</t>
  </si>
  <si>
    <t>20 - 2</t>
  </si>
  <si>
    <t>27 - 1</t>
  </si>
  <si>
    <t>33 - 4</t>
  </si>
  <si>
    <t>7 - 1</t>
  </si>
  <si>
    <t>13 - 4</t>
  </si>
  <si>
    <t>20 - 3</t>
  </si>
  <si>
    <t>27 - 2</t>
  </si>
  <si>
    <t>34 - 1</t>
  </si>
  <si>
    <t>7 - 2</t>
  </si>
  <si>
    <t>14 - 1</t>
  </si>
  <si>
    <t>20 - 4</t>
  </si>
  <si>
    <t>27 - 3</t>
  </si>
  <si>
    <t>34 - 2</t>
  </si>
  <si>
    <t>7 - 3</t>
  </si>
  <si>
    <t>14 - 2</t>
  </si>
  <si>
    <t>21 - 1</t>
  </si>
  <si>
    <t>27 - 4</t>
  </si>
  <si>
    <t>34 - 3</t>
  </si>
  <si>
    <t>00018 DRAINAGE BLANKET-TYPE II-ASPH</t>
  </si>
  <si>
    <t>00101 SAMI</t>
  </si>
  <si>
    <t>00203 CL2 ASPH BASE 1.50D PG64-22</t>
  </si>
  <si>
    <t>00205 CL3 ASPH BASE 1.50D PG64-22</t>
  </si>
  <si>
    <t>00207 CL3 ASPH BASE 1.50D PG76-22</t>
  </si>
  <si>
    <t>00208 CL4 ASPH BASE 1.50D PG64-22</t>
  </si>
  <si>
    <t>00210 CL4 ASPH BASE 1.50D PG76-22</t>
  </si>
  <si>
    <t>Y</t>
  </si>
  <si>
    <t>FORMAT: MMDDYYYY</t>
  </si>
  <si>
    <t>These three keys (and matl_cd from Header tab) must exist on t_cont_streq_matl.</t>
  </si>
  <si>
    <t>Received Date</t>
  </si>
  <si>
    <t>Actual Start Date</t>
  </si>
  <si>
    <r>
      <t xml:space="preserve">Type &amp; Size (ALL ...fld_val FIELDS) </t>
    </r>
    <r>
      <rPr>
        <b/>
        <sz val="10"/>
        <color indexed="10"/>
        <rFont val="Arial"/>
        <family val="2"/>
      </rPr>
      <t xml:space="preserve"> </t>
    </r>
    <r>
      <rPr>
        <b/>
        <sz val="10"/>
        <rFont val="Arial"/>
        <family val="2"/>
      </rPr>
      <t xml:space="preserve">AND
</t>
    </r>
    <r>
      <rPr>
        <sz val="10"/>
        <rFont val="Arial"/>
        <family val="2"/>
      </rPr>
      <t xml:space="preserve">
CHOOSE CASE tst_fld_sn </t>
    </r>
    <r>
      <rPr>
        <b/>
        <sz val="10"/>
        <color indexed="12"/>
        <rFont val="Arial"/>
        <family val="2"/>
      </rPr>
      <t xml:space="preserve"> [SM "Date" Format]</t>
    </r>
    <r>
      <rPr>
        <sz val="10"/>
        <rFont val="Arial"/>
        <family val="2"/>
      </rPr>
      <t xml:space="preserve">
      CASE </t>
    </r>
    <r>
      <rPr>
        <sz val="10"/>
        <color indexed="10"/>
        <rFont val="Arial"/>
        <family val="2"/>
      </rPr>
      <t>137</t>
    </r>
    <r>
      <rPr>
        <sz val="10"/>
        <rFont val="Arial"/>
        <family val="2"/>
      </rPr>
      <t xml:space="preserve">
            Make sure to format </t>
    </r>
    <r>
      <rPr>
        <b/>
        <sz val="10"/>
        <color indexed="10"/>
        <rFont val="Arial"/>
        <family val="2"/>
      </rPr>
      <t>MMDDYYYY</t>
    </r>
    <r>
      <rPr>
        <sz val="10"/>
        <rFont val="Arial"/>
        <family val="2"/>
      </rPr>
      <t xml:space="preserve">
ENDCASE
</t>
    </r>
  </si>
  <si>
    <t>00212 CL2 ASPH BASE 1.00D PG64-22</t>
  </si>
  <si>
    <t>If all four key fields are not present, DO NOT write a record to Sitemanager.</t>
  </si>
  <si>
    <t>00214 CL3 ASPH BASE 1.00D PG64-22</t>
  </si>
  <si>
    <t>00216 CL3 ASPH BASE 1.00D PG76-22</t>
  </si>
  <si>
    <t>00217 CL4 ASPH BASE 1.00D PG64-22</t>
  </si>
  <si>
    <t>00219 CL4 ASPH BASE 1.00D PG76-22</t>
  </si>
  <si>
    <t>00221 CL2 ASPH BASE 0.75D PG64-22</t>
  </si>
  <si>
    <t>00223 CL3 ASPH BASE 0.75D PG64-22</t>
  </si>
  <si>
    <t>00225 CL3 ASPH BASE 0.75D PG76-22</t>
  </si>
  <si>
    <t>00226 CL4 ASPH BASE 0.75D PG64-22</t>
  </si>
  <si>
    <t>00228 CL4 ASPH BASE 0.75D PG76-22</t>
  </si>
  <si>
    <t>00267 ASPH SURF OPEN-GRADED PG64-22</t>
  </si>
  <si>
    <t>00268 ASPH SURF OPEN-GRADED PG76-22</t>
  </si>
  <si>
    <t>00269 MODIFIED OPEN-GRADED DRAINAGE COURSE</t>
  </si>
  <si>
    <t>00272 CL2 ASPH BIND 0.50D PG64-22</t>
  </si>
  <si>
    <t>00274 CL3 ASPH BIND 0.50D PG64-22</t>
  </si>
  <si>
    <t>00276 CL3 ASPH BIND 0.50D PG76-22</t>
  </si>
  <si>
    <t>00277 CL4 ASPH BIND 0.50D PG64-22</t>
  </si>
  <si>
    <t>Re-enable t_bit_conc_mixblnd tab (and adjust Material Codes properly on Design Data tab so that no duplicates are found).</t>
  </si>
  <si>
    <t>00279 CL4 ASPH BIND 0.50D PG76-22</t>
  </si>
  <si>
    <t>00301 CL2 ASPH SURF 0.38D PG64-22</t>
  </si>
  <si>
    <t>00307 CL2 ASPH SURF 0.38B PG64-22</t>
  </si>
  <si>
    <t>00309 CL2 ASPH SURF 0.50D PG64-22</t>
  </si>
  <si>
    <t>00312 CL3 ASPH SURF 0.50D PG64-22</t>
  </si>
  <si>
    <t>00324 CL3 ASPH SURF 0.50B PG64-22</t>
  </si>
  <si>
    <t>00327 CL4 ASPH SURF 0.50B PG64-22</t>
  </si>
  <si>
    <t>(must equal sum on Project Items tab)</t>
  </si>
  <si>
    <t>Other</t>
  </si>
  <si>
    <t>See Applicable Spec.</t>
  </si>
  <si>
    <t>00329 CL4 ASPH SURF 0.50B PG76-22</t>
  </si>
  <si>
    <t>00330 CL3 ASPH SURF 0.50A PG64-22</t>
  </si>
  <si>
    <t>00332 CL3 ASPH SURF 0.50A PG76-22</t>
  </si>
  <si>
    <t>00333 CL4 ASPH SURF 0.50A PG64-22</t>
  </si>
  <si>
    <t>00335 CL4 ASPH SURF 0.50A PG76-22</t>
  </si>
  <si>
    <t>00336 CL3 ASPH SURF 0.38A PG76-22</t>
  </si>
  <si>
    <t>00337 CL4 ASPH SURF 0.38B PG76-22</t>
  </si>
  <si>
    <t>00339 CL3 ASPH SURF 0.38D PG64-22</t>
  </si>
  <si>
    <t>00340 CL2 ASPH SURF 0.38D PG76-22</t>
  </si>
  <si>
    <t>00342 CL4 ASPH SURF 0.38A PG76-22</t>
  </si>
  <si>
    <t>01897 ASPHALT WEDGE CURB</t>
  </si>
  <si>
    <t>01935 MOUNTABLE MEDIAN TYPE 1</t>
  </si>
  <si>
    <t>01936 MOUNTABLE MEDIAN TYPE 1 MOD</t>
  </si>
  <si>
    <t>TDS</t>
  </si>
  <si>
    <t>Attached new map which includes the root sample id (filename).  The new map also ensures all dates from excel are in the same formate (serial date).  Conversion to normal date and format is handled in the applet.  All dates are tested for validity and that they don't exceed the current system date.</t>
  </si>
  <si>
    <t>01937 MOUNTABLE MEDIAN TYPE 2</t>
  </si>
  <si>
    <t>01939 MOUNTABLE MEDIAN TYPE 3</t>
  </si>
  <si>
    <t>01940 MOUNTABLE MEDIAN TYPE 3 MOD</t>
  </si>
  <si>
    <t>01941 MOUNTABLE MEDIAN TYPE 4</t>
  </si>
  <si>
    <t>01943 MOUNTABLE MEDIAN TYPE 5</t>
  </si>
  <si>
    <t>01945 MOUNTABLE MEDIAN TYPE 1A</t>
  </si>
  <si>
    <t>01946 MOUNTABLE MEDIAN TYPE 2A</t>
  </si>
  <si>
    <t>01947 MOUNTABLE MEDIAN TYPE 3A</t>
  </si>
  <si>
    <t>01949 MOUNTABLE MEDIAN TYPE 6A</t>
  </si>
  <si>
    <t>01950 MOUNTABLE MEDIAN TYPE 7A</t>
  </si>
  <si>
    <t>LABEL: MCL CONSENSUS (&amp; ADDITIONAL) VERIFICATION INFORMATION</t>
  </si>
  <si>
    <t>LABEL: 1-Pt. CHECK PROPERTIES</t>
  </si>
  <si>
    <t>LABEL: MIX DESIGN AGGREGATE INFORMATION</t>
  </si>
  <si>
    <t>LABEL: TSR INFORMATION</t>
  </si>
  <si>
    <t>LABEL: APPROVAL INFORMATION</t>
  </si>
  <si>
    <t>00374 ASPH SURF SAND TY II PG64-22</t>
  </si>
  <si>
    <t>Hinkle Asphalt @ Avon</t>
  </si>
  <si>
    <t>Midwest Terminal @ Paducah</t>
  </si>
  <si>
    <t>Shelbyville Asphalt Terminal @ Shelbyville</t>
  </si>
  <si>
    <t>ATS Asphalt Terminal @ Lexington</t>
  </si>
  <si>
    <t>BP Amoco @ Whiting, IN</t>
  </si>
  <si>
    <t>Buckeye Asphalt @ Cincinnati, OH</t>
  </si>
  <si>
    <t>Ergon @ Nashville, TN</t>
  </si>
  <si>
    <t>Terry Asphalt @ Hamilton, OH</t>
  </si>
  <si>
    <t>10425</t>
  </si>
  <si>
    <t>10430</t>
  </si>
  <si>
    <t>10435</t>
  </si>
  <si>
    <t>10436</t>
  </si>
  <si>
    <t>10437</t>
  </si>
  <si>
    <t>10440</t>
  </si>
  <si>
    <t>24025</t>
  </si>
  <si>
    <t>Criteria - % Air Voids</t>
  </si>
  <si>
    <t>Criteria - % AC</t>
  </si>
  <si>
    <t>Criteria - % TSR without additive</t>
  </si>
  <si>
    <t>Criteria - % TSR with additive</t>
  </si>
  <si>
    <t>Notes</t>
  </si>
  <si>
    <t>RAP MSG's (2)</t>
  </si>
  <si>
    <t>M32</t>
  </si>
  <si>
    <t>$</t>
  </si>
  <si>
    <t>AGG. PROD. NO. #2</t>
  </si>
  <si>
    <t>AGG. PROD. NO. #3</t>
  </si>
  <si>
    <t>AGG. PROD. NO. #4</t>
  </si>
  <si>
    <t>AGG. PROD. NO. #5</t>
  </si>
  <si>
    <t>AGG. PROD. NO. #6</t>
  </si>
  <si>
    <t>PRODUCER NAME #2</t>
  </si>
  <si>
    <t>PRODUCER NAME #3</t>
  </si>
  <si>
    <t>Recycle selected:  Use PG 76-22 virgin binder.</t>
  </si>
  <si>
    <t>LU00642</t>
  </si>
  <si>
    <t>LU01210</t>
  </si>
  <si>
    <t>LU02210</t>
  </si>
  <si>
    <t>LU03210</t>
  </si>
  <si>
    <t>LU04210</t>
  </si>
  <si>
    <t>LU05210</t>
  </si>
  <si>
    <t>LU06210</t>
  </si>
  <si>
    <t>LU07210</t>
  </si>
  <si>
    <t>LU08210</t>
  </si>
  <si>
    <t>LU09210</t>
  </si>
  <si>
    <t>LU10210</t>
  </si>
  <si>
    <t>LU11210</t>
  </si>
  <si>
    <t>LU12210</t>
  </si>
  <si>
    <t>LAB UNIT:</t>
  </si>
  <si>
    <t>1.50</t>
  </si>
  <si>
    <t>1.00</t>
  </si>
  <si>
    <t>0.50</t>
  </si>
  <si>
    <t>LAP100802</t>
  </si>
  <si>
    <t>Hinkle Contracting @ Bethelridge (Drum)</t>
  </si>
  <si>
    <t xml:space="preserve">AMP080305      </t>
  </si>
  <si>
    <t>Scottys Contracting @ Leitchfield (Drum #3)</t>
  </si>
  <si>
    <t>AMP040308</t>
  </si>
  <si>
    <t>00385 CL3 ASPH SURF 0.38A PG64-22</t>
  </si>
  <si>
    <t xml:space="preserve">AMP100303      </t>
  </si>
  <si>
    <t>23128ES403 CL4 ASPH SURF 0.38A PG64-22</t>
  </si>
  <si>
    <t>23142ES403 CL4 ASPH SURF 0.38B PG64-22</t>
  </si>
  <si>
    <t>Hinkle Asphalt @ Somerset</t>
  </si>
  <si>
    <t>PRODUCER NAME #4</t>
  </si>
  <si>
    <t>PRODUCER NAME #5</t>
  </si>
  <si>
    <t>Dolomite #67's</t>
  </si>
  <si>
    <t>Dolomite #68's</t>
  </si>
  <si>
    <t>Dolomite #78's</t>
  </si>
  <si>
    <t>Dolomite #8's</t>
  </si>
  <si>
    <t>Dolomite #9M's</t>
  </si>
  <si>
    <t>Siltstone #67's</t>
  </si>
  <si>
    <t>Siltstone #78's</t>
  </si>
  <si>
    <t>Siltstone #8's</t>
  </si>
  <si>
    <t>Siltstone #9M's</t>
  </si>
  <si>
    <t>Siltsone Sand</t>
  </si>
  <si>
    <t>LSS Anti-Skid A (Washed)</t>
  </si>
  <si>
    <t>LSS Anti-Skid A (Unwashed)</t>
  </si>
  <si>
    <t>LSS Anti-Skid B (Unwashed)</t>
  </si>
  <si>
    <t>LSS Anti-Skid B (Washed)</t>
  </si>
  <si>
    <t>v3.0</t>
  </si>
  <si>
    <t>MDH/MTB</t>
  </si>
  <si>
    <t>Gravel #57's</t>
  </si>
  <si>
    <t>Gravel #67's</t>
  </si>
  <si>
    <t>Granite #78's</t>
  </si>
  <si>
    <t>Granite #67's</t>
  </si>
  <si>
    <t>Granite #8's</t>
  </si>
  <si>
    <t>Granite #9M's</t>
  </si>
  <si>
    <t>Granite Sand</t>
  </si>
  <si>
    <t>Deployed new version 5.02/Discipline v2.0.</t>
  </si>
  <si>
    <t>LAP100201</t>
  </si>
  <si>
    <t>LAP100301</t>
  </si>
  <si>
    <t>LAP100401</t>
  </si>
  <si>
    <t>LAP100601</t>
  </si>
  <si>
    <t>LAP100801</t>
  </si>
  <si>
    <t>LAP101001</t>
  </si>
  <si>
    <t>LAP101002</t>
  </si>
  <si>
    <t>LAP101007</t>
  </si>
  <si>
    <t>LAP101005</t>
  </si>
  <si>
    <t>LAP101009</t>
  </si>
  <si>
    <t>LAP101006</t>
  </si>
  <si>
    <t>LAP101003</t>
  </si>
  <si>
    <t>LAP101101</t>
  </si>
  <si>
    <t>LAP101201</t>
  </si>
  <si>
    <t>LAP101401</t>
  </si>
  <si>
    <t>LAP101501</t>
  </si>
  <si>
    <t>LAP101301</t>
  </si>
  <si>
    <t>Jim Smith Contracting @ Paducah</t>
  </si>
  <si>
    <t>Madisonville Paving @ Madisonville</t>
  </si>
  <si>
    <t>Rogers Group @ Henderson</t>
  </si>
  <si>
    <t>Owensboro Paving @ Owensboro (Drum)</t>
  </si>
  <si>
    <t>Mago Construction @ Hardinsburg</t>
  </si>
  <si>
    <t>Mago Construction @ Irvington</t>
  </si>
  <si>
    <t>Shelbyville Asphalt @ Shelbyville</t>
  </si>
  <si>
    <t>Flynn Brothers Contracting @ Louisville</t>
  </si>
  <si>
    <t>Mago Construction @ Lockport</t>
  </si>
  <si>
    <t>Mago Construction @ Shepherdsville</t>
  </si>
  <si>
    <t>Eaton Asphalt Paving @ Richwood</t>
  </si>
  <si>
    <t>Mago Construction @ Foster</t>
  </si>
  <si>
    <t>Bluegrass Paving @ Florence</t>
  </si>
  <si>
    <t>Eaton Asphalt Paving @ Verona</t>
  </si>
  <si>
    <t>Mago Construction @ Butler</t>
  </si>
  <si>
    <t>Ohio Valley Asphalt @ Carrollton</t>
  </si>
  <si>
    <t>Limestone #357's</t>
  </si>
  <si>
    <t>Limestone #467's</t>
  </si>
  <si>
    <t>Limestone #4's</t>
  </si>
  <si>
    <t>Limestone #57's</t>
  </si>
  <si>
    <t>Limestone #5's</t>
  </si>
  <si>
    <t>Limestone #67's</t>
  </si>
  <si>
    <t>Limestone #68's</t>
  </si>
  <si>
    <t>Limestone #78's</t>
  </si>
  <si>
    <t>Limestone #8's</t>
  </si>
  <si>
    <t>Limestone #9M's</t>
  </si>
  <si>
    <t>Limestone DGA</t>
  </si>
  <si>
    <t>Mineral Filler</t>
  </si>
  <si>
    <t>ROM</t>
  </si>
  <si>
    <t>Slag #57's</t>
  </si>
  <si>
    <t>Mountain Enterprises @ Cumberland</t>
  </si>
  <si>
    <t>Mountain Enterprises @ Inez</t>
  </si>
  <si>
    <t>Mountain Enterprises @ Louisa</t>
  </si>
  <si>
    <t>Mountain Enterprises @ Jenkins</t>
  </si>
  <si>
    <t>Mountain Enterprises @ Martin</t>
  </si>
  <si>
    <t>Mountain Enterprises @ Shelbiana</t>
  </si>
  <si>
    <t>PG64-22</t>
  </si>
  <si>
    <t>PG58-22</t>
  </si>
  <si>
    <t>PG58-28</t>
  </si>
  <si>
    <t>PG64-28</t>
  </si>
  <si>
    <t>PG64-34</t>
  </si>
  <si>
    <t>PG70-22</t>
  </si>
  <si>
    <t>PG70-28</t>
  </si>
  <si>
    <t>PG76-22</t>
  </si>
  <si>
    <t>PG76-28</t>
  </si>
  <si>
    <t>PG82-22</t>
  </si>
  <si>
    <t>PG82-28</t>
  </si>
  <si>
    <t>CRS-2P</t>
  </si>
  <si>
    <t>LETTING DATE:</t>
  </si>
  <si>
    <t>SM ID NUM.:</t>
  </si>
  <si>
    <t>&gt;30</t>
  </si>
  <si>
    <t>N/A</t>
  </si>
  <si>
    <t>00190 LEVELING &amp; WEDGING (0.38-IN.) PG64-22</t>
  </si>
  <si>
    <t>00190 LEVELING &amp; WEDGING (0.50-IN.) PG64-22</t>
  </si>
  <si>
    <t>00190 LEVELING &amp; WEDGING (0.75-IN.) PG64-22</t>
  </si>
  <si>
    <t>00190 LEVELING &amp; WEDGING (1.00-IN.) PG64-22</t>
  </si>
  <si>
    <t>00190 LEVELING &amp; WEDGING (1.50-IN.) PG64-22</t>
  </si>
  <si>
    <t>00191 ASPHALT SCRATCH COURSE (0.38-IN.) PG64-22</t>
  </si>
  <si>
    <t>00191 ASPHALT SCRATCH COURSE (0.50-IN.) PG64-22</t>
  </si>
  <si>
    <t>00191 ASPHALT SCRATCH COURSE (0.75-IN.) PG64-22</t>
  </si>
  <si>
    <t>00191 ASPHALT SCRATCH COURSE (1.00-IN.) PG64-22</t>
  </si>
  <si>
    <t>00191 ASPHALT SCRATCH COURSE (1.50-IN.) PG64-22</t>
  </si>
  <si>
    <t>Replaced Lab, Sampler, and Tester data with valid KQTL data.</t>
  </si>
  <si>
    <t>MDH</t>
  </si>
  <si>
    <t>Fixed edit on t_smpl.smpl_mix_id (SUPERPAVE not blank - which Troy was actually defaulting to the original PCC test done with the other concrete-based spreadsheets).</t>
  </si>
  <si>
    <t>MB &amp; MH</t>
  </si>
  <si>
    <t>Adjustments to data to correspond to SM database (and thereby avoid edit errors).</t>
  </si>
  <si>
    <t>00193 ASPHALT SCRATCH COURSE (0.38-IN.) PG76-22</t>
  </si>
  <si>
    <t>00193 ASPHALT SCRATCH COURSE (0.50-IN.) PG76-22</t>
  </si>
  <si>
    <t>00193 ASPHALT SCRATCH COURSE (0.75-IN.) PG76-22</t>
  </si>
  <si>
    <t>00193 ASPHALT SCRATCH COURSE (1.00-IN.) PG76-22</t>
  </si>
  <si>
    <t>00193 ASPHALT SCRATCH COURSE (1.50-IN.) PG76-22</t>
  </si>
  <si>
    <t>00194 LEVELING &amp; WEDGING (0.38-IN.) PG76-22</t>
  </si>
  <si>
    <t>00194 LEVELING &amp; WEDGING (0.50-IN.) PG76-22</t>
  </si>
  <si>
    <t>00194 LEVELING &amp; WEDGING (0.75-IN.) PG76-22</t>
  </si>
  <si>
    <t>00194 LEVELING &amp; WEDGING (1.00-IN.) PG76-22</t>
  </si>
  <si>
    <t>00194 LEVELING &amp; WEDGING (1.50-IN.) PG76-22</t>
  </si>
  <si>
    <t>00263 ASPHALT MIX FOR PAVEMENT WEDGE (0.38-IN.)</t>
  </si>
  <si>
    <t>00263 ASPHALT MIX FOR PAVEMENT WEDGE (0.50-IN.)</t>
  </si>
  <si>
    <t>00263 ASPHALT MIX FOR PAVEMENT WEDGE (0.75-IN.)</t>
  </si>
  <si>
    <t>00263 ASPHALT MIX FOR PAVEMENT WEDGE (1.00-IN.)</t>
  </si>
  <si>
    <t>00263 ASPHALT MIX FOR PAVEMENT WEDGE (1.50-IN.)</t>
  </si>
  <si>
    <t>21683ES400 CL2 ASPH BASE 0.75D PG76-22</t>
  </si>
  <si>
    <t>20696ES403 CL2 ASPH BASE 1.0D PG76-22</t>
  </si>
  <si>
    <t>20761ES403 CL2 ASPH SURF 0.38D PG64-22(SLAG)</t>
  </si>
  <si>
    <t>21653ES403 CL2 ASPH SURF NO.4D PG64-22</t>
  </si>
  <si>
    <t>20469ES403 CL3 ASPH SURF 0.38B PG76-22</t>
  </si>
  <si>
    <t>21001ES400 CL4 ASPH SURF 0.38D PG64-22</t>
  </si>
  <si>
    <t>7622</t>
  </si>
  <si>
    <t>6422</t>
  </si>
  <si>
    <t>NO. 4</t>
  </si>
  <si>
    <t>M291</t>
  </si>
  <si>
    <t>M294</t>
  </si>
  <si>
    <t>M303</t>
  </si>
  <si>
    <t>M311</t>
  </si>
  <si>
    <t>M317</t>
  </si>
  <si>
    <t>M329</t>
  </si>
  <si>
    <t>Bid Item Not In Drop-Down List</t>
  </si>
  <si>
    <t>ASPH BASE</t>
  </si>
  <si>
    <t>ASPH BIND</t>
  </si>
  <si>
    <t>ASPH SURF</t>
  </si>
  <si>
    <t>CL1</t>
  </si>
  <si>
    <t>CL2</t>
  </si>
  <si>
    <t>CL3</t>
  </si>
  <si>
    <t>CL4</t>
  </si>
  <si>
    <t>0.75</t>
  </si>
  <si>
    <t>0.38</t>
  </si>
  <si>
    <t>Agg Des.</t>
  </si>
  <si>
    <t>D</t>
  </si>
  <si>
    <t>PG Binder Grade</t>
  </si>
  <si>
    <t>03240 BASE FAILURE REPAIR (0.75-IN) PG64-22</t>
  </si>
  <si>
    <t>03240 BASE FAILURE REPAIR (0.75-IN) PG76-22</t>
  </si>
  <si>
    <t>03240 BASE FAILURE REPAIR (1.00-IN) PG64-22</t>
  </si>
  <si>
    <t>03240 BASE FAILURE REPAIR (1.00-IN) PG76-22</t>
  </si>
  <si>
    <t>03240 BASE FAILURE REPAIR (1.50-IN) PG64-22</t>
  </si>
  <si>
    <t>03240 BASE FAILURE REPAIR (1.50-IN) PG76-22</t>
  </si>
  <si>
    <t>06427 TRENCHING (0.38-IN.) PG64-22</t>
  </si>
  <si>
    <t>06427 TRENCHING (0.38-IN.) PG76-22</t>
  </si>
  <si>
    <t>06427 TRENCHING (0.50-IN.) PG64-22</t>
  </si>
  <si>
    <t>06427 TRENCHING (0.50-IN.) PG76-22</t>
  </si>
  <si>
    <t>06427 TRENCHING (0.75-IN.) PG64-22</t>
  </si>
  <si>
    <t>06427 TRENCHING (0.75-IN.) PG76-22</t>
  </si>
  <si>
    <t>06427 TRENCHING (1.00-IN.) PG64-22</t>
  </si>
  <si>
    <t>06427 TRENCHING (1.00-IN.) PG76-22</t>
  </si>
  <si>
    <t>06427 TRENCHING (1.50-IN.) PG64-22</t>
  </si>
  <si>
    <t>06427 TRENCHING (1.50-IN.) PG76-22</t>
  </si>
  <si>
    <t>1 1/2"</t>
  </si>
  <si>
    <t>1"</t>
  </si>
  <si>
    <t>3/4"</t>
  </si>
  <si>
    <t>1/2"</t>
  </si>
  <si>
    <t>3/8"</t>
  </si>
  <si>
    <t>2"</t>
  </si>
  <si>
    <t>Bind. Gr.</t>
  </si>
  <si>
    <t>ESAL</t>
  </si>
  <si>
    <t>Mat. Code</t>
  </si>
  <si>
    <t>Max.</t>
  </si>
  <si>
    <t>NMAS</t>
  </si>
  <si>
    <t>ATDB</t>
  </si>
  <si>
    <t>SA TY II</t>
  </si>
  <si>
    <t>Inches</t>
  </si>
  <si>
    <t>mm</t>
  </si>
  <si>
    <t>Upper</t>
  </si>
  <si>
    <t>Lower</t>
  </si>
  <si>
    <t>ATDB JMF</t>
  </si>
  <si>
    <t>OGFC</t>
  </si>
  <si>
    <t>OGDC</t>
  </si>
  <si>
    <t>OGDC JMF</t>
  </si>
  <si>
    <t>Metric?</t>
  </si>
  <si>
    <t>E</t>
  </si>
  <si>
    <t>CONTRACT ID:</t>
  </si>
  <si>
    <t>Skid Data</t>
  </si>
  <si>
    <t>AASHTO M323 &amp; R35</t>
  </si>
  <si>
    <t>SUBMITTAL TYPE:</t>
  </si>
  <si>
    <t>New Mix Design</t>
  </si>
  <si>
    <t>MIX/COMP TEMP:</t>
  </si>
  <si>
    <t>Ref. Mix Design (project change only)</t>
  </si>
  <si>
    <t>Binder Source</t>
  </si>
  <si>
    <t>Binder Grade</t>
  </si>
  <si>
    <t>Plant</t>
  </si>
  <si>
    <t>1-Point Check</t>
  </si>
  <si>
    <t>300/265 (deg. F)</t>
  </si>
  <si>
    <t>See Special Prov. 79</t>
  </si>
  <si>
    <t>t_cont_smpl</t>
  </si>
  <si>
    <t>prj_nbr</t>
  </si>
  <si>
    <t>ln_itm_nbr</t>
  </si>
  <si>
    <t>repr_qty</t>
  </si>
  <si>
    <t>Not Stored on the SM database</t>
  </si>
  <si>
    <t>Project</t>
  </si>
  <si>
    <t>Line Item</t>
  </si>
  <si>
    <t>Represented</t>
  </si>
  <si>
    <t>Item</t>
  </si>
  <si>
    <t>Number</t>
  </si>
  <si>
    <t>Quantity</t>
  </si>
  <si>
    <t>Code</t>
  </si>
  <si>
    <t>Contractor Entries</t>
  </si>
  <si>
    <t>(in item code unit)</t>
  </si>
  <si>
    <t>Unit</t>
  </si>
  <si>
    <t xml:space="preserve">   (Add as many rows as required)</t>
  </si>
  <si>
    <t>TOTAL TONS:</t>
  </si>
  <si>
    <t>PROJ. (ITEM):</t>
  </si>
  <si>
    <t>SiteManager Agg. ID #</t>
  </si>
  <si>
    <r>
      <t>Con. G</t>
    </r>
    <r>
      <rPr>
        <b/>
        <vertAlign val="subscript"/>
        <sz val="8"/>
        <rFont val="Arial"/>
        <family val="2"/>
      </rPr>
      <t>sb</t>
    </r>
  </si>
  <si>
    <t>S/C</t>
  </si>
  <si>
    <t>MCL Aggregate Verification Information</t>
  </si>
  <si>
    <t>MCL Concensus (&amp; additional) Verification Information</t>
  </si>
  <si>
    <t>TEST TYPE</t>
  </si>
  <si>
    <t>Cell</t>
  </si>
  <si>
    <t>Type</t>
  </si>
  <si>
    <t>Label</t>
  </si>
  <si>
    <t>Length</t>
  </si>
  <si>
    <t>English unit</t>
  </si>
  <si>
    <t>Alphanumeric</t>
  </si>
  <si>
    <t>C11</t>
  </si>
  <si>
    <t>E11</t>
  </si>
  <si>
    <t>C12</t>
  </si>
  <si>
    <t>E12</t>
  </si>
  <si>
    <t>Numeric</t>
  </si>
  <si>
    <t>C13</t>
  </si>
  <si>
    <t>E13</t>
  </si>
  <si>
    <t>C14</t>
  </si>
  <si>
    <t>E14</t>
  </si>
  <si>
    <t>C15</t>
  </si>
  <si>
    <t>E15</t>
  </si>
  <si>
    <t>Tons</t>
  </si>
  <si>
    <t>D19</t>
  </si>
  <si>
    <t>E19</t>
  </si>
  <si>
    <t>F19</t>
  </si>
  <si>
    <t>D26</t>
  </si>
  <si>
    <t>D27</t>
  </si>
  <si>
    <t>D28</t>
  </si>
  <si>
    <t>I31</t>
  </si>
  <si>
    <t>D32</t>
  </si>
  <si>
    <t>D33</t>
  </si>
  <si>
    <t>D34</t>
  </si>
  <si>
    <t>D17</t>
  </si>
  <si>
    <t>B22</t>
  </si>
  <si>
    <t>H23</t>
  </si>
  <si>
    <t>GRADATION INFORMATION</t>
  </si>
  <si>
    <t>cd_id</t>
  </si>
  <si>
    <t>M001</t>
  </si>
  <si>
    <t>M003</t>
  </si>
  <si>
    <t>M004</t>
  </si>
  <si>
    <t>M005</t>
  </si>
  <si>
    <t>M006</t>
  </si>
  <si>
    <t>M007</t>
  </si>
  <si>
    <t>M013</t>
  </si>
  <si>
    <t>M014</t>
  </si>
  <si>
    <t>M015</t>
  </si>
  <si>
    <t>M016</t>
  </si>
  <si>
    <t>M017</t>
  </si>
  <si>
    <t>M033</t>
  </si>
  <si>
    <t>M034</t>
  </si>
  <si>
    <t>M035</t>
  </si>
  <si>
    <t>MTB</t>
  </si>
  <si>
    <t>Corrected error on 'Chart Data' chell Q14</t>
  </si>
  <si>
    <t>M036</t>
  </si>
  <si>
    <t>M037</t>
  </si>
  <si>
    <t>M043</t>
  </si>
  <si>
    <t>M044</t>
  </si>
  <si>
    <t>M045</t>
  </si>
  <si>
    <t>English</t>
  </si>
  <si>
    <t>Metric</t>
  </si>
  <si>
    <t>M046</t>
  </si>
  <si>
    <t>M047</t>
  </si>
  <si>
    <t>M055</t>
  </si>
  <si>
    <t>M059</t>
  </si>
  <si>
    <t>M063</t>
  </si>
  <si>
    <t>M065</t>
  </si>
  <si>
    <t>M069</t>
  </si>
  <si>
    <t>M073</t>
  </si>
  <si>
    <t>M077</t>
  </si>
  <si>
    <t>M081</t>
  </si>
  <si>
    <t>M083</t>
  </si>
  <si>
    <t>M087</t>
  </si>
  <si>
    <t>M091</t>
  </si>
  <si>
    <t>M095</t>
  </si>
  <si>
    <t>M099</t>
  </si>
  <si>
    <t>M101</t>
  </si>
  <si>
    <t>M105</t>
  </si>
  <si>
    <t>M107</t>
  </si>
  <si>
    <t>M109</t>
  </si>
  <si>
    <t>M111</t>
  </si>
  <si>
    <t>M113</t>
  </si>
  <si>
    <t>M115</t>
  </si>
  <si>
    <t>M117</t>
  </si>
  <si>
    <t>M119</t>
  </si>
  <si>
    <t>M121</t>
  </si>
  <si>
    <t>M123</t>
  </si>
  <si>
    <t>M125</t>
  </si>
  <si>
    <t>M127</t>
  </si>
  <si>
    <t>M129</t>
  </si>
  <si>
    <t>M131</t>
  </si>
  <si>
    <t>M133</t>
  </si>
  <si>
    <t>M135</t>
  </si>
  <si>
    <t>M137</t>
  </si>
  <si>
    <t>M139</t>
  </si>
  <si>
    <t>M140</t>
  </si>
  <si>
    <t>M141</t>
  </si>
  <si>
    <t>M142</t>
  </si>
  <si>
    <t>M143</t>
  </si>
  <si>
    <t>M151</t>
  </si>
  <si>
    <t>M153</t>
  </si>
  <si>
    <t>M155</t>
  </si>
  <si>
    <t>M158</t>
  </si>
  <si>
    <t>M162</t>
  </si>
  <si>
    <t>M166</t>
  </si>
  <si>
    <t>M168</t>
  </si>
  <si>
    <t>M172</t>
  </si>
  <si>
    <t>M176</t>
  </si>
  <si>
    <t>M188</t>
  </si>
  <si>
    <t>M192</t>
  </si>
  <si>
    <t>M194</t>
  </si>
  <si>
    <t>M218</t>
  </si>
  <si>
    <t>M224</t>
  </si>
  <si>
    <t>M228</t>
  </si>
  <si>
    <t>M230</t>
  </si>
  <si>
    <t>M234</t>
  </si>
  <si>
    <t>M236</t>
  </si>
  <si>
    <t>M240</t>
  </si>
  <si>
    <t>M242</t>
  </si>
  <si>
    <t>M244</t>
  </si>
  <si>
    <t>M246</t>
  </si>
  <si>
    <t>M248</t>
  </si>
  <si>
    <t>M250</t>
  </si>
  <si>
    <t>M254</t>
  </si>
  <si>
    <t>M256</t>
  </si>
  <si>
    <t>M258</t>
  </si>
  <si>
    <t>M260</t>
  </si>
  <si>
    <t>M262</t>
  </si>
  <si>
    <t>M264</t>
  </si>
  <si>
    <t>M266</t>
  </si>
  <si>
    <t>M268</t>
  </si>
  <si>
    <t>M270</t>
  </si>
  <si>
    <t>M272</t>
  </si>
  <si>
    <t>M274</t>
  </si>
  <si>
    <t>M276</t>
  </si>
  <si>
    <t>M278</t>
  </si>
  <si>
    <t>Component</t>
  </si>
  <si>
    <t>Producer #</t>
  </si>
  <si>
    <t xml:space="preserve">AMP050309      </t>
  </si>
  <si>
    <t>Flynn Brothers Brooks Plant @ Shepherdsville</t>
  </si>
  <si>
    <t>LAP101102</t>
  </si>
  <si>
    <t>RECYCLE PROD. NO.</t>
  </si>
  <si>
    <t>RECYCLE PRODUCER NAME</t>
  </si>
  <si>
    <t>RECYCLE TYPE</t>
  </si>
  <si>
    <t>Cold Feed %</t>
  </si>
  <si>
    <t>Polish-Res. (?)</t>
  </si>
  <si>
    <t>Non-Polish-Res. Agg. %</t>
  </si>
  <si>
    <t>Polish-Res. Agg. %</t>
  </si>
  <si>
    <t>Polish Resistant Aggregate Calculator</t>
  </si>
  <si>
    <t>% Passing #4</t>
  </si>
  <si>
    <t xml:space="preserve"> % Retained #4</t>
  </si>
  <si>
    <t>Comp. % Retained #4</t>
  </si>
  <si>
    <t>Type of Mix:</t>
  </si>
  <si>
    <t>Total +4 Retained Non-Polish Resistant Aggregate %</t>
  </si>
  <si>
    <t>Total +4 Retained Polish Resistant Aggregate %</t>
  </si>
  <si>
    <t>Agg. 1</t>
  </si>
  <si>
    <t>Agg. 2</t>
  </si>
  <si>
    <t>Agg. 3</t>
  </si>
  <si>
    <t>Agg. 4</t>
  </si>
  <si>
    <t>Agg. 5</t>
  </si>
  <si>
    <t>Agg. 6</t>
  </si>
  <si>
    <t>LAP100803</t>
  </si>
  <si>
    <t>Carrollton River Terminal @ Carrollton</t>
  </si>
  <si>
    <t>S &amp; Y Terminal, LLC @ Owensboro</t>
  </si>
  <si>
    <t xml:space="preserve">AMP060308      </t>
  </si>
  <si>
    <t xml:space="preserve">AMP060307      </t>
  </si>
  <si>
    <t>Hinkle Contracting @ Flat Lick</t>
  </si>
  <si>
    <t>Hinkle Contracting @ Lee County Virginia</t>
  </si>
  <si>
    <t>Hinkle Contracting @ Middlesboro</t>
  </si>
  <si>
    <t xml:space="preserve">AMP110305      </t>
  </si>
  <si>
    <t xml:space="preserve">AMP060306      </t>
  </si>
  <si>
    <t>Len Riegler Blacktop @ Florence</t>
  </si>
  <si>
    <t xml:space="preserve">AMP120306      </t>
  </si>
  <si>
    <t>Coarse RAP</t>
  </si>
  <si>
    <t>Fine RAP</t>
  </si>
  <si>
    <t>Intermediate RAP</t>
  </si>
  <si>
    <t>Natural Rock Asphalt</t>
  </si>
  <si>
    <t>Pennyrile Asphalt @ Hopkinsville</t>
  </si>
  <si>
    <t>LAP101404</t>
  </si>
  <si>
    <t>BINDER SOURCE &amp; LOC.</t>
  </si>
  <si>
    <t>Contractor &amp; Loc. Not In Drop-Down List</t>
  </si>
  <si>
    <t>LAP??????</t>
  </si>
  <si>
    <t>AMP??????</t>
  </si>
  <si>
    <t>00311 CL2 ASPH SURF 0.38B PG76-22</t>
  </si>
  <si>
    <t>M338</t>
  </si>
  <si>
    <t>M339</t>
  </si>
  <si>
    <t>00387 CL3 ASPH SURF 0.38B PG76-22</t>
  </si>
  <si>
    <t>23647ES400 CL2 ASPH SURF 0.5A PG 64-22</t>
  </si>
  <si>
    <t>M340</t>
  </si>
  <si>
    <t>23362ES403 CL2 ASPH SURF 0.5B PG 64-22</t>
  </si>
  <si>
    <t>M341</t>
  </si>
  <si>
    <t>23165ES403 CL3 ASPH SURF 0.5B PG64-22</t>
  </si>
  <si>
    <t>23176ES403 CL4 ASPH SURF 0.5A PG76-22</t>
  </si>
  <si>
    <t>M342</t>
  </si>
  <si>
    <t>M343</t>
  </si>
  <si>
    <t>Type of Mixture to be Placed:</t>
  </si>
  <si>
    <t>0.38 A</t>
  </si>
  <si>
    <t>0.38 B</t>
  </si>
  <si>
    <t>0.50 A</t>
  </si>
  <si>
    <t>0.50 B</t>
  </si>
  <si>
    <t>TYPE OF MIX:</t>
  </si>
  <si>
    <t xml:space="preserve">AMP040309      </t>
  </si>
  <si>
    <t>Scottys Contracting @ Upton ("Rolling Thunder")</t>
  </si>
  <si>
    <t>Scottys Contracting @ Tompkinsville ("Top Gun")</t>
  </si>
  <si>
    <t xml:space="preserve">AMP030309      </t>
  </si>
  <si>
    <t xml:space="preserve">Scottys Contracting @ Scottsville </t>
  </si>
  <si>
    <t>Scottys Contracting @ Glasgow</t>
  </si>
  <si>
    <t xml:space="preserve">AMP060309      </t>
  </si>
  <si>
    <t>Eaton Asphalt Paving @ Butler</t>
  </si>
  <si>
    <t>Louisville Paving @ Middletown</t>
  </si>
  <si>
    <t>Louisville Paving @ Shepherdsville</t>
  </si>
  <si>
    <t xml:space="preserve">AMP040310      </t>
  </si>
  <si>
    <t>Mago Construction @ Bardstown (Drum)</t>
  </si>
  <si>
    <t xml:space="preserve">AMP120307        </t>
  </si>
  <si>
    <t xml:space="preserve">AMP090106      </t>
  </si>
  <si>
    <t>Mountain Enterprises @ Kenova,WV</t>
  </si>
  <si>
    <t xml:space="preserve">AMP020306      </t>
  </si>
  <si>
    <t>Rogers Group @ Hopkinsville (Drum)</t>
  </si>
  <si>
    <t xml:space="preserve">AMP060106      </t>
  </si>
  <si>
    <t>Valley Asphalt Corporation @ Cincinnati, OH</t>
  </si>
  <si>
    <t>LAP100302</t>
  </si>
  <si>
    <t>BP @ Calumet</t>
  </si>
  <si>
    <t>Slag #67's Class A</t>
  </si>
  <si>
    <t>Slag #67's Class B</t>
  </si>
  <si>
    <t>Slag #68's Class A</t>
  </si>
  <si>
    <t>Slag #68's Class B</t>
  </si>
  <si>
    <t>Slag #78's Class A</t>
  </si>
  <si>
    <t>Slag #78's Class B</t>
  </si>
  <si>
    <t>Slag #8's Class A</t>
  </si>
  <si>
    <t>Slag #8's Class B</t>
  </si>
  <si>
    <t>Slag #9M's Class A</t>
  </si>
  <si>
    <t>Slag #9M's Class B</t>
  </si>
  <si>
    <t>Slag NSG Class A</t>
  </si>
  <si>
    <t>Slag NSG Class B</t>
  </si>
  <si>
    <t>Slag Sand Class A</t>
  </si>
  <si>
    <t>Slag Sand Class B</t>
  </si>
  <si>
    <t>00334 CL3 ASPH SURF 0.38A PG64-22 (SLAG)</t>
  </si>
  <si>
    <t>00386 CL3 ASPH SURF 0.38B PG64-22(SLAG)</t>
  </si>
  <si>
    <t>00389 CL3 ASPH SURF 0.38D PG76-22</t>
  </si>
  <si>
    <t>23307EC CL3 ASPH SURF NO.4B PG64-22</t>
  </si>
  <si>
    <t>24177ES400 CL2 ASPH BASE 0.75D PG64-22-SLAG</t>
  </si>
  <si>
    <t>M347</t>
  </si>
  <si>
    <t>M348</t>
  </si>
  <si>
    <t>M349</t>
  </si>
  <si>
    <t>M350</t>
  </si>
  <si>
    <t>M351</t>
  </si>
  <si>
    <t>The contribution of Asphalt Binder from the reclaimed materials has exceeded the maximum.</t>
  </si>
  <si>
    <t>Nom. Max</t>
  </si>
  <si>
    <t>Rec. Type</t>
  </si>
  <si>
    <t>RAP</t>
  </si>
  <si>
    <t>RAS</t>
  </si>
  <si>
    <t>Both</t>
  </si>
  <si>
    <t>Eff. Bind</t>
  </si>
  <si>
    <t>Virgin Binder</t>
  </si>
  <si>
    <t>PG 64-22</t>
  </si>
  <si>
    <t>Item Binder</t>
  </si>
  <si>
    <t>PG 76-22</t>
  </si>
  <si>
    <t>0.5,0.38,No. 4</t>
  </si>
  <si>
    <t>&lt;=15</t>
  </si>
  <si>
    <t>16-25</t>
  </si>
  <si>
    <t>1.50,1.00,0.75</t>
  </si>
  <si>
    <t>&lt;=25</t>
  </si>
  <si>
    <t>PG 58-28</t>
  </si>
  <si>
    <t>Design Nom. Max</t>
  </si>
  <si>
    <t>Design Binder</t>
  </si>
  <si>
    <t>Design Eff. AC</t>
  </si>
  <si>
    <t>AC from Recycle</t>
  </si>
  <si>
    <t>Eff. Bind. Content</t>
  </si>
  <si>
    <t>RAP, RAS,Both?</t>
  </si>
  <si>
    <t>Good?</t>
  </si>
  <si>
    <t>Range</t>
  </si>
  <si>
    <t>Total</t>
  </si>
  <si>
    <t>Eff. AC (from charts)</t>
  </si>
  <si>
    <t>b</t>
  </si>
  <si>
    <t>m</t>
  </si>
  <si>
    <t>y</t>
  </si>
  <si>
    <t>M280</t>
  </si>
  <si>
    <t>M288</t>
  </si>
  <si>
    <t>Complete SGC Des.</t>
  </si>
  <si>
    <t>Fixed "Hide" &amp; "UnHide Macros; Fixed District assignement on discipline tab.</t>
  </si>
  <si>
    <t>1-pt. SGC Des.</t>
  </si>
  <si>
    <t>App.-Ref. Mix.</t>
  </si>
  <si>
    <t>1-pt. Check</t>
  </si>
  <si>
    <t>TOTAL</t>
  </si>
  <si>
    <t>Dry Strength w/o add. (psi)</t>
  </si>
  <si>
    <t>Wet Strength w/o add. (psi)</t>
  </si>
  <si>
    <t>% Final Saturation w/o Add.</t>
  </si>
  <si>
    <t>% Initial Saturation w/o Add.</t>
  </si>
  <si>
    <t>% Air Voids w/o add.</t>
  </si>
  <si>
    <t>Tracks Pre-Production Workbook Changes</t>
  </si>
  <si>
    <t>Date</t>
  </si>
  <si>
    <t>Initials</t>
  </si>
  <si>
    <t>Description</t>
  </si>
  <si>
    <t>BGP</t>
  </si>
  <si>
    <t>discipline_id</t>
  </si>
  <si>
    <t>The Approver must have active "SUPERPAVE MIX DESIGN TECHNOLOGIST" Sampler qualification (and therefore have a SM User ID) for a Material Category of "ASPHALT-MIX DESIGN".</t>
  </si>
  <si>
    <t>discipline_version</t>
  </si>
  <si>
    <t>Special Processing</t>
  </si>
  <si>
    <t>d</t>
  </si>
  <si>
    <t>c</t>
  </si>
  <si>
    <t>SM Table</t>
  </si>
  <si>
    <t>t_smpl</t>
  </si>
  <si>
    <t>SM Column</t>
  </si>
  <si>
    <t>smpl_id</t>
  </si>
  <si>
    <t>acpt_meth_t</t>
  </si>
  <si>
    <t>auth_by_cms_uid</t>
  </si>
  <si>
    <t>auth_dt</t>
  </si>
  <si>
    <t>cms_uid</t>
  </si>
  <si>
    <t>cntrl_nbr</t>
  </si>
  <si>
    <t>cntrl_t</t>
  </si>
  <si>
    <t>geog_area_t</t>
  </si>
  <si>
    <t>intd_use_txt</t>
  </si>
  <si>
    <t>last_modfd_dt</t>
  </si>
  <si>
    <t>last_modfd_uid</t>
  </si>
  <si>
    <t>log_dt</t>
  </si>
  <si>
    <t>matl_cd</t>
  </si>
  <si>
    <t>offst</t>
  </si>
  <si>
    <t>plant_id</t>
  </si>
  <si>
    <t>prodr_supp_cd</t>
  </si>
  <si>
    <t>rel_smpl_id</t>
  </si>
  <si>
    <t>rmrks_id</t>
  </si>
  <si>
    <t>smpl_dsn_t</t>
  </si>
  <si>
    <t>smpl_dt</t>
  </si>
  <si>
    <t>smpl_mix_id</t>
  </si>
  <si>
    <t>smpl_t</t>
  </si>
  <si>
    <t>smpld_by</t>
  </si>
  <si>
    <t>sta</t>
  </si>
  <si>
    <t>stat_t</t>
  </si>
  <si>
    <t>witnes_by_cms_uid</t>
  </si>
  <si>
    <t>prod_nm</t>
  </si>
  <si>
    <t>plant_t</t>
  </si>
  <si>
    <t>revise_smpl_id</t>
  </si>
  <si>
    <t>smpl_origin</t>
  </si>
  <si>
    <t>smpld_fr_txt</t>
  </si>
  <si>
    <t>unt_t</t>
  </si>
  <si>
    <t>mnfctr_cd</t>
  </si>
  <si>
    <t>twn</t>
  </si>
  <si>
    <t>buy_usa_ind</t>
  </si>
  <si>
    <t>buy_usa_rqrdmt_t</t>
  </si>
  <si>
    <t>ref</t>
  </si>
  <si>
    <t>seal_nbr</t>
  </si>
  <si>
    <t>smpl_sz</t>
  </si>
  <si>
    <t>reqst_by_nm</t>
  </si>
  <si>
    <t>std_rmrks_ind</t>
  </si>
  <si>
    <t>smpl_lock_ind</t>
  </si>
  <si>
    <t>dstnc_fnsh_grd</t>
  </si>
  <si>
    <t>dstnc_fnsh_grd_unt</t>
  </si>
  <si>
    <t>ref_doc</t>
  </si>
  <si>
    <t>sz_unt_t</t>
  </si>
  <si>
    <t>lock_type</t>
  </si>
  <si>
    <t>locked_by</t>
  </si>
  <si>
    <t>lock_dt</t>
  </si>
  <si>
    <t>lev1_office_ind</t>
  </si>
  <si>
    <t>lev2_office_nbr</t>
  </si>
  <si>
    <t>lev3_office_nbr</t>
  </si>
  <si>
    <t>lev4_office_nbr</t>
  </si>
  <si>
    <t>Logical Validation</t>
  </si>
  <si>
    <t>DEGF</t>
  </si>
  <si>
    <t>Existing on t_cd_tbl_dtl (cd_id)
AND t_cd_tbl_dtl.tbl_id='TEMP'</t>
  </si>
  <si>
    <r>
      <t xml:space="preserve">Revised the following edits as discussed with Troy on 8/30/06:
- "Sampler", "Tester", "Authorizer" edits to be more complete;
- t_smpl_tst.tst_meth to check t_tst_fee_sched
- Add district to discipline tab
- Re-validate authorizer (&amp; witnessed by)  [NOTE: no changes in any discipline]
- Add code table check for t_smpl.unt_t where missing
</t>
    </r>
    <r>
      <rPr>
        <sz val="10"/>
        <color indexed="10"/>
        <rFont val="Arial"/>
        <family val="2"/>
      </rPr>
      <t>- Redo format of DATE conversion on AMMIXPACK Test Template</t>
    </r>
    <r>
      <rPr>
        <sz val="10"/>
        <rFont val="Arial"/>
        <family val="2"/>
      </rPr>
      <t xml:space="preserve">
</t>
    </r>
    <r>
      <rPr>
        <sz val="10"/>
        <color indexed="10"/>
        <rFont val="Arial"/>
        <family val="2"/>
      </rPr>
      <t>- Replace t_superpave key edit with t_cont_streq_matl table (rather than t_cont_itm)
- Comment out std_rmrks_ind on t_smpl tab to be consistent with CONCMIX</t>
    </r>
    <r>
      <rPr>
        <sz val="10"/>
        <rFont val="Arial"/>
        <family val="2"/>
      </rPr>
      <t xml:space="preserve">
- Review Repr_Qty on all spreadsheet   [NOTE: no changes in any discipline]
Revised the following due to Committee decisions:
- Revise Test Start, Est. Compl., and Actual Compl. Dates (as specified in updated procedures)</t>
    </r>
  </si>
  <si>
    <t>Existing on t_cd_tbl_dtl (cd_id)
AND t_cd_tbl_dtl.tbl_id='DSNTYPE'</t>
  </si>
  <si>
    <t>Binder Material</t>
  </si>
  <si>
    <t>Aggregate Material 1</t>
  </si>
  <si>
    <t>Aggregate Material 2</t>
  </si>
  <si>
    <t>Aggregate Material 3</t>
  </si>
  <si>
    <t>Aggregate Material 4</t>
  </si>
  <si>
    <t>Aggregate Material 5</t>
  </si>
  <si>
    <t>Aggregate Material 6</t>
  </si>
  <si>
    <t>LABEL: '"WeighUp"</t>
  </si>
  <si>
    <t>LABEL: MIXTURE DESIGN APPROVAL INFORMATION</t>
  </si>
  <si>
    <t>LABEL: Design Property</t>
  </si>
  <si>
    <t>LABEL: Design Value</t>
  </si>
  <si>
    <t>LABEL: Criteria</t>
  </si>
  <si>
    <t>LABEL: RAP Information</t>
  </si>
  <si>
    <t>LABEL: Reference Information</t>
  </si>
  <si>
    <t>No duplicates of key (highlighted in yellow);
IF Sample ID "blank", THEN skip to next record</t>
  </si>
  <si>
    <t>Existing on t_cd_tbl_dtl (cd_id)
AND t_cd_tbl_dtl.tbl_id='ACPTMETH'</t>
  </si>
  <si>
    <t>Existing on t_matl_user 
AND t_matl_user.sm_user_ind='Y'</t>
  </si>
  <si>
    <t>Existing on t_cd_tbl_dtl (cd_id)
AND t_cd_tbl_dtl.tbl_id='GEOGAREA'</t>
  </si>
  <si>
    <t>Existing on t_matl
AND t.matl_actvty_stat_t = "A"</t>
  </si>
  <si>
    <t>Existing on t_prodr_supp
AND t_prodr_supp.actvty_stat_t = "A"
AND smpl_dt (below) is between 
            t_prodr_supp_matl.effdt &amp; exp_dt
            (for the matl_cd above)</t>
  </si>
  <si>
    <t>Existing on t_cd_tbl_dtl (cd_id)
AND t_cd_tbl_dtl.tbl_id='SMPLDSN'</t>
  </si>
  <si>
    <t>Existing on t_cd_tbl_dtl (cd_id)
AND t_cd_tbl_dtl.tbl_id='SMPLTYPE'</t>
  </si>
  <si>
    <t>Existing on t_cd_tbl_dtl (cd_id)
AND t_cd_tbl_dtl.tbl_id='SMPLSTAT'</t>
  </si>
  <si>
    <t>Comment</t>
  </si>
  <si>
    <t>Prefixed Lab ID with 'C' or 'T' to designate Contractor or KYTC lab.</t>
  </si>
  <si>
    <t>Embed code table in spreadsheet</t>
  </si>
  <si>
    <t>SM User ID from Header</t>
  </si>
  <si>
    <t>Current system date</t>
  </si>
  <si>
    <t>Derived from first two characters of Sample ID</t>
  </si>
  <si>
    <t>The Date Received should be updated each time the spreadsheet received, i.e., including corrections.</t>
  </si>
  <si>
    <t>Comes from t_rmks_dtl tab
(Only QC &amp; QA have active remarks - not active for INFO Samples)</t>
  </si>
  <si>
    <t>This will be the date when the Contractor submitted the spreadsheet.</t>
  </si>
  <si>
    <t>Long Description</t>
  </si>
  <si>
    <t xml:space="preserve">SiteManager 
Sample ID </t>
  </si>
  <si>
    <t>Acceptance Method</t>
  </si>
  <si>
    <t>Authorizer SM User ID</t>
  </si>
  <si>
    <t>Authorization Date</t>
  </si>
  <si>
    <t>Sample "Creator" 
SM User ID</t>
  </si>
  <si>
    <t>Control Number</t>
  </si>
  <si>
    <t>Control Type</t>
  </si>
  <si>
    <t>Geographic Area</t>
  </si>
  <si>
    <t>Intended Use (of material sampled)</t>
  </si>
  <si>
    <t>Last Modified Date</t>
  </si>
  <si>
    <t>Last Modified User ID</t>
  </si>
  <si>
    <t>Sample Logged Date</t>
  </si>
  <si>
    <t>Material Code</t>
  </si>
  <si>
    <t>Offset</t>
  </si>
  <si>
    <t>Plant ID</t>
  </si>
  <si>
    <t>Producer / Supplier</t>
  </si>
  <si>
    <t>Related Sample ID</t>
  </si>
  <si>
    <t>Remarks ID</t>
  </si>
  <si>
    <t>Mix Design Type</t>
  </si>
  <si>
    <t>Sample Date</t>
  </si>
  <si>
    <t>Mix ID</t>
  </si>
  <si>
    <t>Sample Type</t>
  </si>
  <si>
    <t>Sampling Technician (SM User ID)</t>
  </si>
  <si>
    <t>Station</t>
  </si>
  <si>
    <t>Sample Status</t>
  </si>
  <si>
    <t xml:space="preserve">Sampling KYTC Witness SM User ID </t>
  </si>
  <si>
    <t>Product Name</t>
  </si>
  <si>
    <t>Plant Type</t>
  </si>
  <si>
    <t>Revised Sample ID</t>
  </si>
  <si>
    <t>Sample Origin</t>
  </si>
  <si>
    <t>Sample From</t>
  </si>
  <si>
    <t>Repr Material Quantity Units</t>
  </si>
  <si>
    <t>Manufacturer</t>
  </si>
  <si>
    <t>Town (where sampled)</t>
  </si>
  <si>
    <t>Buy USA Indicator</t>
  </si>
  <si>
    <t>Buy USA Requirement Type</t>
  </si>
  <si>
    <t>Represented Material Quantity</t>
  </si>
  <si>
    <t>Reference</t>
  </si>
  <si>
    <t>ns1:init_n_dnsty_m</t>
  </si>
  <si>
    <t>ns1:max_n_dnsty_m</t>
  </si>
  <si>
    <t>ns1:dsn_n_dnsty_m</t>
  </si>
  <si>
    <t>ns1:init_n_gmm_p</t>
  </si>
  <si>
    <t>ns1:max_n_gmm_p</t>
  </si>
  <si>
    <t>ns1:esals_nbr</t>
  </si>
  <si>
    <t>ns1:opt_ac_pct_tot_wt</t>
  </si>
  <si>
    <t>ns1:dust_proprtn_p</t>
  </si>
  <si>
    <t>ns1:vma_p</t>
  </si>
  <si>
    <t>ns1:vfa_p</t>
  </si>
  <si>
    <t>ns1:lotmn_tsr_m</t>
  </si>
  <si>
    <t>ns1:sand_equiv_tst</t>
  </si>
  <si>
    <t>ns1:max_spc_gr</t>
  </si>
  <si>
    <t>ns1:bulk_spc_gr_m</t>
  </si>
  <si>
    <t>Hamilton &amp; Hinkle @ Georgetown (Drum #1)</t>
  </si>
  <si>
    <t>ns1:mix_temp</t>
  </si>
  <si>
    <t>ns1:mix_temp_unt</t>
  </si>
  <si>
    <t>ns1:cmpct_temp</t>
  </si>
  <si>
    <t>ns1:cmpct_temp_unt</t>
  </si>
  <si>
    <t>ns1:high_air_temp</t>
  </si>
  <si>
    <t>ns1:high_air_temp_unt</t>
  </si>
  <si>
    <t>ns1:rmrks_id</t>
  </si>
  <si>
    <t>ns1:last_modfd_uid</t>
  </si>
  <si>
    <t>ns1:last_modfd_dt</t>
  </si>
  <si>
    <t>ns1:air_voids_p</t>
  </si>
  <si>
    <t>Sublot Sample</t>
  </si>
  <si>
    <t>Sample Size</t>
  </si>
  <si>
    <t>Name of Sample Requester</t>
  </si>
  <si>
    <t>Standard Remarks Included Indicator</t>
  </si>
  <si>
    <t>Sample Locked Indicator</t>
  </si>
  <si>
    <t>Distance From Finished Grade</t>
  </si>
  <si>
    <t>Assigned new "Template Status" code table value in t_tst_rslt_dtl.F2 based on the value in t_smpl.smpl_stat (Global Template Change).</t>
  </si>
  <si>
    <t>Template Status (TEMPSTAT)</t>
  </si>
  <si>
    <r>
      <t xml:space="preserve">Type &amp; Size   </t>
    </r>
    <r>
      <rPr>
        <b/>
        <sz val="10"/>
        <rFont val="Arial"/>
        <family val="2"/>
      </rPr>
      <t>AND</t>
    </r>
    <r>
      <rPr>
        <sz val="10"/>
        <rFont val="Arial"/>
        <family val="2"/>
      </rPr>
      <t xml:space="preserve">
CHOOSE CASE tst_fld_sn
</t>
    </r>
    <r>
      <rPr>
        <sz val="10"/>
        <color indexed="10"/>
        <rFont val="Arial"/>
        <family val="2"/>
      </rPr>
      <t xml:space="preserve">      CASE </t>
    </r>
    <r>
      <rPr>
        <b/>
        <sz val="10"/>
        <color indexed="10"/>
        <rFont val="Arial"/>
        <family val="2"/>
      </rPr>
      <t>2   [Code Table check]</t>
    </r>
    <r>
      <rPr>
        <sz val="10"/>
        <color indexed="10"/>
        <rFont val="Arial"/>
        <family val="2"/>
      </rPr>
      <t xml:space="preserve">
            Existing on t_cd_tbl_dtl (cd_id)
            AND t_cd_tbl_dtl.tbl_id='TEMPSTAT'
</t>
    </r>
    <r>
      <rPr>
        <sz val="10"/>
        <rFont val="Arial"/>
        <family val="2"/>
      </rPr>
      <t xml:space="preserve">      ENDCASE</t>
    </r>
  </si>
  <si>
    <t>Distance From Finished Grade Unit</t>
  </si>
  <si>
    <t>Reference Document</t>
  </si>
  <si>
    <t>Sample Size Unit</t>
  </si>
  <si>
    <t>Sample Lock Type</t>
  </si>
  <si>
    <t>Sample Locked By (SM User ID)</t>
  </si>
  <si>
    <t>Sample Lock Date</t>
  </si>
  <si>
    <t>Sample Lock Level 1 Office</t>
  </si>
  <si>
    <t>Sample Lock Level 2 Office</t>
  </si>
  <si>
    <t>Sample Lock Level 3 Office</t>
  </si>
  <si>
    <t>Sample Lock Level 4 Office</t>
  </si>
  <si>
    <t>MDA</t>
  </si>
  <si>
    <t>COMP</t>
  </si>
  <si>
    <t>x</t>
  </si>
  <si>
    <t>cont_id</t>
  </si>
  <si>
    <t>Contract ID</t>
  </si>
  <si>
    <t>Project Number</t>
  </si>
  <si>
    <t>Line Item Number</t>
  </si>
  <si>
    <t>Represented Quantity</t>
  </si>
  <si>
    <t>t_rmrks_dtl</t>
  </si>
  <si>
    <t>rmrks_t</t>
  </si>
  <si>
    <t>rmrks_sn</t>
  </si>
  <si>
    <t>rmrks_txt_fld</t>
  </si>
  <si>
    <t>Remark ID</t>
  </si>
  <si>
    <t>Remark Type</t>
  </si>
  <si>
    <t>Remark Sequence Number</t>
  </si>
  <si>
    <t>Remarks</t>
  </si>
  <si>
    <t>GEN</t>
  </si>
  <si>
    <t>t_smpl_tst</t>
  </si>
  <si>
    <t>tst_meth</t>
  </si>
  <si>
    <t>smpl_tst_nbr</t>
  </si>
  <si>
    <t>lab_id</t>
  </si>
  <si>
    <t>chrg_amt</t>
  </si>
  <si>
    <t>strt_dt</t>
  </si>
  <si>
    <t>est_cmpl_dt</t>
  </si>
  <si>
    <t>actl_cmpl_dt</t>
  </si>
  <si>
    <t>Existing on t_qualf_lab</t>
  </si>
  <si>
    <t>Lab ID</t>
  </si>
  <si>
    <t>Test Method</t>
  </si>
  <si>
    <t>Test Number</t>
  </si>
  <si>
    <t>SM Laboratory ID</t>
  </si>
  <si>
    <t>Charge Amount</t>
  </si>
  <si>
    <t>Actual Completion Date</t>
  </si>
  <si>
    <t>t_smpl_tstr</t>
  </si>
  <si>
    <t>tst_id</t>
  </si>
  <si>
    <t xml:space="preserve">No duplicates of key (highlighted in yellow);
</t>
  </si>
  <si>
    <t>SiteManager 
Sample ID</t>
  </si>
  <si>
    <t>Tester ID</t>
  </si>
  <si>
    <t>t_tst_rslt_hdr</t>
  </si>
  <si>
    <t>effdt</t>
  </si>
  <si>
    <t>Effective Date</t>
  </si>
  <si>
    <t>t_tst_rslt_dtl</t>
  </si>
  <si>
    <t>tst_fld_sn</t>
  </si>
  <si>
    <t>tst_strg_fld_val</t>
  </si>
  <si>
    <t>tst_numrc_fld_val</t>
  </si>
  <si>
    <t>IF Not Used,
Initialize to " " 
(i.e., space)</t>
  </si>
  <si>
    <t>IF Not Used
Initialize to 0</t>
  </si>
  <si>
    <t>Test Field Sequence Number</t>
  </si>
  <si>
    <t>Test Field String Value</t>
  </si>
  <si>
    <t>Test Field Numeric Value</t>
  </si>
  <si>
    <t>Comment  (NOT CURRENTLY USED)</t>
  </si>
  <si>
    <t>GenericString2  (NOT CURRENTLY USED)</t>
  </si>
  <si>
    <t>GenericNum1  (NOT CURRENTLY USED)</t>
  </si>
  <si>
    <t>GenericNum2  (NOT CURRENTLY USED)</t>
  </si>
  <si>
    <t>GenericNum3  (NOT CURRENTLY USED)</t>
  </si>
  <si>
    <t>GenericNum4  (NOT CURRENTLY USED)</t>
  </si>
  <si>
    <t>mix_id</t>
  </si>
  <si>
    <t>dsn_t</t>
  </si>
  <si>
    <t>dsnr_nm</t>
  </si>
  <si>
    <t>term_dt</t>
  </si>
  <si>
    <t>apprd_dt</t>
  </si>
  <si>
    <t>apprd_by_uid</t>
  </si>
  <si>
    <t>Design Type</t>
  </si>
  <si>
    <t>Producer Supplier Code</t>
  </si>
  <si>
    <t>Designer Name</t>
  </si>
  <si>
    <t>Termination Date</t>
  </si>
  <si>
    <t>Approved Date</t>
  </si>
  <si>
    <t>Approved By User ID</t>
  </si>
  <si>
    <t>TSR's Made With:</t>
  </si>
  <si>
    <t>FED/STATE #:</t>
  </si>
  <si>
    <t>Corrected 'Save As' errors on 'Design Data' tab;Corrected protection/locked cell issues</t>
  </si>
  <si>
    <r>
      <t xml:space="preserve">Not Used
</t>
    </r>
    <r>
      <rPr>
        <sz val="9"/>
        <color indexed="10"/>
        <rFont val="Arial"/>
        <family val="2"/>
      </rPr>
      <t>Initialized to " " (i.e., space)</t>
    </r>
  </si>
  <si>
    <r>
      <t xml:space="preserve">Not Used
</t>
    </r>
    <r>
      <rPr>
        <b/>
        <sz val="9"/>
        <color indexed="10"/>
        <rFont val="Arial"/>
        <family val="2"/>
      </rPr>
      <t>Initialized to "" (i.e., NULL)</t>
    </r>
  </si>
  <si>
    <r>
      <t>User Entry</t>
    </r>
    <r>
      <rPr>
        <b/>
        <sz val="10"/>
        <rFont val="Arial"/>
        <family val="2"/>
      </rPr>
      <t xml:space="preserve">                                     XML Schema 
</t>
    </r>
    <r>
      <rPr>
        <b/>
        <sz val="10"/>
        <color indexed="12"/>
        <rFont val="Arial"/>
        <family val="2"/>
      </rPr>
      <t xml:space="preserve">Sheet Map   </t>
    </r>
    <r>
      <rPr>
        <b/>
        <sz val="10"/>
        <rFont val="Arial"/>
        <family val="2"/>
      </rPr>
      <t xml:space="preserve">                                Column Name</t>
    </r>
  </si>
  <si>
    <r>
      <t xml:space="preserve">THESE THREE FIELDS COME FROM THE FIRST THREE COLUMNS ON THE "Project Item" TAB 
</t>
    </r>
    <r>
      <rPr>
        <b/>
        <sz val="10"/>
        <color indexed="10"/>
        <rFont val="Arial"/>
        <family val="2"/>
      </rPr>
      <t>(AND EACH ROW ON THAT TAB REPEATS FOR EVERY ROW ON THIS TAB HAVING A "Sample ID")</t>
    </r>
  </si>
  <si>
    <r>
      <t xml:space="preserve">Up to 254 char Sample Remark </t>
    </r>
    <r>
      <rPr>
        <b/>
        <sz val="10"/>
        <rFont val="Arial"/>
        <family val="2"/>
      </rPr>
      <t xml:space="preserve"> 
(NOTE: COULD HAVE REMARK FOR EACH TEST.)</t>
    </r>
  </si>
  <si>
    <r>
      <t xml:space="preserve">Not Used
</t>
    </r>
    <r>
      <rPr>
        <sz val="9"/>
        <color indexed="10"/>
        <rFont val="Arial"/>
        <family val="2"/>
      </rPr>
      <t>Initialized to 0</t>
    </r>
  </si>
  <si>
    <r>
      <t xml:space="preserve">IF </t>
    </r>
    <r>
      <rPr>
        <b/>
        <sz val="10"/>
        <color indexed="10"/>
        <rFont val="Arial"/>
        <family val="2"/>
      </rPr>
      <t>No Sample ID</t>
    </r>
    <r>
      <rPr>
        <sz val="10"/>
        <color indexed="10"/>
        <rFont val="Arial"/>
        <family val="2"/>
      </rPr>
      <t>, Ignore Row.</t>
    </r>
  </si>
  <si>
    <r>
      <t xml:space="preserve">Test Specification Date (Not used in this discipline)
</t>
    </r>
    <r>
      <rPr>
        <sz val="10"/>
        <color indexed="10"/>
        <rFont val="Arial"/>
        <family val="2"/>
      </rPr>
      <t>Initialized to 0</t>
    </r>
  </si>
  <si>
    <t>AMMIXPACK</t>
  </si>
  <si>
    <t>t_superpave</t>
  </si>
  <si>
    <t>AC Type</t>
  </si>
  <si>
    <t>Mix Type</t>
  </si>
  <si>
    <t>N (Initial)</t>
  </si>
  <si>
    <t>N (Max)</t>
  </si>
  <si>
    <t>N (Design)</t>
  </si>
  <si>
    <t>% Gmm @ N (Init)</t>
  </si>
  <si>
    <t>% Gmm @ N (Max)</t>
  </si>
  <si>
    <t>Equiv Single Axle Loads</t>
  </si>
  <si>
    <t>Optimum AC % by Tot Weight</t>
  </si>
  <si>
    <r>
      <t xml:space="preserve">Existing on t_matl_user 
AND  t_matl_user.smplr_ind='Y"
AND  active sampler qualification of </t>
    </r>
    <r>
      <rPr>
        <b/>
        <sz val="10"/>
        <rFont val="Arial"/>
        <family val="2"/>
      </rPr>
      <t>"Superpave Mix Design Tech."</t>
    </r>
    <r>
      <rPr>
        <sz val="10"/>
        <rFont val="Arial"/>
        <family val="2"/>
      </rPr>
      <t xml:space="preserve"> 
        (  I.e., At least one row returned from:
         SELECT * FROM t_insp_qualfn
         WHERE smpld_by = smpld_by
         AND      insp_qualfn_t = "ASMD"
         AND      qualfn_lev_t = "SMDT"
         AND      exp_dt &gt;= t_smpl.smpl_dt (since only 1 sample)
         AND      effdt     &lt;= t_smpl.smpl_dt (since only 1 sample)   )
         </t>
    </r>
  </si>
  <si>
    <t>Existing on t_prodr_supp
AND t_prodr_supp.actvty_stat_t = "A"
AND smpl_dt (since only 1 sample) is between 
            t_prodr_supp_matl.effdt &amp; exp_dt
            (for the matl_cd above)</t>
  </si>
  <si>
    <t>Existing on t_prodr_supp
AND t_prodr_supp.actvty_stat_t = "A"
AND smpl_dt (since only 1 sample) is between 
            t_prodr_supp_matl.effdt &amp; exp_dt
            (for the matl_cd left one column)</t>
  </si>
  <si>
    <t>Assume this is the BINDER Sample</t>
  </si>
  <si>
    <t>(as per bid item)</t>
  </si>
  <si>
    <t>TSRs made with:</t>
  </si>
  <si>
    <t>Removed the edit on t_smpl.smpl_mix_id as this cannot be performed in the same file where the mix is being created; Also fixed TYPE OF ADDITIVE mapping on t_tst_rslt_dtl where tst_fld_sn = 159 (data was being pulled from incorrect cell).</t>
  </si>
  <si>
    <t>Corrected "Date" field on AMMIXPACK Test (t_tst_rslt_dtl) so that "N/A" will not be accidentally passed to Applet; Corrected Mix ID Num on Design Data tab so that leading zeros would be stored in SiteManager; Corrected "Binder Grade" table in Chart Data so that the correct code table value (rather than the description) is passed to SiteManager on the t_superpave record; Made sure "N/A" was not mistakenly passed for Sample ID on the t_bit_conc_mixblnd record;  Added edits in t_superpave and t_bit_conc_mixblnd for appropriate sample date used in edits ("since only 1 sample").</t>
  </si>
  <si>
    <t>Binder</t>
  </si>
  <si>
    <t>&lt;=======</t>
  </si>
  <si>
    <t>Dust Proportion</t>
  </si>
  <si>
    <t>VMA %</t>
  </si>
  <si>
    <t>VFA %</t>
  </si>
  <si>
    <t>Lottman TSR</t>
  </si>
  <si>
    <t>Sand Equivalent</t>
  </si>
  <si>
    <t>Mixing Temperature</t>
  </si>
  <si>
    <t>Mixing Temperature Units Type</t>
  </si>
  <si>
    <t>Compaction Temp</t>
  </si>
  <si>
    <t>Compaction Temperature Units Type</t>
  </si>
  <si>
    <t>High Air Temperature</t>
  </si>
  <si>
    <t>High Air Temperature Units Type</t>
  </si>
  <si>
    <t>Air Voids Percentage</t>
  </si>
  <si>
    <t>asph_cem_t</t>
  </si>
  <si>
    <t>mix_dsn_txt_t</t>
  </si>
  <si>
    <t>init_n_dnsty_m</t>
  </si>
  <si>
    <t>max_n_dnsty_m</t>
  </si>
  <si>
    <t>dsn_n_dnsty_m</t>
  </si>
  <si>
    <t>init_n_gmm_p</t>
  </si>
  <si>
    <t>max_n_gmm_p</t>
  </si>
  <si>
    <t>esals_nbr</t>
  </si>
  <si>
    <t>opt_ac_pct_tot_wt</t>
  </si>
  <si>
    <t>dust_proprtn_p</t>
  </si>
  <si>
    <t>vma_p</t>
  </si>
  <si>
    <t>district</t>
  </si>
  <si>
    <t>Added District to disicline tab.</t>
  </si>
  <si>
    <t>vfa_p</t>
  </si>
  <si>
    <t>lotmn_tsr_m</t>
  </si>
  <si>
    <t>sand_equiv_tst</t>
  </si>
  <si>
    <t>max_spc_gr</t>
  </si>
  <si>
    <t>bulk_spc_gr_m</t>
  </si>
  <si>
    <t>mix_temp</t>
  </si>
  <si>
    <t>mix_temp_unt</t>
  </si>
  <si>
    <t>replace_allowed_indicator</t>
  </si>
  <si>
    <t>cmpct_temp</t>
  </si>
  <si>
    <t>cmpct_temp_unt</t>
  </si>
  <si>
    <t>high_air_temp</t>
  </si>
  <si>
    <t>high_air_temp_unt</t>
  </si>
  <si>
    <t>air_voids_p</t>
  </si>
  <si>
    <t>Brand Name</t>
  </si>
  <si>
    <t>Blend Percent</t>
  </si>
  <si>
    <t>Specific Gravity (Bulk)</t>
  </si>
  <si>
    <t>Specific Gravity (Apparent)</t>
  </si>
  <si>
    <t>brnd_nm</t>
  </si>
  <si>
    <t>blnd_p</t>
  </si>
  <si>
    <t>aprnt_spc_gr_m</t>
  </si>
  <si>
    <t>t_bit_conc_mixblnd</t>
  </si>
  <si>
    <t>% Air Voids with add.</t>
  </si>
  <si>
    <t>% Initial Saturation with Add.</t>
  </si>
  <si>
    <t>% Final Saturation with Add.</t>
  </si>
  <si>
    <t>Wet Strength with add. (psi)</t>
  </si>
  <si>
    <t>Dry Strength with add. (psi)</t>
  </si>
  <si>
    <t xml:space="preserve">% TSR w/o Add. = </t>
  </si>
  <si>
    <t xml:space="preserve">% TSR with Add. = </t>
  </si>
  <si>
    <r>
      <t>Unit Wt. (lb/ft</t>
    </r>
    <r>
      <rPr>
        <vertAlign val="superscript"/>
        <sz val="8"/>
        <rFont val="MS Sans Serif"/>
        <family val="2"/>
      </rPr>
      <t>3</t>
    </r>
    <r>
      <rPr>
        <sz val="8"/>
        <rFont val="MS Sans Serif"/>
        <family val="2"/>
      </rPr>
      <t>) =</t>
    </r>
  </si>
  <si>
    <r>
      <t>G</t>
    </r>
    <r>
      <rPr>
        <vertAlign val="subscript"/>
        <sz val="8"/>
        <rFont val="MS Sans Serif"/>
        <family val="2"/>
      </rPr>
      <t>mm</t>
    </r>
    <r>
      <rPr>
        <sz val="8"/>
        <rFont val="MS Sans Serif"/>
        <family val="2"/>
      </rPr>
      <t xml:space="preserve"> =</t>
    </r>
  </si>
  <si>
    <r>
      <t>G</t>
    </r>
    <r>
      <rPr>
        <vertAlign val="subscript"/>
        <sz val="8"/>
        <rFont val="MS Sans Serif"/>
        <family val="2"/>
      </rPr>
      <t>sb</t>
    </r>
    <r>
      <rPr>
        <sz val="8"/>
        <rFont val="MS Sans Serif"/>
        <family val="2"/>
      </rPr>
      <t xml:space="preserve"> =</t>
    </r>
  </si>
  <si>
    <r>
      <t>G</t>
    </r>
    <r>
      <rPr>
        <vertAlign val="subscript"/>
        <sz val="8"/>
        <rFont val="MS Sans Serif"/>
        <family val="2"/>
      </rPr>
      <t>se</t>
    </r>
    <r>
      <rPr>
        <sz val="8"/>
        <rFont val="MS Sans Serif"/>
        <family val="2"/>
      </rPr>
      <t xml:space="preserve"> =</t>
    </r>
  </si>
  <si>
    <r>
      <t>% G</t>
    </r>
    <r>
      <rPr>
        <vertAlign val="subscript"/>
        <sz val="8"/>
        <rFont val="Arial"/>
        <family val="2"/>
      </rPr>
      <t>mm</t>
    </r>
    <r>
      <rPr>
        <sz val="8"/>
        <rFont val="Arial"/>
        <family val="2"/>
      </rPr>
      <t xml:space="preserve"> @ N</t>
    </r>
    <r>
      <rPr>
        <vertAlign val="subscript"/>
        <sz val="8"/>
        <rFont val="Arial"/>
        <family val="2"/>
      </rPr>
      <t>initial</t>
    </r>
  </si>
  <si>
    <r>
      <t>% G</t>
    </r>
    <r>
      <rPr>
        <vertAlign val="subscript"/>
        <sz val="8"/>
        <rFont val="Arial"/>
        <family val="2"/>
      </rPr>
      <t>mm</t>
    </r>
    <r>
      <rPr>
        <sz val="8"/>
        <rFont val="Arial"/>
        <family val="2"/>
      </rPr>
      <t xml:space="preserve"> @ N</t>
    </r>
    <r>
      <rPr>
        <vertAlign val="subscript"/>
        <sz val="8"/>
        <rFont val="Arial"/>
        <family val="2"/>
      </rPr>
      <t>max</t>
    </r>
  </si>
  <si>
    <r>
      <t>Unit Weight (lb/ft</t>
    </r>
    <r>
      <rPr>
        <vertAlign val="superscript"/>
        <sz val="8"/>
        <rFont val="Arial"/>
        <family val="2"/>
      </rPr>
      <t>3</t>
    </r>
    <r>
      <rPr>
        <sz val="8"/>
        <rFont val="Arial"/>
        <family val="2"/>
      </rPr>
      <t>)</t>
    </r>
  </si>
  <si>
    <r>
      <t>G</t>
    </r>
    <r>
      <rPr>
        <vertAlign val="subscript"/>
        <sz val="8"/>
        <rFont val="Arial"/>
        <family val="2"/>
      </rPr>
      <t>sb</t>
    </r>
  </si>
  <si>
    <r>
      <t>G</t>
    </r>
    <r>
      <rPr>
        <vertAlign val="subscript"/>
        <sz val="8"/>
        <rFont val="Arial"/>
        <family val="2"/>
      </rPr>
      <t>se</t>
    </r>
  </si>
  <si>
    <r>
      <t>G</t>
    </r>
    <r>
      <rPr>
        <b/>
        <vertAlign val="subscript"/>
        <sz val="8"/>
        <rFont val="Arial"/>
        <family val="2"/>
      </rPr>
      <t>mm</t>
    </r>
    <r>
      <rPr>
        <b/>
        <sz val="8"/>
        <rFont val="Arial"/>
        <family val="2"/>
      </rPr>
      <t>ini</t>
    </r>
  </si>
  <si>
    <t>MIX DESIGN AGGREGATE INFORMATION</t>
  </si>
  <si>
    <t>MIXTURE DESIGN APPROVAL INFORMATION</t>
  </si>
  <si>
    <t>1-PT. CHECK PROPERTIES</t>
  </si>
  <si>
    <t>MCL CONSENSUS (&amp; ADDITIONAL) VERIFICATION INFORMATION</t>
  </si>
  <si>
    <t>4-PT. GYRATORY MIX DESIGN INFORMATION</t>
  </si>
  <si>
    <t>OVERALL: Please follow fill coloration and bolding as pictured at left</t>
  </si>
  <si>
    <t>SM Field</t>
  </si>
  <si>
    <t>TSR INFORMATION</t>
  </si>
  <si>
    <t>APPROVAL INFORMATION</t>
  </si>
  <si>
    <t>B2</t>
  </si>
  <si>
    <t>B8</t>
  </si>
  <si>
    <t>B10</t>
  </si>
  <si>
    <t>B29</t>
  </si>
  <si>
    <t>D3</t>
  </si>
  <si>
    <t>D4</t>
  </si>
  <si>
    <t>D5</t>
  </si>
  <si>
    <t>D6</t>
  </si>
  <si>
    <t>D7</t>
  </si>
  <si>
    <t>D11</t>
  </si>
  <si>
    <t>D12</t>
  </si>
  <si>
    <t>D13</t>
  </si>
  <si>
    <t>D14</t>
  </si>
  <si>
    <t>D15</t>
  </si>
  <si>
    <t>D16</t>
  </si>
  <si>
    <t>D18</t>
  </si>
  <si>
    <t>D20</t>
  </si>
  <si>
    <t>H2</t>
  </si>
  <si>
    <t>H3</t>
  </si>
  <si>
    <t>H5</t>
  </si>
  <si>
    <t>H6</t>
  </si>
  <si>
    <t>I6</t>
  </si>
  <si>
    <t>I7</t>
  </si>
  <si>
    <t>I8</t>
  </si>
  <si>
    <t>I9</t>
  </si>
  <si>
    <t>I10</t>
  </si>
  <si>
    <t>I11</t>
  </si>
  <si>
    <t>I12</t>
  </si>
  <si>
    <t>I13</t>
  </si>
  <si>
    <t>I14</t>
  </si>
  <si>
    <t>I15</t>
  </si>
  <si>
    <t>I16</t>
  </si>
  <si>
    <t>I17</t>
  </si>
  <si>
    <t>J6</t>
  </si>
  <si>
    <t>J7</t>
  </si>
  <si>
    <t>J8</t>
  </si>
  <si>
    <t>J9</t>
  </si>
  <si>
    <t>J10</t>
  </si>
  <si>
    <t>J11</t>
  </si>
  <si>
    <t>J12</t>
  </si>
  <si>
    <t>J13</t>
  </si>
  <si>
    <t>J14</t>
  </si>
  <si>
    <t>J15</t>
  </si>
  <si>
    <t>J16</t>
  </si>
  <si>
    <t>J17</t>
  </si>
  <si>
    <t>H24</t>
  </si>
  <si>
    <t>H25</t>
  </si>
  <si>
    <t>I20</t>
  </si>
  <si>
    <t>P3</t>
  </si>
  <si>
    <t>P4</t>
  </si>
  <si>
    <t>P5</t>
  </si>
  <si>
    <t>P6</t>
  </si>
  <si>
    <r>
      <t>% G</t>
    </r>
    <r>
      <rPr>
        <vertAlign val="subscript"/>
        <sz val="10"/>
        <rFont val="Arial"/>
        <family val="2"/>
      </rPr>
      <t>mm</t>
    </r>
    <r>
      <rPr>
        <sz val="10"/>
        <rFont val="Arial"/>
        <family val="2"/>
      </rPr>
      <t xml:space="preserve"> @ N</t>
    </r>
    <r>
      <rPr>
        <vertAlign val="subscript"/>
        <sz val="10"/>
        <rFont val="Arial"/>
        <family val="2"/>
      </rPr>
      <t>initial</t>
    </r>
  </si>
  <si>
    <r>
      <t>% G</t>
    </r>
    <r>
      <rPr>
        <vertAlign val="subscript"/>
        <sz val="10"/>
        <rFont val="Arial"/>
        <family val="2"/>
      </rPr>
      <t>mm</t>
    </r>
    <r>
      <rPr>
        <sz val="10"/>
        <rFont val="Arial"/>
        <family val="2"/>
      </rPr>
      <t xml:space="preserve"> @ N</t>
    </r>
    <r>
      <rPr>
        <vertAlign val="subscript"/>
        <sz val="10"/>
        <rFont val="Arial"/>
        <family val="2"/>
      </rPr>
      <t>max</t>
    </r>
  </si>
  <si>
    <r>
      <t>Unit Weight (lb/ft</t>
    </r>
    <r>
      <rPr>
        <vertAlign val="superscript"/>
        <sz val="10"/>
        <rFont val="Arial"/>
        <family val="2"/>
      </rPr>
      <t>3</t>
    </r>
    <r>
      <rPr>
        <sz val="10"/>
        <rFont val="Arial"/>
        <family val="2"/>
      </rPr>
      <t>)</t>
    </r>
  </si>
  <si>
    <r>
      <t>G</t>
    </r>
    <r>
      <rPr>
        <vertAlign val="subscript"/>
        <sz val="10"/>
        <rFont val="Arial"/>
        <family val="2"/>
      </rPr>
      <t>sb</t>
    </r>
  </si>
  <si>
    <r>
      <t>G</t>
    </r>
    <r>
      <rPr>
        <vertAlign val="subscript"/>
        <sz val="10"/>
        <rFont val="Arial"/>
        <family val="2"/>
      </rPr>
      <t>se</t>
    </r>
  </si>
  <si>
    <r>
      <t>Criteria - % G</t>
    </r>
    <r>
      <rPr>
        <vertAlign val="subscript"/>
        <sz val="10"/>
        <rFont val="Arial"/>
        <family val="2"/>
      </rPr>
      <t>mm</t>
    </r>
    <r>
      <rPr>
        <sz val="10"/>
        <rFont val="Arial"/>
        <family val="2"/>
      </rPr>
      <t xml:space="preserve"> @ N</t>
    </r>
    <r>
      <rPr>
        <vertAlign val="subscript"/>
        <sz val="10"/>
        <rFont val="Arial"/>
        <family val="2"/>
      </rPr>
      <t>initial</t>
    </r>
  </si>
  <si>
    <r>
      <t>Criteria - % G</t>
    </r>
    <r>
      <rPr>
        <vertAlign val="subscript"/>
        <sz val="10"/>
        <rFont val="Arial"/>
        <family val="2"/>
      </rPr>
      <t>mm</t>
    </r>
    <r>
      <rPr>
        <sz val="10"/>
        <rFont val="Arial"/>
        <family val="2"/>
      </rPr>
      <t xml:space="preserve"> @ N</t>
    </r>
    <r>
      <rPr>
        <vertAlign val="subscript"/>
        <sz val="10"/>
        <rFont val="Arial"/>
        <family val="2"/>
      </rPr>
      <t>max</t>
    </r>
  </si>
  <si>
    <r>
      <t>G</t>
    </r>
    <r>
      <rPr>
        <vertAlign val="subscript"/>
        <sz val="7"/>
        <rFont val="Arial"/>
        <family val="2"/>
      </rPr>
      <t>sb</t>
    </r>
  </si>
  <si>
    <r>
      <t>G</t>
    </r>
    <r>
      <rPr>
        <vertAlign val="subscript"/>
        <sz val="7"/>
        <rFont val="Arial"/>
        <family val="2"/>
      </rPr>
      <t xml:space="preserve">sb </t>
    </r>
    <r>
      <rPr>
        <sz val="10"/>
        <rFont val="Arial"/>
        <family val="2"/>
      </rPr>
      <t>#2</t>
    </r>
  </si>
  <si>
    <r>
      <t>G</t>
    </r>
    <r>
      <rPr>
        <vertAlign val="subscript"/>
        <sz val="7"/>
        <rFont val="Arial"/>
        <family val="2"/>
      </rPr>
      <t xml:space="preserve">sb </t>
    </r>
    <r>
      <rPr>
        <sz val="10"/>
        <rFont val="Arial"/>
        <family val="2"/>
      </rPr>
      <t>#3</t>
    </r>
  </si>
  <si>
    <r>
      <t>G</t>
    </r>
    <r>
      <rPr>
        <vertAlign val="subscript"/>
        <sz val="7"/>
        <rFont val="Arial"/>
        <family val="2"/>
      </rPr>
      <t xml:space="preserve">sb </t>
    </r>
    <r>
      <rPr>
        <sz val="10"/>
        <rFont val="Arial"/>
        <family val="2"/>
      </rPr>
      <t>#4</t>
    </r>
  </si>
  <si>
    <r>
      <t>G</t>
    </r>
    <r>
      <rPr>
        <vertAlign val="subscript"/>
        <sz val="7"/>
        <rFont val="Arial"/>
        <family val="2"/>
      </rPr>
      <t xml:space="preserve">sb </t>
    </r>
    <r>
      <rPr>
        <sz val="10"/>
        <rFont val="Arial"/>
        <family val="2"/>
      </rPr>
      <t>#5</t>
    </r>
  </si>
  <si>
    <r>
      <t>G</t>
    </r>
    <r>
      <rPr>
        <vertAlign val="subscript"/>
        <sz val="7"/>
        <rFont val="Arial"/>
        <family val="2"/>
      </rPr>
      <t xml:space="preserve">sb </t>
    </r>
    <r>
      <rPr>
        <sz val="10"/>
        <rFont val="Arial"/>
        <family val="2"/>
      </rPr>
      <t>#6</t>
    </r>
  </si>
  <si>
    <r>
      <t>Unit Wt. (lb/ft</t>
    </r>
    <r>
      <rPr>
        <vertAlign val="superscript"/>
        <sz val="10"/>
        <rFont val="MS Sans Serif"/>
        <family val="2"/>
      </rPr>
      <t>3</t>
    </r>
    <r>
      <rPr>
        <sz val="10"/>
        <rFont val="MS Sans Serif"/>
        <family val="2"/>
      </rPr>
      <t>) =</t>
    </r>
  </si>
  <si>
    <r>
      <t>G</t>
    </r>
    <r>
      <rPr>
        <vertAlign val="subscript"/>
        <sz val="10"/>
        <rFont val="MS Sans Serif"/>
        <family val="2"/>
      </rPr>
      <t>sb</t>
    </r>
    <r>
      <rPr>
        <sz val="10"/>
        <rFont val="MS Sans Serif"/>
        <family val="2"/>
      </rPr>
      <t xml:space="preserve"> =</t>
    </r>
  </si>
  <si>
    <t>P7</t>
  </si>
  <si>
    <t>P8</t>
  </si>
  <si>
    <t>P9</t>
  </si>
  <si>
    <t>P10</t>
  </si>
  <si>
    <t>P11</t>
  </si>
  <si>
    <t>P12</t>
  </si>
  <si>
    <t>P13</t>
  </si>
  <si>
    <t>P14</t>
  </si>
  <si>
    <t>P15</t>
  </si>
  <si>
    <t>P16</t>
  </si>
  <si>
    <t>P17</t>
  </si>
  <si>
    <t>P18</t>
  </si>
  <si>
    <t>P19</t>
  </si>
  <si>
    <t>P20</t>
  </si>
  <si>
    <t>P21</t>
  </si>
  <si>
    <t>P22</t>
  </si>
  <si>
    <t>P23</t>
  </si>
  <si>
    <t>P24</t>
  </si>
  <si>
    <t>P25</t>
  </si>
  <si>
    <t>P26</t>
  </si>
  <si>
    <t>P27</t>
  </si>
  <si>
    <t>TOTAL UNIT TEST COST</t>
  </si>
  <si>
    <t>SiteManager Agg. Sample ID #</t>
  </si>
  <si>
    <t>SiteManager ID #</t>
  </si>
  <si>
    <t>SiteManager Sample ID #</t>
  </si>
  <si>
    <t>Template Name:  AMMIXPACK</t>
  </si>
  <si>
    <t>Descrip.:  MIX DESIGN SPREADSHEET</t>
  </si>
  <si>
    <t>C16</t>
  </si>
  <si>
    <t>C17</t>
  </si>
  <si>
    <t>C18</t>
  </si>
  <si>
    <t>C19</t>
  </si>
  <si>
    <t>C20</t>
  </si>
  <si>
    <t>E16</t>
  </si>
  <si>
    <t>E17</t>
  </si>
  <si>
    <t>E18</t>
  </si>
  <si>
    <t>E20</t>
  </si>
  <si>
    <t>F11</t>
  </si>
  <si>
    <t>F12</t>
  </si>
  <si>
    <t>F13</t>
  </si>
  <si>
    <t>F14</t>
  </si>
  <si>
    <t>F15</t>
  </si>
  <si>
    <t>F16</t>
  </si>
  <si>
    <t>F17</t>
  </si>
  <si>
    <t>F18</t>
  </si>
  <si>
    <t>F20</t>
  </si>
  <si>
    <t>I18</t>
  </si>
  <si>
    <t>I19</t>
  </si>
  <si>
    <t>J18</t>
  </si>
  <si>
    <t>J19</t>
  </si>
  <si>
    <t>J20</t>
  </si>
  <si>
    <t>M2</t>
  </si>
  <si>
    <t>M3</t>
  </si>
  <si>
    <t>N28</t>
  </si>
  <si>
    <t>Q3</t>
  </si>
  <si>
    <t>Q4</t>
  </si>
  <si>
    <t>Q5</t>
  </si>
  <si>
    <t>Q6</t>
  </si>
  <si>
    <t>Q7</t>
  </si>
  <si>
    <t>Q8</t>
  </si>
  <si>
    <t>Q9</t>
  </si>
  <si>
    <t>Q10</t>
  </si>
  <si>
    <t>Q11</t>
  </si>
  <si>
    <t>Q12</t>
  </si>
  <si>
    <t>3.0</t>
  </si>
  <si>
    <t>RAP Note</t>
  </si>
  <si>
    <t>'RAP Gsb =</t>
  </si>
  <si>
    <t>RAP Gsb =</t>
  </si>
  <si>
    <t>1.2</t>
  </si>
  <si>
    <t>% / %</t>
  </si>
  <si>
    <t>2.0</t>
  </si>
  <si>
    <t>2.1</t>
  </si>
  <si>
    <t>1.1</t>
  </si>
  <si>
    <t>3.1</t>
  </si>
  <si>
    <t>1.3</t>
  </si>
  <si>
    <t>4.0</t>
  </si>
  <si>
    <t>Additional Reference Information</t>
  </si>
  <si>
    <t>5</t>
  </si>
  <si>
    <t>SiteManager Sample ID #2</t>
  </si>
  <si>
    <t>SiteManager Sample ID #3</t>
  </si>
  <si>
    <t>SiteManager Sample ID #4</t>
  </si>
  <si>
    <t>SiteManager Sample ID #5</t>
  </si>
  <si>
    <t>LAP100702</t>
  </si>
  <si>
    <t>Greater Cin. Asphalt Term II @ Cin., OH</t>
  </si>
  <si>
    <t>LAP101901</t>
  </si>
  <si>
    <t>Middleport Terminal @ Gallipolis, OH</t>
  </si>
  <si>
    <t>LAP100903</t>
  </si>
  <si>
    <t>Binder Source Not In Drop-Down List</t>
  </si>
  <si>
    <t>SiteManager Sample ID #6</t>
  </si>
  <si>
    <t>Q13</t>
  </si>
  <si>
    <t>Q15</t>
  </si>
  <si>
    <t>Q24</t>
  </si>
  <si>
    <t>Q25</t>
  </si>
  <si>
    <t>C23</t>
  </si>
  <si>
    <t>C24</t>
  </si>
  <si>
    <t>C25</t>
  </si>
  <si>
    <t>B31</t>
  </si>
  <si>
    <t>D35</t>
  </si>
  <si>
    <t>C36</t>
  </si>
  <si>
    <t>D36</t>
  </si>
  <si>
    <t>D37</t>
  </si>
  <si>
    <t>F22</t>
  </si>
  <si>
    <t>K23</t>
  </si>
  <si>
    <t>K24</t>
  </si>
  <si>
    <t>K25</t>
  </si>
  <si>
    <t>K26</t>
  </si>
  <si>
    <t>F29</t>
  </si>
  <si>
    <t>F31</t>
  </si>
  <si>
    <t>G31</t>
  </si>
  <si>
    <t>H32</t>
  </si>
  <si>
    <t>H33</t>
  </si>
  <si>
    <t>H34</t>
  </si>
  <si>
    <t>Fixed the Authorized By edit on the t_superpave tab.</t>
  </si>
  <si>
    <t>H35</t>
  </si>
  <si>
    <t>H36</t>
  </si>
  <si>
    <t>H37</t>
  </si>
  <si>
    <t>K32</t>
  </si>
  <si>
    <t>K33</t>
  </si>
  <si>
    <t>K34</t>
  </si>
  <si>
    <t>K35</t>
  </si>
  <si>
    <t>K36</t>
  </si>
  <si>
    <t>K37</t>
  </si>
  <si>
    <t>B39</t>
  </si>
  <si>
    <t>B41</t>
  </si>
  <si>
    <t>B42</t>
  </si>
  <si>
    <t>B43</t>
  </si>
  <si>
    <t>B44</t>
  </si>
  <si>
    <t>B45</t>
  </si>
  <si>
    <t>B46</t>
  </si>
  <si>
    <t>D41</t>
  </si>
  <si>
    <t>D42</t>
  </si>
  <si>
    <t>D43</t>
  </si>
  <si>
    <t>D44</t>
  </si>
  <si>
    <t>D45</t>
  </si>
  <si>
    <t>D46</t>
  </si>
  <si>
    <t>I41</t>
  </si>
  <si>
    <t>I42</t>
  </si>
  <si>
    <t>I43</t>
  </si>
  <si>
    <t>I44</t>
  </si>
  <si>
    <t>I45</t>
  </si>
  <si>
    <t>I46</t>
  </si>
  <si>
    <t>K41</t>
  </si>
  <si>
    <t>K42</t>
  </si>
  <si>
    <t>K43</t>
  </si>
  <si>
    <t>K44</t>
  </si>
  <si>
    <t>K45</t>
  </si>
  <si>
    <t>K46</t>
  </si>
  <si>
    <t>M41</t>
  </si>
  <si>
    <t>M42</t>
  </si>
  <si>
    <t>M43</t>
  </si>
  <si>
    <t>M44</t>
  </si>
  <si>
    <t>M45</t>
  </si>
  <si>
    <t>M46</t>
  </si>
  <si>
    <t>N41</t>
  </si>
  <si>
    <t>N42</t>
  </si>
  <si>
    <t>N43</t>
  </si>
  <si>
    <t>N44</t>
  </si>
  <si>
    <t>N45</t>
  </si>
  <si>
    <t>N46</t>
  </si>
  <si>
    <t>O41</t>
  </si>
  <si>
    <t>O42</t>
  </si>
  <si>
    <t>O43</t>
  </si>
  <si>
    <t>O44</t>
  </si>
  <si>
    <t>O45</t>
  </si>
  <si>
    <t>O46</t>
  </si>
  <si>
    <t>P41</t>
  </si>
  <si>
    <t>P42</t>
  </si>
  <si>
    <t>P43</t>
  </si>
  <si>
    <t>P44</t>
  </si>
  <si>
    <t>P45</t>
  </si>
  <si>
    <t>P46</t>
  </si>
  <si>
    <t>B48</t>
  </si>
  <si>
    <t>D49</t>
  </si>
  <si>
    <t>D50</t>
  </si>
  <si>
    <t>D51</t>
  </si>
  <si>
    <t>D52</t>
  </si>
  <si>
    <t>F49</t>
  </si>
  <si>
    <t>F50</t>
  </si>
  <si>
    <t>F51</t>
  </si>
  <si>
    <t>F52</t>
  </si>
  <si>
    <t>AMP090303</t>
  </si>
  <si>
    <t>Eaton Ashpalt Paving @ Maysville</t>
  </si>
  <si>
    <t>Rogers Group @ Canton</t>
  </si>
  <si>
    <t>I49</t>
  </si>
  <si>
    <t>I50</t>
  </si>
  <si>
    <t>I51</t>
  </si>
  <si>
    <t>I52</t>
  </si>
  <si>
    <t>L48</t>
  </si>
  <si>
    <t>L50</t>
  </si>
  <si>
    <t>L51</t>
  </si>
  <si>
    <t>L52</t>
  </si>
  <si>
    <t>L53</t>
  </si>
  <si>
    <t>L54</t>
  </si>
  <si>
    <t>L55</t>
  </si>
  <si>
    <t>O50</t>
  </si>
  <si>
    <t>O51</t>
  </si>
  <si>
    <t>O52</t>
  </si>
  <si>
    <t>O53</t>
  </si>
  <si>
    <t>O54</t>
  </si>
  <si>
    <t>O55</t>
  </si>
  <si>
    <t>P50</t>
  </si>
  <si>
    <t>P51</t>
  </si>
  <si>
    <t>P52</t>
  </si>
  <si>
    <t>P53</t>
  </si>
  <si>
    <t>P54</t>
  </si>
  <si>
    <t>P55</t>
  </si>
  <si>
    <t>Frankfort Materials @ Frankfort</t>
  </si>
  <si>
    <t>LAP101004</t>
  </si>
  <si>
    <t>BINDER GRADE</t>
  </si>
  <si>
    <r>
      <t>lbs/ft</t>
    </r>
    <r>
      <rPr>
        <vertAlign val="superscript"/>
        <sz val="7"/>
        <rFont val="Helv"/>
      </rPr>
      <t>3</t>
    </r>
  </si>
  <si>
    <t>(no units)</t>
  </si>
  <si>
    <t>lbs/ft3</t>
  </si>
  <si>
    <t>grams</t>
  </si>
  <si>
    <t>ID#:</t>
  </si>
  <si>
    <t>Design AC%:</t>
  </si>
  <si>
    <t>RAP Information</t>
  </si>
  <si>
    <t>% AC in RAP:</t>
  </si>
  <si>
    <t>% Virgin AC in mix:</t>
  </si>
  <si>
    <t>% RAP AC in mix:</t>
  </si>
  <si>
    <t>Total % AC in mix:</t>
  </si>
  <si>
    <t>RAP MSG's</t>
  </si>
  <si>
    <t>Revised Asphalt Content (+ or - 0.3%):</t>
  </si>
  <si>
    <t>1-Pt. SGC Des.</t>
  </si>
  <si>
    <t>%AC:</t>
  </si>
  <si>
    <t>MAT.CODE</t>
  </si>
  <si>
    <t>1-Pt. CHECK PROPERTIES</t>
  </si>
  <si>
    <t>Gmm =</t>
  </si>
  <si>
    <t>Gse =</t>
  </si>
  <si>
    <t>Notes:</t>
  </si>
  <si>
    <t xml:space="preserve">AC           </t>
  </si>
  <si>
    <t xml:space="preserve">Gmmini  </t>
  </si>
  <si>
    <t xml:space="preserve">AV            </t>
  </si>
  <si>
    <t xml:space="preserve">VMA       </t>
  </si>
  <si>
    <t xml:space="preserve">VFA         </t>
  </si>
  <si>
    <t xml:space="preserve">UW           </t>
  </si>
  <si>
    <t xml:space="preserve">MSG       </t>
  </si>
  <si>
    <t xml:space="preserve">Eff. AC   </t>
  </si>
  <si>
    <t xml:space="preserve">Film Th  </t>
  </si>
  <si>
    <t xml:space="preserve">D/A         </t>
  </si>
  <si>
    <t xml:space="preserve">2 "         </t>
  </si>
  <si>
    <t xml:space="preserve">1 1/2 "   </t>
  </si>
  <si>
    <t xml:space="preserve">1 "          </t>
  </si>
  <si>
    <t xml:space="preserve">3/4 "     </t>
  </si>
  <si>
    <t xml:space="preserve">1/2 "      </t>
  </si>
  <si>
    <t xml:space="preserve">3/8 "     </t>
  </si>
  <si>
    <t xml:space="preserve">1/4 "      </t>
  </si>
  <si>
    <t xml:space="preserve">#4         </t>
  </si>
  <si>
    <t xml:space="preserve">#8         </t>
  </si>
  <si>
    <t xml:space="preserve">#16        </t>
  </si>
  <si>
    <t xml:space="preserve">#30       </t>
  </si>
  <si>
    <t xml:space="preserve">#50       </t>
  </si>
  <si>
    <t xml:space="preserve">#100      </t>
  </si>
  <si>
    <t xml:space="preserve">#200     </t>
  </si>
  <si>
    <t xml:space="preserve">Point 2 - AC           </t>
  </si>
  <si>
    <t xml:space="preserve">Point 2 - Gmmini  </t>
  </si>
  <si>
    <t xml:space="preserve">Point 2 - AV            </t>
  </si>
  <si>
    <t xml:space="preserve">Point 2 - VMA       </t>
  </si>
  <si>
    <t xml:space="preserve">Point 2 - VFA         </t>
  </si>
  <si>
    <t xml:space="preserve">Point 2 - UW           </t>
  </si>
  <si>
    <t xml:space="preserve">Point 2 - MSG       </t>
  </si>
  <si>
    <t xml:space="preserve">Point 2 - Eff. AC   </t>
  </si>
  <si>
    <t xml:space="preserve">Point 2 - Film Th  </t>
  </si>
  <si>
    <t xml:space="preserve">Point 2 - D/A         </t>
  </si>
  <si>
    <t xml:space="preserve">Point 3 - AC           </t>
  </si>
  <si>
    <t xml:space="preserve">Point 3 - Gmmini  </t>
  </si>
  <si>
    <t xml:space="preserve">Point 3 - AV            </t>
  </si>
  <si>
    <t xml:space="preserve">Point 3 - VMA       </t>
  </si>
  <si>
    <t xml:space="preserve">Point 3 - VFA         </t>
  </si>
  <si>
    <t xml:space="preserve">Point 3 - UW           </t>
  </si>
  <si>
    <t xml:space="preserve">Point 3 - MSG       </t>
  </si>
  <si>
    <t xml:space="preserve">Point 3 - Eff. AC   </t>
  </si>
  <si>
    <t xml:space="preserve">Point 3 - Film Th  </t>
  </si>
  <si>
    <t xml:space="preserve">Point 3 - D/A         </t>
  </si>
  <si>
    <t xml:space="preserve">Point 4 - AC           </t>
  </si>
  <si>
    <t xml:space="preserve">Point 4 - Gmmini  </t>
  </si>
  <si>
    <t xml:space="preserve">Point 4 - AV            </t>
  </si>
  <si>
    <t xml:space="preserve">Point 4 - VMA       </t>
  </si>
  <si>
    <t xml:space="preserve">Point 4 - VFA         </t>
  </si>
  <si>
    <t xml:space="preserve">Point 4 - UW           </t>
  </si>
  <si>
    <t xml:space="preserve">Point 4 - MSG       </t>
  </si>
  <si>
    <t xml:space="preserve">Point 4 - Eff. AC   </t>
  </si>
  <si>
    <t xml:space="preserve">Point 4 - Film Th  </t>
  </si>
  <si>
    <t xml:space="preserve">Point 4 - D/A         </t>
  </si>
  <si>
    <t xml:space="preserve">WeighUp - 2 "         </t>
  </si>
  <si>
    <t xml:space="preserve">WeighUp - 1 1/2 "   </t>
  </si>
  <si>
    <t xml:space="preserve">WeighUp - 1 "          </t>
  </si>
  <si>
    <t xml:space="preserve">WeighUp - 3/4 "     </t>
  </si>
  <si>
    <t xml:space="preserve">WeighUp - 1/2 "      </t>
  </si>
  <si>
    <t xml:space="preserve">WeighUp - 3/8 "     </t>
  </si>
  <si>
    <t xml:space="preserve">WeighUp - 1/4 "      </t>
  </si>
  <si>
    <t xml:space="preserve">WeighUp - #4         </t>
  </si>
  <si>
    <t xml:space="preserve">WeighUp - #8         </t>
  </si>
  <si>
    <t xml:space="preserve">WeighUp - #16        </t>
  </si>
  <si>
    <t xml:space="preserve">WeighUp - #30       </t>
  </si>
  <si>
    <t xml:space="preserve">WeighUp - #50       </t>
  </si>
  <si>
    <t xml:space="preserve">WeighUp - #100      </t>
  </si>
  <si>
    <t xml:space="preserve">WeighUp - #200     </t>
  </si>
  <si>
    <t>Criteria - Coarse Aggregate Angularity (%)</t>
  </si>
  <si>
    <t>Criteria - Fine Aggregate Angularity (%)</t>
  </si>
  <si>
    <t>Criteria - Flat &amp; Elongated Particles (%)</t>
  </si>
  <si>
    <t>Criteria - Clay Content (SE) (%)</t>
  </si>
  <si>
    <t>Criteria - % VFA</t>
  </si>
  <si>
    <t>Criteria - % VMA</t>
  </si>
  <si>
    <t>Criteria - D/A Ratio</t>
  </si>
  <si>
    <t>22906ES403 CL3 ASPH SURF 0.38A PG64-22</t>
  </si>
  <si>
    <t>M332</t>
  </si>
  <si>
    <t>M334</t>
  </si>
  <si>
    <t>M335</t>
  </si>
  <si>
    <t>M336</t>
  </si>
  <si>
    <t>M337</t>
  </si>
  <si>
    <t>10290</t>
  </si>
  <si>
    <t>10293</t>
  </si>
  <si>
    <t>10295</t>
  </si>
  <si>
    <t>10297</t>
  </si>
  <si>
    <t>10300</t>
  </si>
  <si>
    <t>10305</t>
  </si>
  <si>
    <t>10310</t>
  </si>
  <si>
    <t>10313</t>
  </si>
  <si>
    <t>10315</t>
  </si>
  <si>
    <t>10320</t>
  </si>
  <si>
    <t>10323</t>
  </si>
  <si>
    <t>10325</t>
  </si>
  <si>
    <t>10330</t>
  </si>
  <si>
    <t>10335</t>
  </si>
  <si>
    <t>10340</t>
  </si>
  <si>
    <t>10345</t>
  </si>
  <si>
    <t>10350</t>
  </si>
  <si>
    <t>10355</t>
  </si>
  <si>
    <t>10360</t>
  </si>
  <si>
    <t>10365</t>
  </si>
  <si>
    <t>10370</t>
  </si>
  <si>
    <t>10375</t>
  </si>
  <si>
    <t>10380</t>
  </si>
  <si>
    <t>10385</t>
  </si>
  <si>
    <t>10390</t>
  </si>
  <si>
    <t>10395</t>
  </si>
  <si>
    <t>10400</t>
  </si>
  <si>
    <t>10405</t>
  </si>
  <si>
    <t>10410</t>
  </si>
  <si>
    <t>Gaddie Shamrock @ Columbia (Plant 1-Mod. Cont.)</t>
  </si>
  <si>
    <t xml:space="preserve">AMP080402      </t>
  </si>
  <si>
    <t>Recycle selected:  Use PG 70-22 virgin binder.</t>
  </si>
  <si>
    <t>Recycle selected:  Use PG 64-22 virgin binder.</t>
  </si>
  <si>
    <t>Recycle selected:  Use KM 427 for virgin binder grade selection.</t>
  </si>
  <si>
    <t>Cannot use more than 20% Recycle with PG 76-22.</t>
  </si>
  <si>
    <t>10415</t>
  </si>
  <si>
    <t>10420</t>
  </si>
  <si>
    <t>Gravel #78's</t>
  </si>
  <si>
    <t>330/300 (deg. F)</t>
  </si>
  <si>
    <t>315/285 (deg. F)</t>
  </si>
  <si>
    <t>Gravel #8's</t>
  </si>
  <si>
    <t>Gravel #9M's</t>
  </si>
  <si>
    <t>Gravel Sand-Crushed</t>
  </si>
  <si>
    <t>Natural Sand</t>
  </si>
  <si>
    <t>Barrett Paving @ Wilder</t>
  </si>
  <si>
    <t>Eaton Asphalt Paving @ Sanfordtown</t>
  </si>
  <si>
    <t>Mago Construction @ Harrodsburg</t>
  </si>
  <si>
    <t>Mago Construction @ Tyrone</t>
  </si>
  <si>
    <t>The Allen Company @ Berea</t>
  </si>
  <si>
    <t>The Allen Company @ Boonesborough</t>
  </si>
  <si>
    <t>Hinkle Contracting @ Paris</t>
  </si>
  <si>
    <t>The Walker Company @ Mount Sterling</t>
  </si>
  <si>
    <t>The Allen Company @ Danville</t>
  </si>
  <si>
    <t>Gaddie Shamrock @ Albany</t>
  </si>
  <si>
    <t>Mago Construction @ Monticello</t>
  </si>
  <si>
    <t>Hinkle Contracting @ Tateville</t>
  </si>
  <si>
    <t>Flemingsburg Materials @ Flemingsburg</t>
  </si>
  <si>
    <t>Hinkle Contracting @ Morehead (Batch)</t>
  </si>
  <si>
    <t>Maysville Materials @ Maysville</t>
  </si>
  <si>
    <t>Mountain Enterprises @ Grassy Creek</t>
  </si>
  <si>
    <t>Mountain Enterprises @ Ashland</t>
  </si>
  <si>
    <t>Hinkle Contracting @ Pomp</t>
  </si>
  <si>
    <t>Mountain Enterprises @ Hazard</t>
  </si>
  <si>
    <t>Hinkle Contracting @ Bowen</t>
  </si>
  <si>
    <t>The Walker Company @ Frenchburg</t>
  </si>
  <si>
    <t>Hinkle Contracting @ Jackson</t>
  </si>
  <si>
    <t>Hinkle Contracting @ Ravenna</t>
  </si>
  <si>
    <t>Mountain Enterprises @ Harlan</t>
  </si>
  <si>
    <t>Shingles</t>
  </si>
  <si>
    <t>LSS (Washed)</t>
  </si>
  <si>
    <t>00388 CL3 ASPH SURF 0.38B PG64-22</t>
  </si>
  <si>
    <t>LSS (Unwashed)</t>
  </si>
  <si>
    <t>LS NSG-Fine (Washed)</t>
  </si>
  <si>
    <t>LS NSG-Fine (Unwashed)</t>
  </si>
  <si>
    <t>LS NSG-Coarse</t>
  </si>
  <si>
    <t>LS Combined-NSG</t>
  </si>
  <si>
    <t>LS #11's (Washed)</t>
  </si>
  <si>
    <t>LS #11's (Unwashed)</t>
  </si>
  <si>
    <t>LS #10's (Unwashed)</t>
  </si>
  <si>
    <t xml:space="preserve">AMP050311      </t>
  </si>
  <si>
    <t>Hall Contracting @ Brooks</t>
  </si>
  <si>
    <t xml:space="preserve">AMP110304      </t>
  </si>
  <si>
    <t>Hinkle Contracting @ London</t>
  </si>
  <si>
    <t>Mac Construction @ Jeffersonville IN</t>
  </si>
  <si>
    <t xml:space="preserve">AMP020307      </t>
  </si>
  <si>
    <t>Owensboro Paving @ Owensboro (Drum#2)</t>
  </si>
  <si>
    <t xml:space="preserve">AMP020305      </t>
  </si>
  <si>
    <t xml:space="preserve">AMP050202      </t>
  </si>
  <si>
    <t>Riverside Paving @ Louisville</t>
  </si>
  <si>
    <t xml:space="preserve">AMP010305      </t>
  </si>
  <si>
    <t xml:space="preserve">AMP040311      </t>
  </si>
  <si>
    <t xml:space="preserve">AMP070311      </t>
  </si>
  <si>
    <t>The Allen Company @ Danville (Drum)</t>
  </si>
  <si>
    <t>Bluegrass Contracting @ Garrard County (Lancaster)</t>
  </si>
  <si>
    <t>RANDOM NUMBER GENERATOR (CONTINUED)</t>
  </si>
  <si>
    <t>sure the correct tonnage appears below.</t>
  </si>
  <si>
    <t>TONNAGE =</t>
  </si>
  <si>
    <t>102 - 2</t>
  </si>
  <si>
    <t>136 - 1</t>
  </si>
  <si>
    <t>169 - 4</t>
  </si>
  <si>
    <t>68 - 3</t>
  </si>
  <si>
    <t>Contract ID:</t>
  </si>
  <si>
    <t>Enter Project(s) &amp; Line Item(s) On 'Project Items' Tab.</t>
  </si>
  <si>
    <t>Haydon Materials @ Lebanon</t>
  </si>
  <si>
    <t>Haydon Materials @ Greensburg (Drum)</t>
  </si>
  <si>
    <t>Valley Asphalt Corporation @ Cleves, OH</t>
  </si>
  <si>
    <t xml:space="preserve">AMP060310      </t>
  </si>
  <si>
    <t>CONTACT PHONE:</t>
  </si>
  <si>
    <t>Warm Mix Asphalt Data</t>
  </si>
  <si>
    <t>WMA Process/Product</t>
  </si>
  <si>
    <t>WMA Planned Production Temp.</t>
  </si>
  <si>
    <t>WMA Additive %</t>
  </si>
  <si>
    <t>255</t>
  </si>
  <si>
    <t>256</t>
  </si>
  <si>
    <t>257</t>
  </si>
  <si>
    <t>Additive (% of Total Binder)</t>
  </si>
  <si>
    <t xml:space="preserve">American Asphalt of West Virginia @ Kenova </t>
  </si>
  <si>
    <t xml:space="preserve">AMP090107      </t>
  </si>
  <si>
    <t>Mountain Enterprises @ Olive Hill (Batch)</t>
  </si>
  <si>
    <t>AMP030310</t>
  </si>
  <si>
    <t>Charles Deweese Construction @ Franklin</t>
  </si>
  <si>
    <t>Hinkle Contracting @ Cave Run Stone</t>
  </si>
  <si>
    <t>AMP030311</t>
  </si>
  <si>
    <t>Scottys Contracting @ Bowling Green (North)</t>
  </si>
  <si>
    <t>L-G Materials @ Corbin</t>
  </si>
  <si>
    <t>L-G Materials @ Fariston</t>
  </si>
  <si>
    <t>L-G Materials @ Manchester</t>
  </si>
  <si>
    <t>L-G Materials @ McKee</t>
  </si>
  <si>
    <t>L-G Materials @ Mount Vernon</t>
  </si>
  <si>
    <t>L-G Materials @ Pittsburg</t>
  </si>
  <si>
    <t>L-G Materials @ Williamsburg</t>
  </si>
  <si>
    <t>AMP110306</t>
  </si>
  <si>
    <t>The Allen Company @ Clover Bottom</t>
  </si>
  <si>
    <t>Asphalt Materials @ Warsaw, IN</t>
  </si>
  <si>
    <t>Marathon Petroleum @ Ashland</t>
  </si>
  <si>
    <t>Marathon Petroleum @ Big Sandy</t>
  </si>
  <si>
    <t>Marathon Petroleum @ Cane Run</t>
  </si>
  <si>
    <t>Marathon Petroleum @ Knoxville, TN</t>
  </si>
  <si>
    <t>Marathon Petroleum @ Kuttawa</t>
  </si>
  <si>
    <t>Marathon Petroleum @ Mt. Vernon, IN</t>
  </si>
  <si>
    <t>Marathon Petroleum @ Nashville, TN</t>
  </si>
  <si>
    <t>Marathon Petroleum @ North Bend, OH</t>
  </si>
  <si>
    <t>Phillips 66 (Tanco) @ Jeffersonville, IN</t>
  </si>
  <si>
    <t>Phillips 66 @ Knoxville, TN</t>
  </si>
  <si>
    <t>Phillips 66 @ Wood River, IL</t>
  </si>
  <si>
    <t>% Polish-Res. Credit in RAP</t>
  </si>
  <si>
    <r>
      <t>Planned Production Temp (</t>
    </r>
    <r>
      <rPr>
        <vertAlign val="superscript"/>
        <sz val="8"/>
        <rFont val="Arial"/>
        <family val="2"/>
      </rPr>
      <t>o</t>
    </r>
    <r>
      <rPr>
        <sz val="8"/>
        <rFont val="Arial"/>
        <family val="2"/>
      </rPr>
      <t>F)</t>
    </r>
  </si>
  <si>
    <t>Product</t>
  </si>
  <si>
    <t>Hot Mix Asphalt with Additive Data</t>
  </si>
  <si>
    <t>Corr. Factor:</t>
  </si>
  <si>
    <t>Serial Number:</t>
  </si>
  <si>
    <t>&lt;=17</t>
  </si>
  <si>
    <t>18-23</t>
  </si>
  <si>
    <t>&lt;=10</t>
  </si>
  <si>
    <t>&lt;=12</t>
  </si>
  <si>
    <t>13-18</t>
  </si>
  <si>
    <t>26-30</t>
  </si>
  <si>
    <t>13-20</t>
  </si>
  <si>
    <t>11-15</t>
  </si>
  <si>
    <t>AMP040304</t>
  </si>
  <si>
    <t>Scottys Contracting @ Vine Grove</t>
  </si>
  <si>
    <t xml:space="preserve">AMP010306      </t>
  </si>
  <si>
    <t>Rogers Group @ Marion (Drum)</t>
  </si>
  <si>
    <t>AMP020308</t>
  </si>
  <si>
    <t>J H Rudolph @ Henderson</t>
  </si>
  <si>
    <t>24570EC CL3 ASPH SURF NO.4D PG64-22</t>
  </si>
  <si>
    <t>24888ED CL2 ASPH SURF NO.4B PG64-22</t>
  </si>
  <si>
    <t>24887EC CL3 ASPH SURF NO.4A PG64-22</t>
  </si>
  <si>
    <t>M352</t>
  </si>
  <si>
    <t>M353</t>
  </si>
  <si>
    <t>M354</t>
  </si>
  <si>
    <t>M355</t>
  </si>
  <si>
    <t>Sandst. #78’s Class A</t>
  </si>
  <si>
    <t>Sandst. #8’s Class A</t>
  </si>
  <si>
    <t>Sandst. #9-M’s Class A</t>
  </si>
  <si>
    <t>Sandst. #11’s Class A</t>
  </si>
  <si>
    <t>Sandst. Sand (Unwashed) Class A</t>
  </si>
  <si>
    <t>Sandst. Sand (Washed) Class A</t>
  </si>
  <si>
    <t>00326 CL3 ASPH SURF 0.50B PG76-22</t>
  </si>
  <si>
    <t>00391 CL2 ASPH SURF 0.50B PG76-22</t>
  </si>
  <si>
    <t>M356</t>
  </si>
  <si>
    <t>M357</t>
  </si>
  <si>
    <t>No. 4 A</t>
  </si>
  <si>
    <t>No. 4 B</t>
  </si>
  <si>
    <t xml:space="preserve">AMP020309     </t>
  </si>
  <si>
    <t>Louisville Paving @ Brownsboro</t>
  </si>
  <si>
    <t>WMA?</t>
  </si>
  <si>
    <t>265/245 (deg. F)</t>
  </si>
  <si>
    <t>290/275 (deg. F)</t>
  </si>
  <si>
    <t xml:space="preserve">AMP010307      </t>
  </si>
  <si>
    <t>Murray Paving @ Murray (Drum)</t>
  </si>
  <si>
    <t>Murray Paving @ Murray (Batch)</t>
  </si>
  <si>
    <t>AMP020310</t>
  </si>
  <si>
    <t>Scottys Contracting @ Madisonville ("Rocky")</t>
  </si>
  <si>
    <t>M198</t>
  </si>
  <si>
    <t>00314 CL3 ASPH SURF 0.50D PG76-22</t>
  </si>
  <si>
    <t>Depth</t>
  </si>
  <si>
    <t>85/80 (minimum)</t>
  </si>
  <si>
    <t>Quartzite #8's Class A</t>
  </si>
  <si>
    <t>Quartzite #9M's Class A</t>
  </si>
  <si>
    <t>Quartzite Sand (Unwashed) Class A</t>
  </si>
  <si>
    <t>Quartzite Sand (Washed) Class A</t>
  </si>
  <si>
    <t>Specimens Mixed:</t>
  </si>
  <si>
    <t>Specimens Oven Conditioned:</t>
  </si>
  <si>
    <t>Specimens Made:</t>
  </si>
  <si>
    <t>Specimens Bulked:</t>
  </si>
  <si>
    <t>CT Specimens in 77 °F Bath:</t>
  </si>
  <si>
    <t>CT Specimens Broken:</t>
  </si>
  <si>
    <t>Volume (cm3)</t>
  </si>
  <si>
    <t>Lab Process</t>
  </si>
  <si>
    <t>Performance Specimen Fabrication Results</t>
  </si>
  <si>
    <t>Hamburg Specimens in Bath:</t>
  </si>
  <si>
    <t>Hamburg Specimens Run:</t>
  </si>
  <si>
    <t xml:space="preserve">  850 - IDEAL-CT</t>
  </si>
  <si>
    <t>Show/Hide Formula Rows</t>
  </si>
  <si>
    <t>Project ID</t>
  </si>
  <si>
    <t>Num Points</t>
  </si>
  <si>
    <t>Peak Load</t>
  </si>
  <si>
    <t>First Row of Data</t>
  </si>
  <si>
    <t>85% Peak</t>
  </si>
  <si>
    <t>75% Peak</t>
  </si>
  <si>
    <t>65% Peak</t>
  </si>
  <si>
    <t>Rowpeak</t>
  </si>
  <si>
    <t>Row(85)</t>
  </si>
  <si>
    <t>Row(75)</t>
  </si>
  <si>
    <t>Row(65)</t>
  </si>
  <si>
    <r>
      <t>l</t>
    </r>
    <r>
      <rPr>
        <b/>
        <vertAlign val="subscript"/>
        <sz val="11"/>
        <rFont val="Arial"/>
        <family val="2"/>
      </rPr>
      <t>75</t>
    </r>
  </si>
  <si>
    <t>Series Name</t>
  </si>
  <si>
    <t>Row &lt; 0.1</t>
  </si>
  <si>
    <r>
      <t>m</t>
    </r>
    <r>
      <rPr>
        <b/>
        <vertAlign val="subscript"/>
        <sz val="11"/>
        <rFont val="Arial"/>
        <family val="2"/>
      </rPr>
      <t>75</t>
    </r>
  </si>
  <si>
    <r>
      <t>W</t>
    </r>
    <r>
      <rPr>
        <b/>
        <vertAlign val="subscript"/>
        <sz val="11"/>
        <rFont val="Arial"/>
        <family val="2"/>
      </rPr>
      <t>f</t>
    </r>
  </si>
  <si>
    <r>
      <t>G</t>
    </r>
    <r>
      <rPr>
        <b/>
        <vertAlign val="subscript"/>
        <sz val="11"/>
        <rFont val="Arial"/>
        <family val="2"/>
      </rPr>
      <t>f</t>
    </r>
  </si>
  <si>
    <r>
      <t>CT</t>
    </r>
    <r>
      <rPr>
        <b/>
        <vertAlign val="subscript"/>
        <sz val="11"/>
        <rFont val="Arial"/>
        <family val="2"/>
      </rPr>
      <t>Index</t>
    </r>
  </si>
  <si>
    <t>Sample 1 ID</t>
  </si>
  <si>
    <t>Sample 2 ID</t>
  </si>
  <si>
    <t>Sample 3 ID</t>
  </si>
  <si>
    <t>Sample 4 ID</t>
  </si>
  <si>
    <t>Sample 5 ID</t>
  </si>
  <si>
    <t>Sample 6 ID</t>
  </si>
  <si>
    <t>Sample 7 ID</t>
  </si>
  <si>
    <t>Sample 8 ID</t>
  </si>
  <si>
    <t>Temp [C]</t>
  </si>
  <si>
    <t>Air Voids</t>
  </si>
  <si>
    <t>Diameter</t>
  </si>
  <si>
    <t>Thickness</t>
  </si>
  <si>
    <t>Flow/Stability Data</t>
  </si>
  <si>
    <t>Flow (mm)</t>
  </si>
  <si>
    <t>Stability (kN)</t>
  </si>
  <si>
    <t>Flow</t>
  </si>
  <si>
    <t>Stability</t>
  </si>
  <si>
    <t>Max Scale</t>
  </si>
  <si>
    <t>Port</t>
  </si>
  <si>
    <t>COM1</t>
  </si>
  <si>
    <t>Settings</t>
  </si>
  <si>
    <t>baud=38400 parity=N data=8 stop=1</t>
  </si>
  <si>
    <t>Hamburg Wheel-Track Testing Results</t>
  </si>
  <si>
    <t>AASHTO T324</t>
  </si>
  <si>
    <t>S.I.P Criteria</t>
  </si>
  <si>
    <t>Pass Count</t>
  </si>
  <si>
    <t>Left Max</t>
  </si>
  <si>
    <t>Right Max</t>
  </si>
  <si>
    <t>Plot Count:</t>
  </si>
  <si>
    <t>Stripping Limit Depth:</t>
  </si>
  <si>
    <t>Stripping Limit Count:</t>
  </si>
  <si>
    <t>Left Creep Slope Start:</t>
  </si>
  <si>
    <t>Right Creep Slope Start:</t>
  </si>
  <si>
    <t>1 mm</t>
  </si>
  <si>
    <t>50 passes</t>
  </si>
  <si>
    <t>Left Max Rut Set Point:</t>
  </si>
  <si>
    <t>Right Max Rut Set Point:</t>
  </si>
  <si>
    <t>Max Deformation</t>
  </si>
  <si>
    <t>Pass Number</t>
  </si>
  <si>
    <t>SIP</t>
  </si>
  <si>
    <t>V1.03</t>
  </si>
  <si>
    <t>MADE WITH:</t>
  </si>
  <si>
    <t>AMP080306</t>
  </si>
  <si>
    <t>L-G Materials @ Shopville</t>
  </si>
  <si>
    <t>258</t>
  </si>
  <si>
    <t>259</t>
  </si>
  <si>
    <t>260</t>
  </si>
  <si>
    <t>261</t>
  </si>
  <si>
    <t>262</t>
  </si>
  <si>
    <t>263</t>
  </si>
  <si>
    <t>264</t>
  </si>
  <si>
    <t>Perf. Spec. Avg % Air Voids # 1</t>
  </si>
  <si>
    <t>Perf. Spec. Avg % Air Voids # 2</t>
  </si>
  <si>
    <t>Perf. Spec. Made With</t>
  </si>
  <si>
    <t>CT l75 #1</t>
  </si>
  <si>
    <t>CT Wf #1</t>
  </si>
  <si>
    <t>CT Gf #1</t>
  </si>
  <si>
    <t>CT Index #1</t>
  </si>
  <si>
    <t>CT l75 #2</t>
  </si>
  <si>
    <t>CT Wf #2</t>
  </si>
  <si>
    <t>CT Gf #2</t>
  </si>
  <si>
    <t>CT Index #2</t>
  </si>
  <si>
    <t>CT m75 #1</t>
  </si>
  <si>
    <t>CT m75 #2</t>
  </si>
  <si>
    <t>CT l75 #3</t>
  </si>
  <si>
    <t>CT m75 #3</t>
  </si>
  <si>
    <t>CT Wf #3</t>
  </si>
  <si>
    <t>CT Gf #3</t>
  </si>
  <si>
    <t>CT Index #3</t>
  </si>
  <si>
    <t>CT l75 #4</t>
  </si>
  <si>
    <t>CT m75 #4</t>
  </si>
  <si>
    <t>CT Wf #4</t>
  </si>
  <si>
    <t>CT Gf #4</t>
  </si>
  <si>
    <t>CT Index #4</t>
  </si>
  <si>
    <t>CT l75 #5</t>
  </si>
  <si>
    <t>CT m75 #5</t>
  </si>
  <si>
    <t>CT Wf #5</t>
  </si>
  <si>
    <t>CT Gf #5</t>
  </si>
  <si>
    <t>CT Index #5</t>
  </si>
  <si>
    <t>CT l75 #6</t>
  </si>
  <si>
    <t>CT m75 #6</t>
  </si>
  <si>
    <t>CT Wf #6</t>
  </si>
  <si>
    <t>CT Gf #6</t>
  </si>
  <si>
    <t>CT Index #6</t>
  </si>
  <si>
    <t>CT l75 #7</t>
  </si>
  <si>
    <t>CT m75 #7</t>
  </si>
  <si>
    <t>CT Wf #7</t>
  </si>
  <si>
    <t>CT Gf #7</t>
  </si>
  <si>
    <t>CT Index #7</t>
  </si>
  <si>
    <t>CT l75 #8</t>
  </si>
  <si>
    <t>CT m75 #8</t>
  </si>
  <si>
    <t>CT Wf #8</t>
  </si>
  <si>
    <t>CT Gf #8</t>
  </si>
  <si>
    <t>CT Index #8</t>
  </si>
  <si>
    <t>Hamburg Made With</t>
  </si>
  <si>
    <t>Hamburg Pass 100 Left Max</t>
  </si>
  <si>
    <t>Hamburg Pass 100 Right Max</t>
  </si>
  <si>
    <t>Hamburg Pass 5000 Left Max</t>
  </si>
  <si>
    <t>Hamburg Pass 5000 Right Max</t>
  </si>
  <si>
    <t>Hamburg Pass 10000 Left Max</t>
  </si>
  <si>
    <t>Hamburg Pass 10000 Right Max</t>
  </si>
  <si>
    <t>Hamburg Pass 15000 Left Max</t>
  </si>
  <si>
    <t>Hamburg Pass 15000 Right Max</t>
  </si>
  <si>
    <t>Hamburg Pass 20000 Left Max</t>
  </si>
  <si>
    <t>Hamburg Pass 20000 Right Max</t>
  </si>
  <si>
    <t>Hamburg Pass 25000 Left Max</t>
  </si>
  <si>
    <t>Hamburg Pass 25000 Right Max</t>
  </si>
  <si>
    <t>Hamburg Max Deformation Left Max</t>
  </si>
  <si>
    <t>Hamburg Max Deformation Right Max</t>
  </si>
  <si>
    <t>Hamburg Pass Number Left Max</t>
  </si>
  <si>
    <t>Hamburg Pass Number Right Max</t>
  </si>
  <si>
    <t>Hamburg SIP Left Max</t>
  </si>
  <si>
    <t>Hamburg SIP Right Max</t>
  </si>
  <si>
    <t>CT Peak Flow # 1</t>
  </si>
  <si>
    <t>CT Peak Stability # 1</t>
  </si>
  <si>
    <t>CT Peak Flow # 2</t>
  </si>
  <si>
    <t>CT Peak Stability # 2</t>
  </si>
  <si>
    <t>CT Peak Flow # 3</t>
  </si>
  <si>
    <t>CT Peak Stability # 3</t>
  </si>
  <si>
    <t>CT Peak Flow # 4</t>
  </si>
  <si>
    <t>CT Peak Stability # 4</t>
  </si>
  <si>
    <t>CT Peak Flow # 5</t>
  </si>
  <si>
    <t>CT Peak Stability # 5</t>
  </si>
  <si>
    <t>CT Peak Flow # 6</t>
  </si>
  <si>
    <t>CT Peak Stability # 6</t>
  </si>
  <si>
    <t>CT Peak Flow # 7</t>
  </si>
  <si>
    <t>CT Peak Stability # 7</t>
  </si>
  <si>
    <t>CT Peak Flow # 8</t>
  </si>
  <si>
    <t>CT Peak Stability # 8</t>
  </si>
  <si>
    <t>AMP020311</t>
  </si>
  <si>
    <t>Scottys Contracting @ Madisonville ("Rolling Thunder")</t>
  </si>
  <si>
    <t>Scottys Contracting @ Upton ("Rocky")</t>
  </si>
  <si>
    <t>AMP090109</t>
  </si>
  <si>
    <t>Freedom Asphalt @ Owingsville, KY</t>
  </si>
  <si>
    <t>AMP050313</t>
  </si>
  <si>
    <t>Hall Contracting @ Charlestown, IN</t>
  </si>
  <si>
    <t>Scottys Contracting @ Greenville</t>
  </si>
  <si>
    <t>25077EC CL4 ASPH SURF NO.4A PG64-22</t>
  </si>
  <si>
    <t>M361</t>
  </si>
  <si>
    <t>E &amp; B Paving @ Corydon Indiana</t>
  </si>
  <si>
    <t>E &amp; B Paving @ Sellersburg Indiana</t>
  </si>
  <si>
    <t>AMPMP0301</t>
  </si>
  <si>
    <t>HCC Mobile Plant 1</t>
  </si>
  <si>
    <t>AMP050312</t>
  </si>
  <si>
    <t>Asphalt Supply Co @ Sellersburg, IN</t>
  </si>
  <si>
    <t>AMP090304</t>
  </si>
  <si>
    <t>Mountain Enterprises @ Olive Hill (Drum)</t>
  </si>
  <si>
    <t>AMP030312</t>
  </si>
  <si>
    <t>Rogers Group @ Cross Plains, TN</t>
  </si>
  <si>
    <t>AMP010201</t>
  </si>
  <si>
    <t>Central Paving Co. @ Paducah</t>
  </si>
  <si>
    <t>AMP060311</t>
  </si>
  <si>
    <t>Valley Asphalt Corporation - Mehring Way @ Cincinnati, OH</t>
  </si>
  <si>
    <t>Performance Approval</t>
  </si>
  <si>
    <t>KYTC Rep</t>
  </si>
  <si>
    <t>CT Index AVG</t>
  </si>
  <si>
    <t>Performance Approved Until</t>
  </si>
  <si>
    <t>Mixture's Bid Item</t>
  </si>
  <si>
    <t>Appropriate Virgin Asphalt Binder</t>
  </si>
  <si>
    <t>0-20% RAP</t>
  </si>
  <si>
    <t>21-30% RAP</t>
  </si>
  <si>
    <t>31-35% RAP</t>
  </si>
  <si>
    <t>Surface</t>
  </si>
  <si>
    <t xml:space="preserve"> --</t>
  </si>
  <si>
    <t>Base</t>
  </si>
  <si>
    <r>
      <t>21-30% RAP</t>
    </r>
    <r>
      <rPr>
        <i/>
        <vertAlign val="superscript"/>
        <sz val="10"/>
        <rFont val="Arial"/>
        <family val="2"/>
      </rPr>
      <t>1</t>
    </r>
  </si>
  <si>
    <r>
      <t>31-35% RAP</t>
    </r>
    <r>
      <rPr>
        <i/>
        <vertAlign val="superscript"/>
        <sz val="10"/>
        <rFont val="Arial"/>
        <family val="2"/>
      </rPr>
      <t>1</t>
    </r>
  </si>
  <si>
    <r>
      <rPr>
        <i/>
        <vertAlign val="superscript"/>
        <sz val="10"/>
        <rFont val="Arial"/>
        <family val="2"/>
      </rPr>
      <t>1</t>
    </r>
    <r>
      <rPr>
        <i/>
        <sz val="10"/>
        <rFont val="Arial"/>
        <family val="2"/>
      </rPr>
      <t>Must supplement with an approved Anti-Stripping Agent.</t>
    </r>
  </si>
  <si>
    <t>MixType</t>
  </si>
  <si>
    <t>PG</t>
  </si>
  <si>
    <t>MinRAP</t>
  </si>
  <si>
    <t>MaxRAP</t>
  </si>
  <si>
    <t>Result</t>
  </si>
  <si>
    <t>SURF</t>
  </si>
  <si>
    <t>76-22</t>
  </si>
  <si>
    <t>64-22</t>
  </si>
  <si>
    <t>BASE</t>
  </si>
  <si>
    <t>Use PG 76-22 virgin binder</t>
  </si>
  <si>
    <t>Use PG 64-22 virgin binder</t>
  </si>
  <si>
    <t>Use PG 58-28 virgin binder</t>
  </si>
  <si>
    <t>SECTION 409 - ASPHALT MIXTURES USING RECLAIMED MATERIALS</t>
  </si>
  <si>
    <t>Use PG 76-22 virgin binder with approved Anti-Stripping Agent</t>
  </si>
  <si>
    <t>Use PG 64-22 virgin binder with approved Anti-Stripping Agent</t>
  </si>
  <si>
    <t>Not permissible per 409.03.02 A</t>
  </si>
  <si>
    <t>January 2026</t>
  </si>
  <si>
    <t>Ver 12.1</t>
  </si>
  <si>
    <t>Use PG 58-28 virgin binder with supplementation of an approved Anti-Stripping Agent</t>
  </si>
  <si>
    <t>Cleary Construction @ Park City</t>
  </si>
  <si>
    <t>AMP040312</t>
  </si>
  <si>
    <t>C &amp; R Construction @ Corydon, IN</t>
  </si>
  <si>
    <t>Mountain Enterprises @ Baxter</t>
  </si>
  <si>
    <t xml:space="preserve">AMP110308        </t>
  </si>
  <si>
    <t xml:space="preserve">AMP100304      </t>
  </si>
  <si>
    <t>Hinkle Contracting @ Bowen #2</t>
  </si>
  <si>
    <t>AMP110307</t>
  </si>
  <si>
    <t>Bizzack Construction @ Castlewood, VA</t>
  </si>
  <si>
    <t>Len Riegler Blacktop @ Wilder</t>
  </si>
  <si>
    <t xml:space="preserve">AMP060312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</si>
</sst>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0.000"/>
    <numFmt numFmtId="166" formatCode="0000.0"/>
    <numFmt numFmtId="167" formatCode="000.0"/>
    <numFmt numFmtId="168" formatCode="mmmm\ d\,\ yyyy"/>
    <numFmt numFmtId="169" formatCode=";;;"/>
    <numFmt numFmtId="170" formatCode="m/d/yy;@"/>
    <numFmt numFmtId="171" formatCode="000000"/>
    <numFmt numFmtId="172" formatCode="mm/dd/yy;@"/>
    <numFmt numFmtId="173" formatCode="00000000"/>
    <numFmt numFmtId="174" formatCode="0.0%"/>
    <numFmt numFmtId="175" formatCode="0.0000"/>
  </numFmts>
  <fonts count="120" x14ac:knownFonts="1">
    <font>
      <sz val="10"/>
      <name val="Arial"/>
    </font>
    <font>
      <b/>
      <sz val="10"/>
      <name val="Arial"/>
      <family val="2"/>
    </font>
    <font>
      <sz val="10"/>
      <name val="Arial"/>
      <family val="2"/>
    </font>
    <font>
      <sz val="10"/>
      <name val="MS Sans Serif"/>
      <family val="2"/>
    </font>
    <font>
      <sz val="10"/>
      <name val="Helv"/>
    </font>
    <font>
      <b/>
      <sz val="8"/>
      <name val="MS Sans Serif"/>
      <family val="2"/>
    </font>
    <font>
      <sz val="8"/>
      <name val="Arial"/>
      <family val="2"/>
    </font>
    <font>
      <sz val="10"/>
      <name val="Arial"/>
      <family val="2"/>
    </font>
    <font>
      <b/>
      <u/>
      <sz val="10"/>
      <name val="Arial"/>
      <family val="2"/>
    </font>
    <font>
      <b/>
      <sz val="10"/>
      <name val="Arial"/>
      <family val="2"/>
    </font>
    <font>
      <b/>
      <sz val="11"/>
      <name val="Arial"/>
      <family val="2"/>
    </font>
    <font>
      <b/>
      <u/>
      <sz val="8"/>
      <name val="Arial"/>
      <family val="2"/>
    </font>
    <font>
      <b/>
      <sz val="8"/>
      <name val="Arial"/>
      <family val="2"/>
    </font>
    <font>
      <vertAlign val="subscript"/>
      <sz val="8"/>
      <name val="Arial"/>
      <family val="2"/>
    </font>
    <font>
      <b/>
      <u/>
      <sz val="11"/>
      <name val="Arial"/>
      <family val="2"/>
    </font>
    <font>
      <u/>
      <sz val="8"/>
      <name val="Arial"/>
      <family val="2"/>
    </font>
    <font>
      <sz val="8"/>
      <name val="Arial"/>
      <family val="2"/>
    </font>
    <font>
      <b/>
      <vertAlign val="subscript"/>
      <sz val="8"/>
      <name val="Arial"/>
      <family val="2"/>
    </font>
    <font>
      <sz val="8"/>
      <color indexed="8"/>
      <name val="Arial"/>
      <family val="2"/>
    </font>
    <font>
      <vertAlign val="superscript"/>
      <sz val="8"/>
      <name val="Arial"/>
      <family val="2"/>
    </font>
    <font>
      <b/>
      <sz val="10"/>
      <name val="MS Sans Serif"/>
      <family val="2"/>
    </font>
    <font>
      <sz val="10"/>
      <name val="MS Sans Serif"/>
      <family val="2"/>
    </font>
    <font>
      <u/>
      <sz val="10"/>
      <name val="MS Sans Serif"/>
      <family val="2"/>
    </font>
    <font>
      <b/>
      <sz val="10"/>
      <name val="MS Sans Serif"/>
      <family val="2"/>
    </font>
    <font>
      <b/>
      <u/>
      <sz val="10"/>
      <name val="MS Sans Serif"/>
      <family val="2"/>
    </font>
    <font>
      <b/>
      <sz val="8"/>
      <name val="Arial"/>
      <family val="2"/>
    </font>
    <font>
      <b/>
      <sz val="10"/>
      <color indexed="8"/>
      <name val="Arial"/>
      <family val="2"/>
    </font>
    <font>
      <sz val="8"/>
      <name val="MS Sans Serif"/>
      <family val="2"/>
    </font>
    <font>
      <b/>
      <vertAlign val="subscript"/>
      <sz val="6.8"/>
      <name val="Arial"/>
      <family val="2"/>
    </font>
    <font>
      <vertAlign val="subscript"/>
      <sz val="6.8"/>
      <name val="Arial"/>
      <family val="2"/>
    </font>
    <font>
      <b/>
      <sz val="6.8"/>
      <name val="Arial"/>
      <family val="2"/>
    </font>
    <font>
      <vertAlign val="subscript"/>
      <sz val="8.5"/>
      <name val="MS Sans Serif"/>
      <family val="2"/>
    </font>
    <font>
      <b/>
      <u/>
      <vertAlign val="subscript"/>
      <sz val="8.5"/>
      <name val="MS Sans Serif"/>
      <family val="2"/>
    </font>
    <font>
      <vertAlign val="superscript"/>
      <sz val="6.8"/>
      <name val="Arial"/>
      <family val="2"/>
    </font>
    <font>
      <sz val="10"/>
      <color indexed="8"/>
      <name val="Arial"/>
      <family val="2"/>
    </font>
    <font>
      <sz val="8"/>
      <color indexed="8"/>
      <name val="MS Sans Serif"/>
      <family val="2"/>
    </font>
    <font>
      <sz val="8"/>
      <name val="MS Sans Serif"/>
      <family val="2"/>
    </font>
    <font>
      <vertAlign val="superscript"/>
      <sz val="7"/>
      <name val="Arial"/>
      <family val="2"/>
    </font>
    <font>
      <b/>
      <vertAlign val="superscript"/>
      <sz val="10"/>
      <name val="Arial"/>
      <family val="2"/>
    </font>
    <font>
      <b/>
      <sz val="10.5"/>
      <color indexed="0"/>
      <name val="Arial"/>
      <family val="2"/>
    </font>
    <font>
      <b/>
      <sz val="7.5"/>
      <color indexed="0"/>
      <name val="Arial"/>
      <family val="2"/>
    </font>
    <font>
      <b/>
      <u/>
      <sz val="10.5"/>
      <color indexed="8"/>
      <name val="Arial"/>
      <family val="2"/>
    </font>
    <font>
      <b/>
      <sz val="12"/>
      <color indexed="8"/>
      <name val="Arial"/>
      <family val="2"/>
    </font>
    <font>
      <sz val="10"/>
      <color indexed="8"/>
      <name val="Arial"/>
      <family val="2"/>
    </font>
    <font>
      <b/>
      <sz val="8"/>
      <color indexed="8"/>
      <name val="Arial"/>
      <family val="2"/>
    </font>
    <font>
      <b/>
      <sz val="12"/>
      <name val="MS Sans Serif"/>
      <family val="2"/>
    </font>
    <font>
      <vertAlign val="subscript"/>
      <sz val="10"/>
      <name val="MS Sans Serif"/>
      <family val="2"/>
    </font>
    <font>
      <vertAlign val="superscript"/>
      <sz val="10"/>
      <name val="MS Sans Serif"/>
      <family val="2"/>
    </font>
    <font>
      <vertAlign val="superscript"/>
      <sz val="8"/>
      <name val="MS Sans Serif"/>
      <family val="2"/>
    </font>
    <font>
      <sz val="6.8"/>
      <name val="Arial"/>
      <family val="2"/>
    </font>
    <font>
      <b/>
      <vertAlign val="subscript"/>
      <sz val="12"/>
      <name val="MS Sans Serif"/>
      <family val="2"/>
    </font>
    <font>
      <b/>
      <sz val="12"/>
      <name val="Arial"/>
      <family val="2"/>
    </font>
    <font>
      <b/>
      <u/>
      <sz val="8"/>
      <name val="Arial"/>
      <family val="2"/>
    </font>
    <font>
      <b/>
      <sz val="7"/>
      <color indexed="10"/>
      <name val="Arial"/>
      <family val="2"/>
    </font>
    <font>
      <b/>
      <sz val="10"/>
      <color indexed="10"/>
      <name val="MS Sans Serif"/>
      <family val="2"/>
    </font>
    <font>
      <sz val="10"/>
      <color indexed="10"/>
      <name val="MS Sans Serif"/>
      <family val="2"/>
    </font>
    <font>
      <b/>
      <sz val="10"/>
      <color indexed="10"/>
      <name val="MS Sans Serif"/>
      <family val="2"/>
    </font>
    <font>
      <b/>
      <sz val="10"/>
      <color indexed="10"/>
      <name val="Arial"/>
      <family val="2"/>
    </font>
    <font>
      <b/>
      <sz val="8"/>
      <color indexed="81"/>
      <name val="Tahoma"/>
      <family val="2"/>
    </font>
    <font>
      <sz val="8"/>
      <color indexed="81"/>
      <name val="Tahoma"/>
      <family val="2"/>
    </font>
    <font>
      <vertAlign val="subscript"/>
      <sz val="8"/>
      <name val="MS Sans Serif"/>
      <family val="2"/>
    </font>
    <font>
      <vertAlign val="superscript"/>
      <sz val="7"/>
      <name val="Helv"/>
    </font>
    <font>
      <sz val="10"/>
      <color indexed="10"/>
      <name val="Arial"/>
      <family val="2"/>
    </font>
    <font>
      <sz val="10"/>
      <name val="Arial"/>
      <family val="2"/>
    </font>
    <font>
      <b/>
      <sz val="10"/>
      <color indexed="12"/>
      <name val="Arial"/>
      <family val="2"/>
    </font>
    <font>
      <sz val="10"/>
      <name val="Arial"/>
      <family val="2"/>
    </font>
    <font>
      <vertAlign val="subscript"/>
      <sz val="10"/>
      <name val="Arial"/>
      <family val="2"/>
    </font>
    <font>
      <vertAlign val="superscript"/>
      <sz val="10"/>
      <name val="Arial"/>
      <family val="2"/>
    </font>
    <font>
      <sz val="10"/>
      <name val="Arial"/>
      <family val="2"/>
    </font>
    <font>
      <b/>
      <sz val="10"/>
      <name val="Helv"/>
    </font>
    <font>
      <sz val="10"/>
      <name val="Arial"/>
      <family val="2"/>
    </font>
    <font>
      <vertAlign val="subscript"/>
      <sz val="7"/>
      <name val="Arial"/>
      <family val="2"/>
    </font>
    <font>
      <b/>
      <i/>
      <sz val="10"/>
      <name val="Arial"/>
      <family val="2"/>
    </font>
    <font>
      <sz val="9"/>
      <name val="Arial"/>
      <family val="2"/>
    </font>
    <font>
      <u/>
      <sz val="9"/>
      <name val="Arial"/>
      <family val="2"/>
    </font>
    <font>
      <sz val="10"/>
      <color indexed="10"/>
      <name val="Arial"/>
      <family val="2"/>
    </font>
    <font>
      <sz val="9"/>
      <color indexed="10"/>
      <name val="Arial"/>
      <family val="2"/>
    </font>
    <font>
      <b/>
      <sz val="9"/>
      <color indexed="10"/>
      <name val="Arial"/>
      <family val="2"/>
    </font>
    <font>
      <b/>
      <sz val="9"/>
      <name val="Arial"/>
      <family val="2"/>
    </font>
    <font>
      <sz val="10"/>
      <color indexed="12"/>
      <name val="Arial"/>
      <family val="2"/>
    </font>
    <font>
      <b/>
      <sz val="10"/>
      <color indexed="81"/>
      <name val="Tahoma"/>
      <family val="2"/>
    </font>
    <font>
      <sz val="10"/>
      <color indexed="81"/>
      <name val="Tahoma"/>
      <family val="2"/>
    </font>
    <font>
      <sz val="9"/>
      <name val="Times New Roman"/>
      <family val="1"/>
    </font>
    <font>
      <b/>
      <sz val="9"/>
      <color indexed="12"/>
      <name val="Arial"/>
      <family val="2"/>
    </font>
    <font>
      <sz val="12"/>
      <color indexed="81"/>
      <name val="Tahoma"/>
      <family val="2"/>
    </font>
    <font>
      <sz val="10"/>
      <color indexed="43"/>
      <name val="Arial"/>
      <family val="2"/>
    </font>
    <font>
      <sz val="10"/>
      <color indexed="10"/>
      <name val="MS Sans Serif"/>
      <family val="2"/>
    </font>
    <font>
      <b/>
      <u/>
      <sz val="8"/>
      <name val="MS Sans Serif"/>
      <family val="2"/>
    </font>
    <font>
      <u/>
      <sz val="8"/>
      <name val="MS Sans Serif"/>
      <family val="2"/>
    </font>
    <font>
      <sz val="10"/>
      <name val="Symbol"/>
      <family val="1"/>
      <charset val="2"/>
    </font>
    <font>
      <b/>
      <u/>
      <sz val="8"/>
      <color indexed="10"/>
      <name val="Arial"/>
      <family val="2"/>
    </font>
    <font>
      <sz val="8"/>
      <color indexed="10"/>
      <name val="Arial"/>
      <family val="2"/>
    </font>
    <font>
      <sz val="10"/>
      <color indexed="10"/>
      <name val="MS Sans Serif"/>
      <family val="2"/>
    </font>
    <font>
      <sz val="8"/>
      <name val="Arial"/>
      <family val="2"/>
    </font>
    <font>
      <sz val="10"/>
      <color rgb="FFFF0000"/>
      <name val="Arial"/>
      <family val="2"/>
    </font>
    <font>
      <b/>
      <sz val="8"/>
      <color rgb="FFFF0000"/>
      <name val="Arial"/>
      <family val="2"/>
    </font>
    <font>
      <sz val="8"/>
      <color rgb="FFFF0000"/>
      <name val="Arial"/>
      <family val="2"/>
    </font>
    <font>
      <sz val="8"/>
      <color rgb="FF000000"/>
      <name val="Tahoma"/>
      <family val="2"/>
    </font>
    <font>
      <sz val="10"/>
      <color rgb="FF000000"/>
      <name val="Arial"/>
      <family val="2"/>
    </font>
    <font>
      <sz val="10"/>
      <color theme="1"/>
      <name val="Arial"/>
      <family val="2"/>
    </font>
    <font>
      <sz val="14"/>
      <color theme="0"/>
      <name val="Arial"/>
      <family val="2"/>
    </font>
    <font>
      <b/>
      <sz val="14"/>
      <color theme="0"/>
      <name val="Arial"/>
      <family val="2"/>
    </font>
    <font>
      <sz val="10"/>
      <color theme="0"/>
      <name val="Arial"/>
      <family val="2"/>
    </font>
    <font>
      <b/>
      <sz val="16"/>
      <name val="Arial"/>
      <family val="2"/>
    </font>
    <font>
      <b/>
      <sz val="14"/>
      <name val="Arial"/>
      <family val="2"/>
    </font>
    <font>
      <u/>
      <sz val="10"/>
      <color rgb="FF0000FF"/>
      <name val="Arial"/>
      <family val="2"/>
    </font>
    <font>
      <sz val="10"/>
      <color rgb="FF99CCFF"/>
      <name val="Arial"/>
      <family val="2"/>
    </font>
    <font>
      <b/>
      <sz val="10"/>
      <color theme="1"/>
      <name val="Arial"/>
      <family val="2"/>
    </font>
    <font>
      <b/>
      <sz val="12"/>
      <color theme="1"/>
      <name val="Arial"/>
      <family val="2"/>
    </font>
    <font>
      <b/>
      <sz val="12"/>
      <color rgb="FF0000FF"/>
      <name val="Arial"/>
      <family val="2"/>
    </font>
    <font>
      <b/>
      <sz val="11"/>
      <color rgb="FFC00000"/>
      <name val="Arial"/>
      <family val="2"/>
    </font>
    <font>
      <b/>
      <sz val="10"/>
      <color rgb="FF0000FF"/>
      <name val="Arial"/>
      <family val="2"/>
    </font>
    <font>
      <b/>
      <sz val="10"/>
      <color theme="0"/>
      <name val="Arial"/>
      <family val="2"/>
    </font>
    <font>
      <b/>
      <sz val="10"/>
      <color rgb="FFC00000"/>
      <name val="Arial"/>
      <family val="2"/>
    </font>
    <font>
      <b/>
      <vertAlign val="subscript"/>
      <sz val="11"/>
      <name val="Arial"/>
      <family val="2"/>
    </font>
    <font>
      <b/>
      <sz val="12"/>
      <color theme="0"/>
      <name val="Arial"/>
      <family val="2"/>
    </font>
    <font>
      <b/>
      <sz val="9"/>
      <color indexed="81"/>
      <name val="Tahoma"/>
      <family val="2"/>
    </font>
    <font>
      <b/>
      <sz val="11"/>
      <color indexed="81"/>
      <name val="Tahoma"/>
      <family val="2"/>
    </font>
    <font>
      <i/>
      <sz val="10"/>
      <name val="Arial"/>
      <family val="2"/>
    </font>
    <font>
      <i/>
      <vertAlign val="superscript"/>
      <sz val="10"/>
      <name val="Arial"/>
      <family val="2"/>
    </font>
  </fonts>
  <fills count="31">
    <fill>
      <patternFill patternType="none"/>
    </fill>
    <fill>
      <patternFill patternType="gray125"/>
    </fill>
    <fill>
      <patternFill patternType="gray0625"/>
    </fill>
    <fill>
      <patternFill patternType="solid">
        <fgColor indexed="26"/>
        <bgColor indexed="64"/>
      </patternFill>
    </fill>
    <fill>
      <patternFill patternType="solid">
        <fgColor indexed="9"/>
        <bgColor indexed="64"/>
      </patternFill>
    </fill>
    <fill>
      <patternFill patternType="solid">
        <fgColor indexed="8"/>
        <bgColor indexed="64"/>
      </patternFill>
    </fill>
    <fill>
      <patternFill patternType="solid">
        <fgColor indexed="22"/>
        <bgColor indexed="64"/>
      </patternFill>
    </fill>
    <fill>
      <patternFill patternType="solid">
        <fgColor indexed="45"/>
        <bgColor indexed="64"/>
      </patternFill>
    </fill>
    <fill>
      <patternFill patternType="solid">
        <fgColor indexed="43"/>
        <bgColor indexed="64"/>
      </patternFill>
    </fill>
    <fill>
      <patternFill patternType="solid">
        <fgColor indexed="13"/>
        <bgColor indexed="64"/>
      </patternFill>
    </fill>
    <fill>
      <patternFill patternType="solid">
        <fgColor indexed="11"/>
        <bgColor indexed="64"/>
      </patternFill>
    </fill>
    <fill>
      <patternFill patternType="solid">
        <fgColor indexed="44"/>
        <bgColor indexed="64"/>
      </patternFill>
    </fill>
    <fill>
      <patternFill patternType="solid">
        <fgColor indexed="48"/>
        <bgColor indexed="64"/>
      </patternFill>
    </fill>
    <fill>
      <patternFill patternType="solid">
        <fgColor indexed="14"/>
        <bgColor indexed="64"/>
      </patternFill>
    </fill>
    <fill>
      <patternFill patternType="solid">
        <fgColor indexed="53"/>
        <bgColor indexed="64"/>
      </patternFill>
    </fill>
    <fill>
      <patternFill patternType="solid">
        <fgColor indexed="46"/>
        <bgColor indexed="64"/>
      </patternFill>
    </fill>
    <fill>
      <patternFill patternType="solid">
        <fgColor indexed="42"/>
        <bgColor indexed="64"/>
      </patternFill>
    </fill>
    <fill>
      <patternFill patternType="solid">
        <fgColor indexed="42"/>
        <bgColor indexed="60"/>
      </patternFill>
    </fill>
    <fill>
      <patternFill patternType="solid">
        <fgColor indexed="9"/>
      </patternFill>
    </fill>
    <fill>
      <patternFill patternType="lightUp">
        <bgColor indexed="43"/>
      </patternFill>
    </fill>
    <fill>
      <patternFill patternType="solid">
        <fgColor rgb="FFFFFFFF"/>
        <bgColor indexed="64"/>
      </patternFill>
    </fill>
    <fill>
      <patternFill patternType="solid">
        <fgColor rgb="FFFFFF00"/>
        <bgColor indexed="64"/>
      </patternFill>
    </fill>
    <fill>
      <patternFill patternType="solid">
        <fgColor rgb="FFFFFFCC"/>
        <bgColor indexed="64"/>
      </patternFill>
    </fill>
    <fill>
      <patternFill patternType="solid">
        <fgColor rgb="FF008080"/>
        <bgColor indexed="64"/>
      </patternFill>
    </fill>
    <fill>
      <patternFill patternType="solid">
        <fgColor rgb="FFCCFFFF"/>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FFFF99"/>
        <bgColor indexed="64"/>
      </patternFill>
    </fill>
    <fill>
      <patternFill patternType="solid">
        <fgColor theme="0" tint="-4.9989318521683403E-2"/>
        <bgColor indexed="64"/>
      </patternFill>
    </fill>
    <fill>
      <patternFill patternType="solid">
        <fgColor rgb="FFA6A6A6"/>
        <bgColor rgb="FF000000"/>
      </patternFill>
    </fill>
  </fills>
  <borders count="142">
    <border>
      <left/>
      <right/>
      <top/>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style="thin">
        <color indexed="64"/>
      </right>
      <top/>
      <bottom style="double">
        <color indexed="64"/>
      </bottom>
      <diagonal/>
    </border>
    <border>
      <left/>
      <right style="thin">
        <color indexed="64"/>
      </right>
      <top style="double">
        <color indexed="64"/>
      </top>
      <bottom/>
      <diagonal/>
    </border>
    <border>
      <left/>
      <right style="thin">
        <color indexed="64"/>
      </right>
      <top style="double">
        <color indexed="64"/>
      </top>
      <bottom style="thin">
        <color indexed="64"/>
      </bottom>
      <diagonal/>
    </border>
    <border>
      <left style="double">
        <color indexed="64"/>
      </left>
      <right style="thin">
        <color indexed="64"/>
      </right>
      <top style="double">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thin">
        <color indexed="64"/>
      </top>
      <bottom style="double">
        <color indexed="64"/>
      </bottom>
      <diagonal/>
    </border>
    <border>
      <left/>
      <right style="double">
        <color indexed="64"/>
      </right>
      <top style="double">
        <color indexed="64"/>
      </top>
      <bottom/>
      <diagonal/>
    </border>
    <border>
      <left/>
      <right style="double">
        <color indexed="64"/>
      </right>
      <top/>
      <bottom style="double">
        <color indexed="64"/>
      </bottom>
      <diagonal/>
    </border>
    <border>
      <left/>
      <right/>
      <top style="double">
        <color indexed="64"/>
      </top>
      <bottom style="thin">
        <color indexed="64"/>
      </bottom>
      <diagonal/>
    </border>
    <border>
      <left/>
      <right/>
      <top style="double">
        <color indexed="64"/>
      </top>
      <bottom/>
      <diagonal/>
    </border>
    <border>
      <left style="double">
        <color indexed="64"/>
      </left>
      <right/>
      <top/>
      <bottom/>
      <diagonal/>
    </border>
    <border>
      <left/>
      <right/>
      <top/>
      <bottom style="double">
        <color indexed="64"/>
      </bottom>
      <diagonal/>
    </border>
    <border>
      <left style="double">
        <color indexed="64"/>
      </left>
      <right/>
      <top/>
      <bottom style="thin">
        <color indexed="64"/>
      </bottom>
      <diagonal/>
    </border>
    <border>
      <left style="thin">
        <color indexed="64"/>
      </left>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top/>
      <bottom style="double">
        <color indexed="64"/>
      </bottom>
      <diagonal/>
    </border>
    <border>
      <left style="double">
        <color indexed="64"/>
      </left>
      <right/>
      <top style="double">
        <color indexed="64"/>
      </top>
      <bottom/>
      <diagonal/>
    </border>
    <border>
      <left/>
      <right style="double">
        <color indexed="64"/>
      </right>
      <top/>
      <bottom/>
      <diagonal/>
    </border>
    <border>
      <left style="double">
        <color indexed="64"/>
      </left>
      <right/>
      <top style="double">
        <color indexed="64"/>
      </top>
      <bottom style="double">
        <color indexed="64"/>
      </bottom>
      <diagonal/>
    </border>
    <border>
      <left/>
      <right style="thin">
        <color indexed="64"/>
      </right>
      <top style="double">
        <color indexed="64"/>
      </top>
      <bottom style="double">
        <color indexed="64"/>
      </bottom>
      <diagonal/>
    </border>
    <border>
      <left/>
      <right/>
      <top style="double">
        <color indexed="64"/>
      </top>
      <bottom style="double">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double">
        <color indexed="64"/>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style="double">
        <color indexed="64"/>
      </top>
      <bottom style="thin">
        <color indexed="64"/>
      </bottom>
      <diagonal/>
    </border>
    <border>
      <left style="double">
        <color indexed="64"/>
      </left>
      <right style="thin">
        <color indexed="64"/>
      </right>
      <top style="thin">
        <color indexed="64"/>
      </top>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thin">
        <color indexed="64"/>
      </bottom>
      <diagonal/>
    </border>
    <border>
      <left style="thin">
        <color indexed="64"/>
      </left>
      <right style="double">
        <color indexed="64"/>
      </right>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medium">
        <color indexed="64"/>
      </left>
      <right style="medium">
        <color indexed="64"/>
      </right>
      <top style="double">
        <color indexed="64"/>
      </top>
      <bottom style="double">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double">
        <color indexed="64"/>
      </right>
      <top/>
      <bottom style="double">
        <color indexed="64"/>
      </bottom>
      <diagonal/>
    </border>
    <border>
      <left style="thin">
        <color indexed="64"/>
      </left>
      <right style="double">
        <color indexed="64"/>
      </right>
      <top style="double">
        <color indexed="64"/>
      </top>
      <bottom/>
      <diagonal/>
    </border>
    <border>
      <left style="thin">
        <color indexed="64"/>
      </left>
      <right style="double">
        <color indexed="64"/>
      </right>
      <top/>
      <bottom/>
      <diagonal/>
    </border>
    <border>
      <left style="thin">
        <color indexed="64"/>
      </left>
      <right style="thin">
        <color indexed="64"/>
      </right>
      <top style="double">
        <color indexed="64"/>
      </top>
      <bottom/>
      <diagonal/>
    </border>
    <border>
      <left style="double">
        <color indexed="64"/>
      </left>
      <right style="double">
        <color indexed="64"/>
      </right>
      <top style="double">
        <color indexed="64"/>
      </top>
      <bottom style="thin">
        <color indexed="64"/>
      </bottom>
      <diagonal/>
    </border>
    <border>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diagonal/>
    </border>
    <border>
      <left/>
      <right style="thin">
        <color indexed="64"/>
      </right>
      <top style="thin">
        <color indexed="64"/>
      </top>
      <bottom/>
      <diagonal/>
    </border>
    <border>
      <left/>
      <right style="double">
        <color indexed="64"/>
      </right>
      <top style="thin">
        <color indexed="64"/>
      </top>
      <bottom/>
      <diagonal/>
    </border>
    <border>
      <left/>
      <right style="thin">
        <color indexed="64"/>
      </right>
      <top style="thin">
        <color indexed="64"/>
      </top>
      <bottom style="double">
        <color indexed="64"/>
      </bottom>
      <diagonal/>
    </border>
    <border>
      <left/>
      <right style="double">
        <color indexed="64"/>
      </right>
      <top style="thin">
        <color indexed="64"/>
      </top>
      <bottom style="double">
        <color indexed="64"/>
      </bottom>
      <diagonal/>
    </border>
    <border>
      <left style="double">
        <color indexed="64"/>
      </left>
      <right style="double">
        <color indexed="64"/>
      </right>
      <top style="thin">
        <color indexed="64"/>
      </top>
      <bottom style="double">
        <color indexed="64"/>
      </bottom>
      <diagonal/>
    </border>
    <border>
      <left style="thick">
        <color indexed="64"/>
      </left>
      <right style="thin">
        <color indexed="64"/>
      </right>
      <top style="thin">
        <color indexed="64"/>
      </top>
      <bottom style="double">
        <color indexed="64"/>
      </bottom>
      <diagonal/>
    </border>
    <border>
      <left/>
      <right style="thick">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thin">
        <color indexed="64"/>
      </left>
      <right style="double">
        <color indexed="64"/>
      </right>
      <top style="double">
        <color indexed="64"/>
      </top>
      <bottom style="double">
        <color indexed="64"/>
      </bottom>
      <diagonal/>
    </border>
    <border>
      <left style="double">
        <color indexed="64"/>
      </left>
      <right/>
      <top style="double">
        <color indexed="64"/>
      </top>
      <bottom style="medium">
        <color indexed="64"/>
      </bottom>
      <diagonal/>
    </border>
    <border>
      <left/>
      <right/>
      <top style="double">
        <color indexed="64"/>
      </top>
      <bottom style="medium">
        <color indexed="64"/>
      </bottom>
      <diagonal/>
    </border>
    <border>
      <left/>
      <right style="double">
        <color indexed="64"/>
      </right>
      <top style="double">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8"/>
      </left>
      <right style="thin">
        <color indexed="8"/>
      </right>
      <top style="thin">
        <color indexed="8"/>
      </top>
      <bottom style="thin">
        <color indexed="8"/>
      </bottom>
      <diagonal/>
    </border>
    <border>
      <left style="thin">
        <color indexed="64"/>
      </left>
      <right/>
      <top style="thin">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top style="thin">
        <color indexed="64"/>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double">
        <color indexed="64"/>
      </left>
      <right/>
      <top style="thin">
        <color indexed="64"/>
      </top>
      <bottom style="double">
        <color indexed="64"/>
      </bottom>
      <diagonal/>
    </border>
    <border>
      <left style="medium">
        <color indexed="64"/>
      </left>
      <right/>
      <top style="thin">
        <color indexed="64"/>
      </top>
      <bottom style="thin">
        <color indexed="64"/>
      </bottom>
      <diagonal/>
    </border>
    <border>
      <left style="double">
        <color indexed="64"/>
      </left>
      <right/>
      <top style="thin">
        <color indexed="64"/>
      </top>
      <bottom/>
      <diagonal/>
    </border>
    <border>
      <left/>
      <right/>
      <top style="thin">
        <color indexed="64"/>
      </top>
      <bottom/>
      <diagonal/>
    </border>
    <border>
      <left style="double">
        <color indexed="64"/>
      </left>
      <right/>
      <top style="medium">
        <color indexed="64"/>
      </top>
      <bottom style="double">
        <color indexed="64"/>
      </bottom>
      <diagonal/>
    </border>
    <border>
      <left/>
      <right/>
      <top style="medium">
        <color indexed="64"/>
      </top>
      <bottom style="double">
        <color indexed="64"/>
      </bottom>
      <diagonal/>
    </border>
    <border>
      <left/>
      <right style="double">
        <color indexed="64"/>
      </right>
      <top style="medium">
        <color indexed="64"/>
      </top>
      <bottom style="double">
        <color indexed="64"/>
      </bottom>
      <diagonal/>
    </border>
    <border>
      <left style="medium">
        <color indexed="64"/>
      </left>
      <right/>
      <top style="double">
        <color indexed="64"/>
      </top>
      <bottom style="thin">
        <color indexed="64"/>
      </bottom>
      <diagonal/>
    </border>
    <border>
      <left style="medium">
        <color indexed="64"/>
      </left>
      <right/>
      <top style="double">
        <color indexed="64"/>
      </top>
      <bottom style="double">
        <color indexed="64"/>
      </bottom>
      <diagonal/>
    </border>
    <border>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double">
        <color indexed="64"/>
      </top>
      <bottom style="thin">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style="double">
        <color indexed="64"/>
      </right>
      <top/>
      <bottom/>
      <diagonal/>
    </border>
    <border>
      <left style="double">
        <color indexed="64"/>
      </left>
      <right style="thin">
        <color indexed="64"/>
      </right>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s>
  <cellStyleXfs count="11">
    <xf numFmtId="0" fontId="0" fillId="0" borderId="0"/>
    <xf numFmtId="0" fontId="3" fillId="0" borderId="0"/>
    <xf numFmtId="0" fontId="3" fillId="0" borderId="0"/>
    <xf numFmtId="0" fontId="2" fillId="0" borderId="0"/>
    <xf numFmtId="0" fontId="3" fillId="0" borderId="0"/>
    <xf numFmtId="0" fontId="3" fillId="0" borderId="0"/>
    <xf numFmtId="0" fontId="3" fillId="0" borderId="0"/>
    <xf numFmtId="0" fontId="4" fillId="0" borderId="0"/>
    <xf numFmtId="0" fontId="4" fillId="0" borderId="0"/>
    <xf numFmtId="0" fontId="2" fillId="0" borderId="0"/>
    <xf numFmtId="9" fontId="2" fillId="0" borderId="0" applyFont="0" applyFill="0" applyBorder="0" applyAlignment="0" applyProtection="0"/>
  </cellStyleXfs>
  <cellXfs count="1920">
    <xf numFmtId="0" fontId="0" fillId="0" borderId="0" xfId="0"/>
    <xf numFmtId="0" fontId="7" fillId="0" borderId="0" xfId="8" applyFont="1"/>
    <xf numFmtId="0" fontId="9" fillId="0" borderId="0" xfId="8" applyFont="1"/>
    <xf numFmtId="0" fontId="7" fillId="0" borderId="0" xfId="8" applyFont="1" applyAlignment="1">
      <alignment horizontal="centerContinuous"/>
    </xf>
    <xf numFmtId="0" fontId="10" fillId="0" borderId="0" xfId="8" applyFont="1" applyAlignment="1">
      <alignment horizontal="center"/>
    </xf>
    <xf numFmtId="0" fontId="7" fillId="0" borderId="0" xfId="8" applyFont="1" applyAlignment="1">
      <alignment horizontal="center"/>
    </xf>
    <xf numFmtId="0" fontId="7" fillId="0" borderId="0" xfId="0" applyFont="1"/>
    <xf numFmtId="0" fontId="11" fillId="0" borderId="0" xfId="8" applyFont="1"/>
    <xf numFmtId="0" fontId="6" fillId="0" borderId="0" xfId="8" applyFont="1"/>
    <xf numFmtId="0" fontId="12" fillId="0" borderId="0" xfId="8" applyFont="1" applyAlignment="1">
      <alignment horizontal="centerContinuous"/>
    </xf>
    <xf numFmtId="0" fontId="6" fillId="0" borderId="0" xfId="8" applyFont="1" applyAlignment="1">
      <alignment horizontal="left"/>
    </xf>
    <xf numFmtId="0" fontId="6" fillId="0" borderId="0" xfId="8" applyFont="1" applyAlignment="1">
      <alignment horizontal="center"/>
    </xf>
    <xf numFmtId="164" fontId="6" fillId="0" borderId="1" xfId="8" applyNumberFormat="1" applyFont="1" applyBorder="1" applyAlignment="1">
      <alignment horizontal="center"/>
    </xf>
    <xf numFmtId="0" fontId="6" fillId="0" borderId="1" xfId="8" applyFont="1" applyBorder="1" applyAlignment="1">
      <alignment horizontal="center"/>
    </xf>
    <xf numFmtId="167" fontId="6" fillId="0" borderId="1" xfId="8" applyNumberFormat="1" applyFont="1" applyBorder="1" applyAlignment="1">
      <alignment horizontal="center"/>
    </xf>
    <xf numFmtId="165" fontId="6" fillId="0" borderId="1" xfId="8" applyNumberFormat="1" applyFont="1" applyBorder="1" applyAlignment="1">
      <alignment horizontal="center"/>
    </xf>
    <xf numFmtId="0" fontId="7" fillId="0" borderId="1" xfId="8" applyFont="1" applyBorder="1"/>
    <xf numFmtId="0" fontId="7" fillId="0" borderId="2" xfId="8" applyFont="1" applyBorder="1"/>
    <xf numFmtId="167" fontId="6" fillId="0" borderId="3" xfId="8" applyNumberFormat="1" applyFont="1" applyBorder="1" applyAlignment="1">
      <alignment horizontal="center"/>
    </xf>
    <xf numFmtId="166" fontId="6" fillId="0" borderId="3" xfId="8" applyNumberFormat="1" applyFont="1" applyBorder="1" applyAlignment="1">
      <alignment horizontal="center"/>
    </xf>
    <xf numFmtId="165" fontId="6" fillId="0" borderId="3" xfId="8" applyNumberFormat="1" applyFont="1" applyBorder="1" applyAlignment="1">
      <alignment horizontal="center"/>
    </xf>
    <xf numFmtId="164" fontId="6" fillId="0" borderId="3" xfId="8" applyNumberFormat="1" applyFont="1" applyBorder="1" applyAlignment="1">
      <alignment horizontal="center"/>
    </xf>
    <xf numFmtId="2" fontId="6" fillId="0" borderId="3" xfId="8" applyNumberFormat="1" applyFont="1" applyBorder="1" applyAlignment="1">
      <alignment horizontal="center"/>
    </xf>
    <xf numFmtId="0" fontId="6" fillId="0" borderId="3" xfId="8" applyFont="1" applyBorder="1" applyAlignment="1">
      <alignment horizontal="center"/>
    </xf>
    <xf numFmtId="166" fontId="6" fillId="0" borderId="2" xfId="8" applyNumberFormat="1" applyFont="1" applyBorder="1" applyAlignment="1">
      <alignment horizontal="center"/>
    </xf>
    <xf numFmtId="0" fontId="6" fillId="0" borderId="4" xfId="8" applyFont="1" applyBorder="1" applyAlignment="1">
      <alignment horizontal="center"/>
    </xf>
    <xf numFmtId="0" fontId="6" fillId="0" borderId="5" xfId="8" applyFont="1" applyBorder="1" applyAlignment="1">
      <alignment horizontal="center"/>
    </xf>
    <xf numFmtId="164" fontId="6" fillId="0" borderId="4" xfId="8" applyNumberFormat="1" applyFont="1" applyBorder="1" applyAlignment="1">
      <alignment horizontal="center"/>
    </xf>
    <xf numFmtId="0" fontId="6" fillId="0" borderId="6" xfId="8" applyFont="1" applyBorder="1" applyAlignment="1">
      <alignment horizontal="center"/>
    </xf>
    <xf numFmtId="0" fontId="6" fillId="0" borderId="7" xfId="8" applyFont="1" applyBorder="1" applyAlignment="1">
      <alignment horizontal="center"/>
    </xf>
    <xf numFmtId="0" fontId="6" fillId="0" borderId="8" xfId="8" applyFont="1" applyBorder="1" applyAlignment="1">
      <alignment horizontal="center"/>
    </xf>
    <xf numFmtId="0" fontId="6" fillId="0" borderId="9" xfId="8" applyFont="1" applyBorder="1" applyAlignment="1">
      <alignment horizontal="center"/>
    </xf>
    <xf numFmtId="0" fontId="6" fillId="0" borderId="10" xfId="8" applyFont="1" applyBorder="1" applyAlignment="1">
      <alignment horizontal="center"/>
    </xf>
    <xf numFmtId="0" fontId="6" fillId="0" borderId="11" xfId="8" applyFont="1" applyBorder="1"/>
    <xf numFmtId="0" fontId="6" fillId="0" borderId="0" xfId="0" applyFont="1"/>
    <xf numFmtId="0" fontId="7" fillId="2" borderId="12" xfId="8" applyFont="1" applyFill="1" applyBorder="1"/>
    <xf numFmtId="0" fontId="8" fillId="2" borderId="12" xfId="8" applyFont="1" applyFill="1" applyBorder="1"/>
    <xf numFmtId="0" fontId="9" fillId="2" borderId="12" xfId="8" applyFont="1" applyFill="1" applyBorder="1"/>
    <xf numFmtId="0" fontId="10" fillId="2" borderId="13" xfId="8" applyFont="1" applyFill="1" applyBorder="1" applyAlignment="1">
      <alignment horizontal="centerContinuous"/>
    </xf>
    <xf numFmtId="0" fontId="7" fillId="2" borderId="0" xfId="8" applyFont="1" applyFill="1" applyAlignment="1">
      <alignment horizontal="centerContinuous"/>
    </xf>
    <xf numFmtId="0" fontId="7" fillId="2" borderId="14" xfId="8" applyFont="1" applyFill="1" applyBorder="1" applyAlignment="1">
      <alignment horizontal="centerContinuous"/>
    </xf>
    <xf numFmtId="0" fontId="10" fillId="2" borderId="14" xfId="8" applyFont="1" applyFill="1" applyBorder="1" applyAlignment="1">
      <alignment horizontal="centerContinuous"/>
    </xf>
    <xf numFmtId="0" fontId="6" fillId="0" borderId="11" xfId="8" applyFont="1" applyBorder="1" applyAlignment="1">
      <alignment horizontal="center"/>
    </xf>
    <xf numFmtId="0" fontId="8" fillId="0" borderId="0" xfId="8" applyFont="1" applyAlignment="1">
      <alignment horizontal="centerContinuous"/>
    </xf>
    <xf numFmtId="0" fontId="7" fillId="0" borderId="0" xfId="0" applyFont="1" applyAlignment="1">
      <alignment horizontal="centerContinuous"/>
    </xf>
    <xf numFmtId="0" fontId="0" fillId="0" borderId="0" xfId="0" applyAlignment="1">
      <alignment horizontal="centerContinuous"/>
    </xf>
    <xf numFmtId="0" fontId="11" fillId="0" borderId="0" xfId="8" applyFont="1" applyAlignment="1">
      <alignment horizontal="centerContinuous"/>
    </xf>
    <xf numFmtId="0" fontId="12" fillId="0" borderId="0" xfId="8" applyFont="1" applyAlignment="1">
      <alignment horizontal="center"/>
    </xf>
    <xf numFmtId="0" fontId="12" fillId="0" borderId="0" xfId="8" applyFont="1"/>
    <xf numFmtId="164" fontId="6" fillId="0" borderId="15" xfId="8" applyNumberFormat="1" applyFont="1" applyBorder="1" applyAlignment="1">
      <alignment horizontal="center"/>
    </xf>
    <xf numFmtId="165" fontId="6" fillId="0" borderId="15" xfId="8" applyNumberFormat="1" applyFont="1" applyBorder="1" applyAlignment="1">
      <alignment horizontal="center"/>
    </xf>
    <xf numFmtId="0" fontId="12" fillId="0" borderId="16" xfId="8" applyFont="1" applyBorder="1" applyAlignment="1">
      <alignment horizontal="centerContinuous"/>
    </xf>
    <xf numFmtId="0" fontId="12" fillId="0" borderId="17" xfId="8" applyFont="1" applyBorder="1" applyAlignment="1">
      <alignment horizontal="center"/>
    </xf>
    <xf numFmtId="0" fontId="12" fillId="0" borderId="18" xfId="8" applyFont="1" applyBorder="1" applyAlignment="1">
      <alignment horizontal="center"/>
    </xf>
    <xf numFmtId="2" fontId="6" fillId="0" borderId="15" xfId="8" applyNumberFormat="1" applyFont="1" applyBorder="1" applyAlignment="1">
      <alignment horizontal="center"/>
    </xf>
    <xf numFmtId="165" fontId="6" fillId="0" borderId="19" xfId="8" applyNumberFormat="1" applyFont="1" applyBorder="1" applyAlignment="1">
      <alignment horizontal="center"/>
    </xf>
    <xf numFmtId="0" fontId="7" fillId="2" borderId="20" xfId="0" applyFont="1" applyFill="1" applyBorder="1"/>
    <xf numFmtId="0" fontId="7" fillId="2" borderId="12" xfId="0" applyFont="1" applyFill="1" applyBorder="1"/>
    <xf numFmtId="0" fontId="7" fillId="2" borderId="0" xfId="0" applyFont="1" applyFill="1" applyAlignment="1">
      <alignment horizontal="centerContinuous"/>
    </xf>
    <xf numFmtId="0" fontId="7" fillId="2" borderId="19" xfId="0" applyFont="1" applyFill="1" applyBorder="1"/>
    <xf numFmtId="0" fontId="7" fillId="2" borderId="14" xfId="0" applyFont="1" applyFill="1" applyBorder="1" applyAlignment="1">
      <alignment horizontal="centerContinuous"/>
    </xf>
    <xf numFmtId="0" fontId="8" fillId="0" borderId="0" xfId="0" applyFont="1"/>
    <xf numFmtId="0" fontId="11" fillId="0" borderId="0" xfId="0" applyFont="1"/>
    <xf numFmtId="0" fontId="6" fillId="0" borderId="0" xfId="8" quotePrefix="1" applyFont="1"/>
    <xf numFmtId="14" fontId="6" fillId="0" borderId="0" xfId="0" applyNumberFormat="1" applyFont="1" applyAlignment="1">
      <alignment horizontal="left"/>
    </xf>
    <xf numFmtId="0" fontId="6" fillId="0" borderId="0" xfId="8" applyFont="1" applyAlignment="1">
      <alignment horizontal="centerContinuous"/>
    </xf>
    <xf numFmtId="0" fontId="7" fillId="2" borderId="21" xfId="0" applyFont="1" applyFill="1" applyBorder="1" applyAlignment="1">
      <alignment horizontal="centerContinuous"/>
    </xf>
    <xf numFmtId="0" fontId="7" fillId="2" borderId="10" xfId="0" applyFont="1" applyFill="1" applyBorder="1" applyAlignment="1">
      <alignment horizontal="centerContinuous"/>
    </xf>
    <xf numFmtId="0" fontId="19" fillId="0" borderId="0" xfId="0" applyFont="1"/>
    <xf numFmtId="0" fontId="12" fillId="0" borderId="22" xfId="0" applyFont="1" applyBorder="1" applyAlignment="1">
      <alignment horizontal="centerContinuous"/>
    </xf>
    <xf numFmtId="0" fontId="12" fillId="0" borderId="23" xfId="0" applyFont="1" applyBorder="1" applyAlignment="1">
      <alignment horizontal="centerContinuous"/>
    </xf>
    <xf numFmtId="0" fontId="6" fillId="0" borderId="24" xfId="0" applyFont="1" applyBorder="1" applyAlignment="1">
      <alignment horizontal="centerContinuous"/>
    </xf>
    <xf numFmtId="0" fontId="12" fillId="0" borderId="17" xfId="0" applyFont="1" applyBorder="1" applyAlignment="1">
      <alignment horizontal="centerContinuous"/>
    </xf>
    <xf numFmtId="0" fontId="15" fillId="0" borderId="24" xfId="0" applyFont="1" applyBorder="1" applyAlignment="1">
      <alignment horizontal="centerContinuous"/>
    </xf>
    <xf numFmtId="165" fontId="6" fillId="0" borderId="0" xfId="8" applyNumberFormat="1" applyFont="1" applyAlignment="1">
      <alignment horizontal="centerContinuous"/>
    </xf>
    <xf numFmtId="1" fontId="6" fillId="0" borderId="0" xfId="8" applyNumberFormat="1" applyFont="1" applyAlignment="1">
      <alignment horizontal="centerContinuous"/>
    </xf>
    <xf numFmtId="1" fontId="6" fillId="0" borderId="25" xfId="8" quotePrefix="1" applyNumberFormat="1" applyFont="1" applyBorder="1" applyAlignment="1">
      <alignment horizontal="center"/>
    </xf>
    <xf numFmtId="0" fontId="12" fillId="0" borderId="24" xfId="8" applyFont="1" applyBorder="1" applyAlignment="1">
      <alignment horizontal="centerContinuous"/>
    </xf>
    <xf numFmtId="0" fontId="12" fillId="0" borderId="24" xfId="0" applyFont="1" applyBorder="1" applyAlignment="1">
      <alignment horizontal="centerContinuous"/>
    </xf>
    <xf numFmtId="0" fontId="6" fillId="0" borderId="24" xfId="8" applyFont="1" applyBorder="1" applyAlignment="1">
      <alignment horizontal="centerContinuous"/>
    </xf>
    <xf numFmtId="164" fontId="6" fillId="0" borderId="2" xfId="8" quotePrefix="1" applyNumberFormat="1" applyFont="1" applyBorder="1" applyAlignment="1">
      <alignment horizontal="center"/>
    </xf>
    <xf numFmtId="0" fontId="21" fillId="0" borderId="0" xfId="6" applyFont="1"/>
    <xf numFmtId="0" fontId="21" fillId="0" borderId="0" xfId="0" applyFont="1"/>
    <xf numFmtId="0" fontId="23" fillId="0" borderId="0" xfId="6" applyFont="1" applyAlignment="1">
      <alignment horizontal="center"/>
    </xf>
    <xf numFmtId="17" fontId="23" fillId="0" borderId="0" xfId="6" quotePrefix="1" applyNumberFormat="1" applyFont="1" applyAlignment="1">
      <alignment horizontal="right"/>
    </xf>
    <xf numFmtId="0" fontId="24" fillId="0" borderId="0" xfId="6" applyFont="1"/>
    <xf numFmtId="0" fontId="21" fillId="0" borderId="0" xfId="6" applyFont="1" applyAlignment="1">
      <alignment horizontal="left"/>
    </xf>
    <xf numFmtId="0" fontId="21" fillId="0" borderId="0" xfId="0" applyFont="1" applyAlignment="1">
      <alignment horizontal="centerContinuous"/>
    </xf>
    <xf numFmtId="0" fontId="22" fillId="0" borderId="0" xfId="6" applyFont="1"/>
    <xf numFmtId="0" fontId="21" fillId="0" borderId="0" xfId="6" quotePrefix="1" applyFont="1" applyAlignment="1">
      <alignment horizontal="centerContinuous"/>
    </xf>
    <xf numFmtId="0" fontId="21" fillId="0" borderId="0" xfId="6" applyFont="1" applyAlignment="1">
      <alignment horizontal="center"/>
    </xf>
    <xf numFmtId="0" fontId="23" fillId="0" borderId="0" xfId="6" applyFont="1"/>
    <xf numFmtId="164" fontId="21" fillId="0" borderId="26" xfId="6" applyNumberFormat="1" applyFont="1" applyBorder="1" applyAlignment="1">
      <alignment horizontal="center"/>
    </xf>
    <xf numFmtId="164" fontId="21" fillId="0" borderId="0" xfId="6" applyNumberFormat="1" applyFont="1"/>
    <xf numFmtId="1" fontId="21" fillId="0" borderId="0" xfId="6" applyNumberFormat="1" applyFont="1"/>
    <xf numFmtId="165" fontId="21" fillId="0" borderId="0" xfId="6" applyNumberFormat="1" applyFont="1"/>
    <xf numFmtId="0" fontId="6" fillId="0" borderId="27" xfId="8" applyFont="1" applyBorder="1" applyAlignment="1">
      <alignment horizontal="center"/>
    </xf>
    <xf numFmtId="165" fontId="6" fillId="0" borderId="27" xfId="8" applyNumberFormat="1" applyFont="1" applyBorder="1" applyAlignment="1">
      <alignment horizontal="center"/>
    </xf>
    <xf numFmtId="0" fontId="6" fillId="0" borderId="0" xfId="0" applyFont="1" applyAlignment="1">
      <alignment horizontal="left"/>
    </xf>
    <xf numFmtId="0" fontId="12" fillId="0" borderId="0" xfId="8" applyFont="1" applyAlignment="1">
      <alignment horizontal="left"/>
    </xf>
    <xf numFmtId="164" fontId="6" fillId="0" borderId="0" xfId="8" applyNumberFormat="1" applyFont="1" applyAlignment="1">
      <alignment horizontal="center"/>
    </xf>
    <xf numFmtId="164" fontId="6" fillId="0" borderId="13" xfId="8" applyNumberFormat="1" applyFont="1" applyBorder="1" applyAlignment="1">
      <alignment horizontal="center"/>
    </xf>
    <xf numFmtId="164" fontId="6" fillId="0" borderId="21" xfId="8" applyNumberFormat="1" applyFont="1" applyBorder="1" applyAlignment="1">
      <alignment horizontal="center"/>
    </xf>
    <xf numFmtId="164" fontId="6" fillId="0" borderId="19" xfId="8" applyNumberFormat="1" applyFont="1" applyBorder="1" applyAlignment="1">
      <alignment horizontal="center"/>
    </xf>
    <xf numFmtId="164" fontId="6" fillId="0" borderId="10" xfId="8" applyNumberFormat="1" applyFont="1" applyBorder="1" applyAlignment="1">
      <alignment horizontal="center"/>
    </xf>
    <xf numFmtId="0" fontId="7" fillId="0" borderId="22" xfId="8" applyFont="1" applyBorder="1"/>
    <xf numFmtId="0" fontId="7" fillId="0" borderId="24" xfId="8" applyFont="1" applyBorder="1"/>
    <xf numFmtId="0" fontId="7" fillId="0" borderId="18" xfId="8" applyFont="1" applyBorder="1"/>
    <xf numFmtId="0" fontId="1" fillId="0" borderId="24" xfId="8" applyFont="1" applyBorder="1"/>
    <xf numFmtId="168" fontId="21" fillId="0" borderId="0" xfId="6" applyNumberFormat="1" applyFont="1" applyAlignment="1">
      <alignment horizontal="centerContinuous"/>
    </xf>
    <xf numFmtId="0" fontId="25" fillId="0" borderId="0" xfId="8" applyFont="1"/>
    <xf numFmtId="2" fontId="6" fillId="0" borderId="0" xfId="8" applyNumberFormat="1" applyFont="1" applyAlignment="1">
      <alignment horizontal="center"/>
    </xf>
    <xf numFmtId="2" fontId="6" fillId="0" borderId="19" xfId="8" applyNumberFormat="1" applyFont="1" applyBorder="1" applyAlignment="1">
      <alignment horizontal="center"/>
    </xf>
    <xf numFmtId="0" fontId="6" fillId="0" borderId="21" xfId="8" applyFont="1" applyBorder="1" applyAlignment="1">
      <alignment horizontal="center"/>
    </xf>
    <xf numFmtId="1" fontId="6" fillId="3" borderId="0" xfId="8" applyNumberFormat="1" applyFont="1" applyFill="1" applyAlignment="1" applyProtection="1">
      <alignment horizontal="left"/>
      <protection locked="0"/>
    </xf>
    <xf numFmtId="0" fontId="0" fillId="3" borderId="28" xfId="0" applyFill="1" applyBorder="1" applyAlignment="1" applyProtection="1">
      <alignment horizontal="centerContinuous"/>
      <protection locked="0"/>
    </xf>
    <xf numFmtId="0" fontId="6" fillId="3" borderId="29" xfId="8" applyFont="1" applyFill="1" applyBorder="1" applyAlignment="1" applyProtection="1">
      <alignment horizontal="center"/>
      <protection locked="0"/>
    </xf>
    <xf numFmtId="0" fontId="6" fillId="3" borderId="30" xfId="8" applyFont="1" applyFill="1" applyBorder="1" applyAlignment="1" applyProtection="1">
      <alignment horizontal="center"/>
      <protection locked="0"/>
    </xf>
    <xf numFmtId="164" fontId="6" fillId="3" borderId="3" xfId="8" applyNumberFormat="1" applyFont="1" applyFill="1" applyBorder="1" applyAlignment="1" applyProtection="1">
      <alignment horizontal="center"/>
      <protection locked="0"/>
    </xf>
    <xf numFmtId="164" fontId="6" fillId="3" borderId="2" xfId="8" applyNumberFormat="1" applyFont="1" applyFill="1" applyBorder="1" applyAlignment="1" applyProtection="1">
      <alignment horizontal="center"/>
      <protection locked="0"/>
    </xf>
    <xf numFmtId="166" fontId="6" fillId="3" borderId="5" xfId="8" applyNumberFormat="1" applyFont="1" applyFill="1" applyBorder="1" applyAlignment="1" applyProtection="1">
      <alignment horizontal="center"/>
      <protection locked="0"/>
    </xf>
    <xf numFmtId="167" fontId="6" fillId="3" borderId="5" xfId="8" applyNumberFormat="1" applyFont="1" applyFill="1" applyBorder="1" applyAlignment="1" applyProtection="1">
      <alignment horizontal="center"/>
      <protection locked="0"/>
    </xf>
    <xf numFmtId="166" fontId="6" fillId="3" borderId="1" xfId="8" applyNumberFormat="1" applyFont="1" applyFill="1" applyBorder="1" applyAlignment="1" applyProtection="1">
      <alignment horizontal="center"/>
      <protection locked="0"/>
    </xf>
    <xf numFmtId="167" fontId="6" fillId="3" borderId="1" xfId="8" applyNumberFormat="1" applyFont="1" applyFill="1" applyBorder="1" applyAlignment="1" applyProtection="1">
      <alignment horizontal="center"/>
      <protection locked="0"/>
    </xf>
    <xf numFmtId="164" fontId="6" fillId="3" borderId="5" xfId="8" applyNumberFormat="1" applyFont="1" applyFill="1" applyBorder="1" applyAlignment="1" applyProtection="1">
      <alignment horizontal="center"/>
      <protection locked="0"/>
    </xf>
    <xf numFmtId="164" fontId="6" fillId="3" borderId="1" xfId="8" applyNumberFormat="1" applyFont="1" applyFill="1" applyBorder="1" applyAlignment="1" applyProtection="1">
      <alignment horizontal="center"/>
      <protection locked="0"/>
    </xf>
    <xf numFmtId="164" fontId="21" fillId="3" borderId="26" xfId="6" applyNumberFormat="1" applyFont="1" applyFill="1" applyBorder="1" applyAlignment="1" applyProtection="1">
      <alignment horizontal="center"/>
      <protection locked="0"/>
    </xf>
    <xf numFmtId="0" fontId="22" fillId="3" borderId="0" xfId="6" applyFont="1" applyFill="1" applyProtection="1">
      <protection locked="0"/>
    </xf>
    <xf numFmtId="0" fontId="21" fillId="3" borderId="0" xfId="6" applyFont="1" applyFill="1"/>
    <xf numFmtId="165" fontId="21" fillId="3" borderId="26" xfId="6" applyNumberFormat="1" applyFont="1" applyFill="1" applyBorder="1" applyAlignment="1" applyProtection="1">
      <alignment horizontal="center"/>
      <protection locked="0"/>
    </xf>
    <xf numFmtId="0" fontId="0" fillId="0" borderId="24" xfId="0" applyBorder="1" applyAlignment="1">
      <alignment horizontal="centerContinuous"/>
    </xf>
    <xf numFmtId="0" fontId="7" fillId="0" borderId="24" xfId="8" applyFont="1" applyBorder="1" applyAlignment="1">
      <alignment horizontal="centerContinuous"/>
    </xf>
    <xf numFmtId="1" fontId="3" fillId="0" borderId="0" xfId="2" applyNumberFormat="1" applyAlignment="1" applyProtection="1">
      <alignment horizontal="center"/>
      <protection locked="0"/>
    </xf>
    <xf numFmtId="0" fontId="6" fillId="0" borderId="31" xfId="8" applyFont="1" applyBorder="1" applyAlignment="1">
      <alignment horizontal="center"/>
    </xf>
    <xf numFmtId="0" fontId="6" fillId="0" borderId="18" xfId="8" applyFont="1" applyBorder="1" applyAlignment="1">
      <alignment horizontal="centerContinuous"/>
    </xf>
    <xf numFmtId="0" fontId="6" fillId="0" borderId="0" xfId="8" applyFont="1" applyProtection="1">
      <protection locked="0" hidden="1"/>
    </xf>
    <xf numFmtId="0" fontId="6" fillId="0" borderId="0" xfId="8" applyFont="1" applyAlignment="1" applyProtection="1">
      <alignment horizontal="center"/>
      <protection locked="0" hidden="1"/>
    </xf>
    <xf numFmtId="0" fontId="3" fillId="0" borderId="0" xfId="2" applyAlignment="1" applyProtection="1">
      <alignment horizontal="center"/>
      <protection locked="0"/>
    </xf>
    <xf numFmtId="0" fontId="6" fillId="0" borderId="22" xfId="8" applyFont="1" applyBorder="1" applyAlignment="1">
      <alignment horizontal="center"/>
    </xf>
    <xf numFmtId="0" fontId="6" fillId="0" borderId="17" xfId="8" applyFont="1" applyBorder="1" applyAlignment="1">
      <alignment horizontal="center"/>
    </xf>
    <xf numFmtId="0" fontId="16" fillId="0" borderId="18" xfId="0" applyFont="1" applyBorder="1" applyAlignment="1">
      <alignment horizontal="center"/>
    </xf>
    <xf numFmtId="0" fontId="16" fillId="0" borderId="28" xfId="0" applyFont="1" applyBorder="1" applyAlignment="1">
      <alignment horizontal="center"/>
    </xf>
    <xf numFmtId="164" fontId="6" fillId="0" borderId="27" xfId="8" applyNumberFormat="1" applyFont="1" applyBorder="1" applyAlignment="1">
      <alignment horizontal="center"/>
    </xf>
    <xf numFmtId="0" fontId="7" fillId="0" borderId="18" xfId="8" applyFont="1" applyBorder="1" applyAlignment="1">
      <alignment horizontal="centerContinuous"/>
    </xf>
    <xf numFmtId="0" fontId="1" fillId="0" borderId="22" xfId="0" applyFont="1" applyBorder="1" applyAlignment="1">
      <alignment horizontal="centerContinuous"/>
    </xf>
    <xf numFmtId="0" fontId="7" fillId="0" borderId="1" xfId="8" applyFont="1" applyBorder="1" applyAlignment="1">
      <alignment horizontal="centerContinuous"/>
    </xf>
    <xf numFmtId="0" fontId="7" fillId="0" borderId="15" xfId="8" applyFont="1" applyBorder="1" applyAlignment="1">
      <alignment horizontal="centerContinuous"/>
    </xf>
    <xf numFmtId="0" fontId="7" fillId="0" borderId="27" xfId="8" applyFont="1" applyBorder="1" applyAlignment="1">
      <alignment horizontal="center"/>
    </xf>
    <xf numFmtId="0" fontId="7" fillId="0" borderId="27" xfId="0" applyFont="1" applyBorder="1" applyAlignment="1">
      <alignment horizontal="center"/>
    </xf>
    <xf numFmtId="14" fontId="7" fillId="3" borderId="28" xfId="8" applyNumberFormat="1" applyFont="1" applyFill="1" applyBorder="1" applyAlignment="1" applyProtection="1">
      <alignment horizontal="center"/>
      <protection locked="0"/>
    </xf>
    <xf numFmtId="165" fontId="6" fillId="3" borderId="32" xfId="8" applyNumberFormat="1" applyFont="1" applyFill="1" applyBorder="1" applyAlignment="1" applyProtection="1">
      <alignment horizontal="center"/>
      <protection locked="0"/>
    </xf>
    <xf numFmtId="165" fontId="6" fillId="3" borderId="33" xfId="8" applyNumberFormat="1" applyFont="1" applyFill="1" applyBorder="1" applyAlignment="1" applyProtection="1">
      <alignment horizontal="center"/>
      <protection locked="0"/>
    </xf>
    <xf numFmtId="165" fontId="6" fillId="0" borderId="21" xfId="8" applyNumberFormat="1" applyFont="1" applyBorder="1" applyAlignment="1">
      <alignment horizontal="center"/>
    </xf>
    <xf numFmtId="0" fontId="12" fillId="0" borderId="34" xfId="0" applyFont="1" applyBorder="1" applyAlignment="1">
      <alignment horizontal="center"/>
    </xf>
    <xf numFmtId="0" fontId="12" fillId="0" borderId="35" xfId="0" applyFont="1" applyBorder="1" applyAlignment="1">
      <alignment horizontal="center"/>
    </xf>
    <xf numFmtId="168" fontId="6" fillId="0" borderId="19" xfId="8" applyNumberFormat="1" applyFont="1" applyBorder="1" applyAlignment="1">
      <alignment horizontal="centerContinuous"/>
    </xf>
    <xf numFmtId="0" fontId="7" fillId="0" borderId="10" xfId="8" applyFont="1" applyBorder="1" applyAlignment="1">
      <alignment horizontal="centerContinuous"/>
    </xf>
    <xf numFmtId="0" fontId="12" fillId="0" borderId="34" xfId="0" applyFont="1" applyBorder="1" applyAlignment="1">
      <alignment horizontal="centerContinuous"/>
    </xf>
    <xf numFmtId="0" fontId="1" fillId="0" borderId="11" xfId="0" applyFont="1" applyBorder="1" applyAlignment="1">
      <alignment horizontal="center"/>
    </xf>
    <xf numFmtId="0" fontId="7" fillId="0" borderId="35" xfId="0" applyFont="1" applyBorder="1" applyAlignment="1">
      <alignment horizontal="centerContinuous"/>
    </xf>
    <xf numFmtId="165" fontId="6" fillId="0" borderId="13" xfId="8" applyNumberFormat="1" applyFont="1" applyBorder="1" applyAlignment="1">
      <alignment horizontal="center"/>
    </xf>
    <xf numFmtId="0" fontId="7" fillId="0" borderId="19" xfId="8" applyFont="1" applyBorder="1" applyAlignment="1">
      <alignment horizontal="center"/>
    </xf>
    <xf numFmtId="0" fontId="7" fillId="0" borderId="14" xfId="8" applyFont="1" applyBorder="1" applyAlignment="1">
      <alignment horizontal="center"/>
    </xf>
    <xf numFmtId="0" fontId="7" fillId="0" borderId="11" xfId="0" applyFont="1" applyBorder="1" applyAlignment="1">
      <alignment horizontal="centerContinuous"/>
    </xf>
    <xf numFmtId="0" fontId="6" fillId="0" borderId="20" xfId="8" applyFont="1" applyBorder="1" applyAlignment="1">
      <alignment horizontal="left"/>
    </xf>
    <xf numFmtId="0" fontId="6" fillId="0" borderId="12" xfId="8" applyFont="1" applyBorder="1" applyAlignment="1">
      <alignment horizontal="center"/>
    </xf>
    <xf numFmtId="0" fontId="6" fillId="0" borderId="19" xfId="8" applyFont="1" applyBorder="1" applyAlignment="1">
      <alignment horizontal="left"/>
    </xf>
    <xf numFmtId="0" fontId="6" fillId="0" borderId="14" xfId="8" applyFont="1" applyBorder="1" applyAlignment="1">
      <alignment horizontal="center"/>
    </xf>
    <xf numFmtId="1" fontId="6" fillId="0" borderId="0" xfId="8" applyNumberFormat="1" applyFont="1" applyAlignment="1">
      <alignment horizontal="center"/>
    </xf>
    <xf numFmtId="0" fontId="21" fillId="3" borderId="0" xfId="6" applyFont="1" applyFill="1" applyProtection="1">
      <protection locked="0"/>
    </xf>
    <xf numFmtId="0" fontId="6" fillId="0" borderId="3" xfId="8" quotePrefix="1" applyFont="1" applyBorder="1" applyAlignment="1">
      <alignment horizontal="center"/>
    </xf>
    <xf numFmtId="164" fontId="6" fillId="0" borderId="5" xfId="8" applyNumberFormat="1" applyFont="1" applyBorder="1" applyAlignment="1">
      <alignment horizontal="center"/>
    </xf>
    <xf numFmtId="169" fontId="6" fillId="0" borderId="1" xfId="8" applyNumberFormat="1" applyFont="1" applyBorder="1" applyAlignment="1">
      <alignment horizontal="center"/>
    </xf>
    <xf numFmtId="0" fontId="6" fillId="0" borderId="15" xfId="8" applyFont="1" applyBorder="1" applyAlignment="1">
      <alignment horizontal="centerContinuous"/>
    </xf>
    <xf numFmtId="12" fontId="6" fillId="0" borderId="15" xfId="8" applyNumberFormat="1" applyFont="1" applyBorder="1" applyAlignment="1">
      <alignment horizontal="centerContinuous"/>
    </xf>
    <xf numFmtId="0" fontId="6" fillId="0" borderId="36" xfId="8" applyFont="1" applyBorder="1" applyAlignment="1">
      <alignment horizontal="centerContinuous"/>
    </xf>
    <xf numFmtId="0" fontId="6" fillId="0" borderId="37" xfId="0" applyFont="1" applyBorder="1" applyAlignment="1">
      <alignment horizontal="centerContinuous"/>
    </xf>
    <xf numFmtId="0" fontId="0" fillId="0" borderId="26" xfId="0" applyBorder="1" applyAlignment="1">
      <alignment horizontal="centerContinuous"/>
    </xf>
    <xf numFmtId="0" fontId="0" fillId="0" borderId="14" xfId="0" applyBorder="1" applyAlignment="1">
      <alignment horizontal="centerContinuous"/>
    </xf>
    <xf numFmtId="2" fontId="27" fillId="0" borderId="28" xfId="2" applyNumberFormat="1" applyFont="1" applyBorder="1" applyAlignment="1">
      <alignment horizontal="centerContinuous"/>
    </xf>
    <xf numFmtId="1" fontId="27" fillId="0" borderId="28" xfId="2" applyNumberFormat="1" applyFont="1" applyBorder="1" applyAlignment="1">
      <alignment horizontal="centerContinuous"/>
    </xf>
    <xf numFmtId="164" fontId="27" fillId="0" borderId="28" xfId="2" applyNumberFormat="1" applyFont="1" applyBorder="1" applyAlignment="1">
      <alignment horizontal="centerContinuous"/>
    </xf>
    <xf numFmtId="165" fontId="27" fillId="0" borderId="28" xfId="2" applyNumberFormat="1" applyFont="1" applyBorder="1" applyAlignment="1">
      <alignment horizontal="centerContinuous"/>
    </xf>
    <xf numFmtId="0" fontId="0" fillId="0" borderId="26" xfId="0" quotePrefix="1" applyBorder="1" applyAlignment="1">
      <alignment horizontal="centerContinuous"/>
    </xf>
    <xf numFmtId="164" fontId="0" fillId="0" borderId="26" xfId="0" applyNumberFormat="1" applyBorder="1" applyAlignment="1">
      <alignment horizontal="centerContinuous"/>
    </xf>
    <xf numFmtId="0" fontId="0" fillId="0" borderId="1" xfId="0" applyBorder="1"/>
    <xf numFmtId="164" fontId="6" fillId="0" borderId="38" xfId="8" applyNumberFormat="1" applyFont="1" applyBorder="1" applyAlignment="1">
      <alignment horizontal="center"/>
    </xf>
    <xf numFmtId="1" fontId="6" fillId="0" borderId="12" xfId="8" applyNumberFormat="1" applyFont="1" applyBorder="1" applyAlignment="1">
      <alignment horizontal="center"/>
    </xf>
    <xf numFmtId="165" fontId="6" fillId="0" borderId="10" xfId="8" applyNumberFormat="1" applyFont="1" applyBorder="1" applyAlignment="1">
      <alignment horizontal="center"/>
    </xf>
    <xf numFmtId="165" fontId="6" fillId="0" borderId="0" xfId="8" applyNumberFormat="1" applyFont="1" applyAlignment="1">
      <alignment horizontal="center"/>
    </xf>
    <xf numFmtId="0" fontId="6" fillId="0" borderId="15" xfId="0" applyFont="1" applyBorder="1" applyAlignment="1">
      <alignment horizontal="centerContinuous"/>
    </xf>
    <xf numFmtId="0" fontId="7" fillId="0" borderId="35" xfId="0" applyFont="1" applyBorder="1"/>
    <xf numFmtId="164" fontId="6" fillId="0" borderId="13" xfId="0" applyNumberFormat="1" applyFont="1" applyBorder="1" applyAlignment="1">
      <alignment horizontal="center"/>
    </xf>
    <xf numFmtId="0" fontId="6" fillId="0" borderId="21" xfId="0" applyFont="1" applyBorder="1" applyAlignment="1">
      <alignment horizontal="center"/>
    </xf>
    <xf numFmtId="164" fontId="25" fillId="0" borderId="34" xfId="8" applyNumberFormat="1" applyFont="1" applyBorder="1" applyAlignment="1">
      <alignment horizontal="centerContinuous"/>
    </xf>
    <xf numFmtId="164" fontId="6" fillId="0" borderId="35" xfId="8" applyNumberFormat="1" applyFont="1" applyBorder="1" applyAlignment="1">
      <alignment horizontal="centerContinuous"/>
    </xf>
    <xf numFmtId="164" fontId="6" fillId="0" borderId="21" xfId="0" applyNumberFormat="1" applyFont="1" applyBorder="1" applyAlignment="1">
      <alignment horizontal="center"/>
    </xf>
    <xf numFmtId="1" fontId="6" fillId="0" borderId="21" xfId="0" applyNumberFormat="1" applyFont="1" applyBorder="1" applyAlignment="1">
      <alignment horizontal="center"/>
    </xf>
    <xf numFmtId="0" fontId="0" fillId="0" borderId="5" xfId="0" applyBorder="1"/>
    <xf numFmtId="164" fontId="6" fillId="0" borderId="1" xfId="0" applyNumberFormat="1" applyFont="1" applyBorder="1" applyAlignment="1">
      <alignment horizontal="center"/>
    </xf>
    <xf numFmtId="0" fontId="6" fillId="0" borderId="22" xfId="8" applyFont="1" applyBorder="1" applyAlignment="1">
      <alignment horizontal="centerContinuous"/>
    </xf>
    <xf numFmtId="0" fontId="25" fillId="0" borderId="39" xfId="8" applyFont="1" applyBorder="1" applyAlignment="1">
      <alignment horizontal="center" vertical="center" wrapText="1"/>
    </xf>
    <xf numFmtId="164" fontId="6" fillId="0" borderId="3" xfId="0" applyNumberFormat="1" applyFont="1" applyBorder="1" applyAlignment="1">
      <alignment horizontal="center"/>
    </xf>
    <xf numFmtId="1" fontId="21" fillId="0" borderId="0" xfId="6" applyNumberFormat="1" applyFont="1" applyAlignment="1">
      <alignment horizontal="centerContinuous"/>
    </xf>
    <xf numFmtId="1" fontId="6" fillId="0" borderId="10" xfId="0" applyNumberFormat="1" applyFont="1" applyBorder="1" applyAlignment="1">
      <alignment horizontal="center"/>
    </xf>
    <xf numFmtId="0" fontId="6" fillId="0" borderId="10" xfId="0" applyFont="1" applyBorder="1" applyAlignment="1">
      <alignment horizontal="center"/>
    </xf>
    <xf numFmtId="164" fontId="6" fillId="0" borderId="10" xfId="0" applyNumberFormat="1" applyFont="1" applyBorder="1" applyAlignment="1">
      <alignment horizontal="center"/>
    </xf>
    <xf numFmtId="164" fontId="6" fillId="0" borderId="19" xfId="0" applyNumberFormat="1" applyFont="1" applyBorder="1" applyAlignment="1">
      <alignment horizontal="center"/>
    </xf>
    <xf numFmtId="1" fontId="5" fillId="3" borderId="40" xfId="2" applyNumberFormat="1" applyFont="1" applyFill="1" applyBorder="1" applyAlignment="1" applyProtection="1">
      <alignment horizontal="center"/>
      <protection locked="0"/>
    </xf>
    <xf numFmtId="1" fontId="12" fillId="3" borderId="41" xfId="8" quotePrefix="1" applyNumberFormat="1" applyFont="1" applyFill="1" applyBorder="1" applyAlignment="1" applyProtection="1">
      <alignment horizontal="center"/>
      <protection locked="0"/>
    </xf>
    <xf numFmtId="0" fontId="16" fillId="3" borderId="28" xfId="0" applyFont="1" applyFill="1" applyBorder="1" applyAlignment="1" applyProtection="1">
      <alignment horizontal="center"/>
      <protection locked="0"/>
    </xf>
    <xf numFmtId="1" fontId="16" fillId="3" borderId="28" xfId="0" applyNumberFormat="1" applyFont="1" applyFill="1" applyBorder="1" applyAlignment="1" applyProtection="1">
      <alignment horizontal="center"/>
      <protection locked="0"/>
    </xf>
    <xf numFmtId="0" fontId="16" fillId="3" borderId="10" xfId="0" applyFont="1" applyFill="1" applyBorder="1" applyAlignment="1" applyProtection="1">
      <alignment horizontal="center"/>
      <protection locked="0"/>
    </xf>
    <xf numFmtId="0" fontId="0" fillId="0" borderId="1" xfId="0" applyBorder="1" applyAlignment="1">
      <alignment horizontal="centerContinuous"/>
    </xf>
    <xf numFmtId="0" fontId="0" fillId="0" borderId="3" xfId="0" applyBorder="1" applyAlignment="1">
      <alignment horizontal="centerContinuous"/>
    </xf>
    <xf numFmtId="0" fontId="0" fillId="0" borderId="28" xfId="0" applyBorder="1" applyAlignment="1">
      <alignment horizontal="centerContinuous"/>
    </xf>
    <xf numFmtId="0" fontId="34" fillId="0" borderId="26" xfId="0" applyFont="1" applyBorder="1" applyAlignment="1">
      <alignment horizontal="centerContinuous"/>
    </xf>
    <xf numFmtId="1" fontId="35" fillId="0" borderId="28" xfId="2" applyNumberFormat="1" applyFont="1" applyBorder="1" applyAlignment="1">
      <alignment horizontal="centerContinuous"/>
    </xf>
    <xf numFmtId="1" fontId="18" fillId="0" borderId="28" xfId="8" applyNumberFormat="1" applyFont="1" applyBorder="1" applyAlignment="1">
      <alignment horizontal="centerContinuous"/>
    </xf>
    <xf numFmtId="164" fontId="35" fillId="0" borderId="28" xfId="2" applyNumberFormat="1" applyFont="1" applyBorder="1" applyAlignment="1">
      <alignment horizontal="centerContinuous"/>
    </xf>
    <xf numFmtId="1" fontId="6" fillId="0" borderId="14" xfId="8" applyNumberFormat="1" applyFont="1" applyBorder="1" applyAlignment="1">
      <alignment horizontal="center"/>
    </xf>
    <xf numFmtId="0" fontId="1" fillId="2" borderId="21" xfId="8" applyFont="1" applyFill="1" applyBorder="1" applyAlignment="1">
      <alignment horizontal="centerContinuous"/>
    </xf>
    <xf numFmtId="49" fontId="6" fillId="0" borderId="27" xfId="8" applyNumberFormat="1" applyFont="1" applyBorder="1" applyAlignment="1">
      <alignment horizontal="center"/>
    </xf>
    <xf numFmtId="0" fontId="1" fillId="0" borderId="18" xfId="0" applyFont="1" applyBorder="1" applyAlignment="1">
      <alignment horizontal="centerContinuous"/>
    </xf>
    <xf numFmtId="0" fontId="1" fillId="0" borderId="20" xfId="0" applyFont="1" applyBorder="1" applyAlignment="1">
      <alignment horizontal="centerContinuous"/>
    </xf>
    <xf numFmtId="0" fontId="1" fillId="0" borderId="9" xfId="0" applyFont="1" applyBorder="1" applyAlignment="1">
      <alignment horizontal="centerContinuous"/>
    </xf>
    <xf numFmtId="2" fontId="0" fillId="3" borderId="1" xfId="0" applyNumberFormat="1" applyFill="1" applyBorder="1" applyAlignment="1" applyProtection="1">
      <alignment horizontal="center"/>
      <protection locked="0"/>
    </xf>
    <xf numFmtId="0" fontId="6" fillId="0" borderId="20" xfId="8" applyFont="1" applyBorder="1" applyAlignment="1">
      <alignment horizontal="center"/>
    </xf>
    <xf numFmtId="2" fontId="25" fillId="0" borderId="9" xfId="8" applyNumberFormat="1" applyFont="1" applyBorder="1" applyAlignment="1">
      <alignment horizontal="center"/>
    </xf>
    <xf numFmtId="0" fontId="1" fillId="0" borderId="19" xfId="0" applyFont="1" applyBorder="1" applyAlignment="1">
      <alignment horizontal="centerContinuous"/>
    </xf>
    <xf numFmtId="0" fontId="1" fillId="0" borderId="10" xfId="0" applyFont="1" applyBorder="1" applyAlignment="1">
      <alignment horizontal="centerContinuous"/>
    </xf>
    <xf numFmtId="0" fontId="6" fillId="0" borderId="13" xfId="8" applyFont="1" applyBorder="1" applyAlignment="1">
      <alignment horizontal="center"/>
    </xf>
    <xf numFmtId="165" fontId="25" fillId="0" borderId="21" xfId="8" applyNumberFormat="1" applyFont="1" applyBorder="1" applyAlignment="1">
      <alignment horizontal="center"/>
    </xf>
    <xf numFmtId="0" fontId="2" fillId="0" borderId="31" xfId="0" applyFont="1" applyBorder="1" applyAlignment="1">
      <alignment horizontal="center"/>
    </xf>
    <xf numFmtId="0" fontId="2" fillId="0" borderId="18" xfId="8" applyFont="1" applyBorder="1" applyAlignment="1">
      <alignment horizontal="centerContinuous"/>
    </xf>
    <xf numFmtId="164" fontId="6" fillId="3" borderId="29" xfId="8" applyNumberFormat="1" applyFont="1" applyFill="1" applyBorder="1" applyAlignment="1" applyProtection="1">
      <alignment horizontal="center"/>
      <protection locked="0"/>
    </xf>
    <xf numFmtId="0" fontId="0" fillId="0" borderId="13" xfId="0" applyBorder="1"/>
    <xf numFmtId="1" fontId="6" fillId="0" borderId="13" xfId="8" applyNumberFormat="1" applyFont="1" applyBorder="1" applyAlignment="1">
      <alignment horizontal="right"/>
    </xf>
    <xf numFmtId="2" fontId="0" fillId="3" borderId="3" xfId="0" applyNumberFormat="1" applyFill="1" applyBorder="1" applyAlignment="1" applyProtection="1">
      <alignment horizontal="center"/>
      <protection locked="0"/>
    </xf>
    <xf numFmtId="165" fontId="25" fillId="0" borderId="42" xfId="8" applyNumberFormat="1" applyFont="1" applyBorder="1" applyAlignment="1">
      <alignment horizontal="center"/>
    </xf>
    <xf numFmtId="0" fontId="3" fillId="0" borderId="0" xfId="2" applyProtection="1">
      <protection locked="0"/>
    </xf>
    <xf numFmtId="165" fontId="6" fillId="0" borderId="0" xfId="8" applyNumberFormat="1" applyFont="1"/>
    <xf numFmtId="1" fontId="6" fillId="0" borderId="0" xfId="8" applyNumberFormat="1" applyFont="1"/>
    <xf numFmtId="164" fontId="6" fillId="0" borderId="0" xfId="0" applyNumberFormat="1" applyFont="1"/>
    <xf numFmtId="169" fontId="6" fillId="0" borderId="5" xfId="8" applyNumberFormat="1" applyFont="1" applyBorder="1" applyAlignment="1">
      <alignment horizontal="center"/>
    </xf>
    <xf numFmtId="167" fontId="6" fillId="0" borderId="5" xfId="8" applyNumberFormat="1" applyFont="1" applyBorder="1" applyAlignment="1">
      <alignment horizontal="center"/>
    </xf>
    <xf numFmtId="165" fontId="6" fillId="0" borderId="5" xfId="8" applyNumberFormat="1" applyFont="1" applyBorder="1" applyAlignment="1">
      <alignment horizontal="center"/>
    </xf>
    <xf numFmtId="0" fontId="7" fillId="0" borderId="5" xfId="8" applyFont="1" applyBorder="1"/>
    <xf numFmtId="0" fontId="6" fillId="0" borderId="43" xfId="8" applyFont="1" applyBorder="1" applyAlignment="1">
      <alignment horizontal="center"/>
    </xf>
    <xf numFmtId="0" fontId="6" fillId="0" borderId="44" xfId="8" quotePrefix="1" applyFont="1" applyBorder="1" applyAlignment="1">
      <alignment horizontal="center"/>
    </xf>
    <xf numFmtId="169" fontId="6" fillId="0" borderId="35" xfId="8" applyNumberFormat="1" applyFont="1" applyBorder="1" applyAlignment="1">
      <alignment horizontal="center"/>
    </xf>
    <xf numFmtId="169" fontId="6" fillId="0" borderId="28" xfId="8" applyNumberFormat="1" applyFont="1" applyBorder="1" applyAlignment="1">
      <alignment horizontal="center"/>
    </xf>
    <xf numFmtId="166" fontId="6" fillId="0" borderId="0" xfId="8" applyNumberFormat="1" applyFont="1" applyAlignment="1">
      <alignment horizontal="center"/>
    </xf>
    <xf numFmtId="167" fontId="6" fillId="0" borderId="0" xfId="8" applyNumberFormat="1" applyFont="1" applyAlignment="1">
      <alignment horizontal="center"/>
    </xf>
    <xf numFmtId="164" fontId="6" fillId="0" borderId="0" xfId="0" applyNumberFormat="1" applyFont="1" applyAlignment="1">
      <alignment horizontal="center"/>
    </xf>
    <xf numFmtId="0" fontId="6" fillId="0" borderId="45" xfId="8" applyFont="1" applyBorder="1" applyAlignment="1">
      <alignment horizontal="center"/>
    </xf>
    <xf numFmtId="0" fontId="6" fillId="0" borderId="4" xfId="8" applyFont="1" applyBorder="1" applyAlignment="1">
      <alignment horizontal="centerContinuous"/>
    </xf>
    <xf numFmtId="0" fontId="6" fillId="0" borderId="3" xfId="8" quotePrefix="1" applyFont="1" applyBorder="1" applyAlignment="1">
      <alignment horizontal="centerContinuous"/>
    </xf>
    <xf numFmtId="0" fontId="6" fillId="0" borderId="12" xfId="8" applyFont="1" applyBorder="1" applyAlignment="1">
      <alignment horizontal="centerContinuous"/>
    </xf>
    <xf numFmtId="0" fontId="6" fillId="0" borderId="14" xfId="8" quotePrefix="1" applyFont="1" applyBorder="1" applyAlignment="1">
      <alignment horizontal="centerContinuous"/>
    </xf>
    <xf numFmtId="0" fontId="0" fillId="0" borderId="21" xfId="0" applyBorder="1" applyAlignment="1">
      <alignment horizontal="centerContinuous"/>
    </xf>
    <xf numFmtId="0" fontId="0" fillId="0" borderId="9" xfId="0" applyBorder="1" applyAlignment="1">
      <alignment horizontal="centerContinuous"/>
    </xf>
    <xf numFmtId="0" fontId="0" fillId="0" borderId="10" xfId="0" applyBorder="1" applyAlignment="1">
      <alignment horizontal="centerContinuous"/>
    </xf>
    <xf numFmtId="0" fontId="0" fillId="0" borderId="4" xfId="0" applyBorder="1" applyAlignment="1">
      <alignment horizontal="centerContinuous"/>
    </xf>
    <xf numFmtId="164" fontId="6" fillId="0" borderId="14" xfId="8" applyNumberFormat="1" applyFont="1" applyBorder="1" applyAlignment="1">
      <alignment horizontal="centerContinuous"/>
    </xf>
    <xf numFmtId="164" fontId="6" fillId="0" borderId="0" xfId="8" applyNumberFormat="1" applyFont="1" applyAlignment="1">
      <alignment horizontal="centerContinuous"/>
    </xf>
    <xf numFmtId="0" fontId="25" fillId="0" borderId="0" xfId="0" applyFont="1"/>
    <xf numFmtId="0" fontId="16" fillId="0" borderId="0" xfId="0" applyFont="1" applyProtection="1">
      <protection locked="0"/>
    </xf>
    <xf numFmtId="164" fontId="16" fillId="0" borderId="0" xfId="8" applyNumberFormat="1" applyFont="1" applyProtection="1">
      <protection locked="0"/>
    </xf>
    <xf numFmtId="164" fontId="16" fillId="0" borderId="0" xfId="0" applyNumberFormat="1" applyFont="1" applyProtection="1">
      <protection locked="0"/>
    </xf>
    <xf numFmtId="1" fontId="6" fillId="0" borderId="0" xfId="0" applyNumberFormat="1" applyFont="1"/>
    <xf numFmtId="0" fontId="0" fillId="0" borderId="0" xfId="0" applyAlignment="1">
      <alignment horizontal="center"/>
    </xf>
    <xf numFmtId="0" fontId="0" fillId="0" borderId="0" xfId="0" quotePrefix="1" applyAlignment="1">
      <alignment horizontal="center"/>
    </xf>
    <xf numFmtId="0" fontId="34" fillId="0" borderId="0" xfId="0" applyFont="1" applyAlignment="1">
      <alignment horizontal="center"/>
    </xf>
    <xf numFmtId="0" fontId="7" fillId="2" borderId="20" xfId="7" applyFont="1" applyFill="1" applyBorder="1"/>
    <xf numFmtId="0" fontId="7" fillId="2" borderId="12" xfId="7" applyFont="1" applyFill="1" applyBorder="1"/>
    <xf numFmtId="17" fontId="1" fillId="2" borderId="9" xfId="7" quotePrefix="1" applyNumberFormat="1" applyFont="1" applyFill="1" applyBorder="1" applyAlignment="1">
      <alignment horizontal="right"/>
    </xf>
    <xf numFmtId="0" fontId="7" fillId="0" borderId="0" xfId="7" applyFont="1"/>
    <xf numFmtId="0" fontId="10" fillId="2" borderId="13" xfId="7" applyFont="1" applyFill="1" applyBorder="1" applyAlignment="1">
      <alignment horizontal="centerContinuous"/>
    </xf>
    <xf numFmtId="0" fontId="6" fillId="2" borderId="0" xfId="7" applyFont="1" applyFill="1" applyAlignment="1">
      <alignment horizontal="centerContinuous"/>
    </xf>
    <xf numFmtId="0" fontId="6" fillId="2" borderId="21" xfId="7" applyFont="1" applyFill="1" applyBorder="1" applyAlignment="1">
      <alignment horizontal="centerContinuous"/>
    </xf>
    <xf numFmtId="0" fontId="6" fillId="0" borderId="0" xfId="7" applyFont="1"/>
    <xf numFmtId="0" fontId="6" fillId="2" borderId="19" xfId="7" applyFont="1" applyFill="1" applyBorder="1"/>
    <xf numFmtId="0" fontId="6" fillId="2" borderId="14" xfId="7" applyFont="1" applyFill="1" applyBorder="1"/>
    <xf numFmtId="0" fontId="6" fillId="2" borderId="10" xfId="7" applyFont="1" applyFill="1" applyBorder="1"/>
    <xf numFmtId="0" fontId="14" fillId="0" borderId="0" xfId="7" applyFont="1" applyAlignment="1">
      <alignment horizontal="centerContinuous"/>
    </xf>
    <xf numFmtId="0" fontId="6" fillId="0" borderId="0" xfId="7" applyFont="1" applyAlignment="1">
      <alignment horizontal="centerContinuous"/>
    </xf>
    <xf numFmtId="0" fontId="7" fillId="0" borderId="0" xfId="7" applyFont="1" applyAlignment="1">
      <alignment horizontal="centerContinuous"/>
    </xf>
    <xf numFmtId="0" fontId="11" fillId="0" borderId="0" xfId="7" applyFont="1"/>
    <xf numFmtId="0" fontId="6" fillId="0" borderId="0" xfId="7" applyFont="1" applyAlignment="1">
      <alignment horizontal="left"/>
    </xf>
    <xf numFmtId="0" fontId="6" fillId="0" borderId="0" xfId="7" applyFont="1" applyProtection="1">
      <protection locked="0"/>
    </xf>
    <xf numFmtId="0" fontId="12" fillId="3" borderId="22" xfId="0" applyFont="1" applyFill="1" applyBorder="1" applyAlignment="1">
      <alignment horizontal="centerContinuous"/>
    </xf>
    <xf numFmtId="0" fontId="6" fillId="3" borderId="24" xfId="0" applyFont="1" applyFill="1" applyBorder="1" applyAlignment="1">
      <alignment horizontal="centerContinuous"/>
    </xf>
    <xf numFmtId="0" fontId="12" fillId="3" borderId="24" xfId="0" applyFont="1" applyFill="1" applyBorder="1" applyAlignment="1">
      <alignment horizontal="centerContinuous"/>
    </xf>
    <xf numFmtId="0" fontId="12" fillId="3" borderId="24" xfId="7" applyFont="1" applyFill="1" applyBorder="1" applyAlignment="1">
      <alignment horizontal="centerContinuous"/>
    </xf>
    <xf numFmtId="0" fontId="12" fillId="3" borderId="18" xfId="0" applyFont="1" applyFill="1" applyBorder="1" applyAlignment="1">
      <alignment horizontal="centerContinuous"/>
    </xf>
    <xf numFmtId="0" fontId="6" fillId="0" borderId="34" xfId="0" applyFont="1" applyBorder="1"/>
    <xf numFmtId="0" fontId="6" fillId="0" borderId="11" xfId="0" applyFont="1" applyBorder="1"/>
    <xf numFmtId="0" fontId="6" fillId="0" borderId="5" xfId="0" applyFont="1" applyBorder="1"/>
    <xf numFmtId="0" fontId="6" fillId="3" borderId="5" xfId="0" applyFont="1" applyFill="1" applyBorder="1" applyAlignment="1" applyProtection="1">
      <alignment horizontal="center"/>
      <protection locked="0"/>
    </xf>
    <xf numFmtId="0" fontId="6" fillId="3" borderId="35" xfId="0" applyFont="1" applyFill="1" applyBorder="1" applyAlignment="1" applyProtection="1">
      <alignment horizontal="center"/>
      <protection locked="0"/>
    </xf>
    <xf numFmtId="0" fontId="12" fillId="0" borderId="20" xfId="0" applyFont="1" applyBorder="1" applyAlignment="1">
      <alignment horizontal="centerContinuous"/>
    </xf>
    <xf numFmtId="0" fontId="6" fillId="0" borderId="12" xfId="0" applyFont="1" applyBorder="1" applyAlignment="1">
      <alignment horizontal="centerContinuous"/>
    </xf>
    <xf numFmtId="0" fontId="6" fillId="0" borderId="9" xfId="0" applyFont="1" applyBorder="1" applyAlignment="1">
      <alignment horizontal="centerContinuous"/>
    </xf>
    <xf numFmtId="0" fontId="12" fillId="0" borderId="46" xfId="7" applyFont="1" applyBorder="1" applyAlignment="1">
      <alignment horizontal="center"/>
    </xf>
    <xf numFmtId="0" fontId="12" fillId="0" borderId="34" xfId="7" applyFont="1" applyBorder="1" applyAlignment="1">
      <alignment horizontal="centerContinuous"/>
    </xf>
    <xf numFmtId="0" fontId="0" fillId="0" borderId="35" xfId="0" applyBorder="1" applyAlignment="1">
      <alignment horizontal="centerContinuous"/>
    </xf>
    <xf numFmtId="0" fontId="6" fillId="0" borderId="15" xfId="0" applyFont="1" applyBorder="1"/>
    <xf numFmtId="0" fontId="6" fillId="0" borderId="26" xfId="0" applyFont="1" applyBorder="1"/>
    <xf numFmtId="0" fontId="6" fillId="0" borderId="1" xfId="0" applyFont="1" applyBorder="1"/>
    <xf numFmtId="1" fontId="6" fillId="0" borderId="1" xfId="0" applyNumberFormat="1" applyFont="1" applyBorder="1" applyAlignment="1">
      <alignment horizontal="center"/>
    </xf>
    <xf numFmtId="1" fontId="6" fillId="0" borderId="28" xfId="0" applyNumberFormat="1" applyFont="1" applyBorder="1" applyAlignment="1">
      <alignment horizontal="center"/>
    </xf>
    <xf numFmtId="0" fontId="12" fillId="0" borderId="13" xfId="0" applyFont="1" applyBorder="1" applyAlignment="1">
      <alignment horizontal="centerContinuous"/>
    </xf>
    <xf numFmtId="0" fontId="6" fillId="0" borderId="0" xfId="0" applyFont="1" applyAlignment="1">
      <alignment horizontal="centerContinuous"/>
    </xf>
    <xf numFmtId="0" fontId="6" fillId="0" borderId="21" xfId="0" applyFont="1" applyBorder="1" applyAlignment="1">
      <alignment horizontal="centerContinuous"/>
    </xf>
    <xf numFmtId="0" fontId="2" fillId="0" borderId="0" xfId="0" applyFont="1"/>
    <xf numFmtId="0" fontId="0" fillId="0" borderId="11" xfId="0" applyBorder="1" applyAlignment="1">
      <alignment horizontal="centerContinuous"/>
    </xf>
    <xf numFmtId="0" fontId="6" fillId="0" borderId="15" xfId="7" applyFont="1" applyBorder="1"/>
    <xf numFmtId="0" fontId="6" fillId="0" borderId="1" xfId="7" applyFont="1" applyBorder="1"/>
    <xf numFmtId="164" fontId="6" fillId="3" borderId="1" xfId="7" applyNumberFormat="1" applyFont="1" applyFill="1" applyBorder="1" applyAlignment="1" applyProtection="1">
      <alignment horizontal="center"/>
      <protection locked="0"/>
    </xf>
    <xf numFmtId="164" fontId="6" fillId="3" borderId="28" xfId="7" applyNumberFormat="1" applyFont="1" applyFill="1" applyBorder="1" applyAlignment="1" applyProtection="1">
      <alignment horizontal="center"/>
      <protection locked="0"/>
    </xf>
    <xf numFmtId="164" fontId="6" fillId="0" borderId="0" xfId="7" applyNumberFormat="1" applyFont="1"/>
    <xf numFmtId="0" fontId="12" fillId="0" borderId="19" xfId="0" applyFont="1" applyBorder="1" applyAlignment="1">
      <alignment horizontal="centerContinuous"/>
    </xf>
    <xf numFmtId="0" fontId="6" fillId="0" borderId="14" xfId="0" applyFont="1" applyBorder="1" applyAlignment="1">
      <alignment horizontal="centerContinuous"/>
    </xf>
    <xf numFmtId="0" fontId="6" fillId="0" borderId="10" xfId="0" applyFont="1" applyBorder="1" applyAlignment="1">
      <alignment horizontal="centerContinuous"/>
    </xf>
    <xf numFmtId="0" fontId="6" fillId="0" borderId="1" xfId="0" applyFont="1" applyBorder="1" applyAlignment="1">
      <alignment vertical="center"/>
    </xf>
    <xf numFmtId="0" fontId="15" fillId="0" borderId="1" xfId="7" applyFont="1" applyBorder="1"/>
    <xf numFmtId="0" fontId="12" fillId="0" borderId="22" xfId="0" applyFont="1" applyBorder="1"/>
    <xf numFmtId="0" fontId="12" fillId="0" borderId="23" xfId="0" applyFont="1" applyBorder="1"/>
    <xf numFmtId="0" fontId="12" fillId="0" borderId="24" xfId="0" applyFont="1" applyBorder="1"/>
    <xf numFmtId="0" fontId="12" fillId="0" borderId="24" xfId="0" applyFont="1" applyBorder="1" applyAlignment="1">
      <alignment horizontal="center"/>
    </xf>
    <xf numFmtId="0" fontId="12" fillId="0" borderId="18" xfId="0" applyFont="1" applyBorder="1"/>
    <xf numFmtId="164" fontId="6" fillId="0" borderId="1" xfId="7" applyNumberFormat="1" applyFont="1" applyBorder="1" applyAlignment="1">
      <alignment horizontal="center"/>
    </xf>
    <xf numFmtId="164" fontId="6" fillId="0" borderId="28" xfId="7" applyNumberFormat="1" applyFont="1" applyBorder="1" applyAlignment="1">
      <alignment horizontal="center"/>
    </xf>
    <xf numFmtId="14" fontId="6" fillId="0" borderId="5" xfId="0" applyNumberFormat="1" applyFont="1" applyBorder="1"/>
    <xf numFmtId="0" fontId="6" fillId="0" borderId="1" xfId="7" applyFont="1" applyBorder="1" applyAlignment="1">
      <alignment vertical="center"/>
    </xf>
    <xf numFmtId="165" fontId="6" fillId="0" borderId="1" xfId="7" applyNumberFormat="1" applyFont="1" applyBorder="1" applyAlignment="1">
      <alignment horizontal="center"/>
    </xf>
    <xf numFmtId="165" fontId="6" fillId="0" borderId="28" xfId="7" applyNumberFormat="1" applyFont="1" applyBorder="1" applyAlignment="1">
      <alignment horizontal="center"/>
    </xf>
    <xf numFmtId="165" fontId="6" fillId="0" borderId="0" xfId="7" applyNumberFormat="1" applyFont="1"/>
    <xf numFmtId="14" fontId="6" fillId="0" borderId="1" xfId="7" applyNumberFormat="1" applyFont="1" applyBorder="1"/>
    <xf numFmtId="0" fontId="11" fillId="0" borderId="1" xfId="7" applyFont="1" applyBorder="1"/>
    <xf numFmtId="165" fontId="6" fillId="3" borderId="1" xfId="7" applyNumberFormat="1" applyFont="1" applyFill="1" applyBorder="1" applyAlignment="1" applyProtection="1">
      <alignment horizontal="center"/>
      <protection locked="0"/>
    </xf>
    <xf numFmtId="14" fontId="6" fillId="0" borderId="1" xfId="0" applyNumberFormat="1" applyFont="1" applyBorder="1"/>
    <xf numFmtId="164" fontId="6" fillId="0" borderId="47" xfId="0" applyNumberFormat="1" applyFont="1" applyBorder="1" applyAlignment="1">
      <alignment horizontal="right"/>
    </xf>
    <xf numFmtId="0" fontId="6" fillId="0" borderId="28" xfId="0" applyFont="1" applyBorder="1" applyAlignment="1">
      <alignment horizontal="left"/>
    </xf>
    <xf numFmtId="1" fontId="6" fillId="0" borderId="26" xfId="8" applyNumberFormat="1" applyFont="1" applyBorder="1" applyAlignment="1">
      <alignment horizontal="centerContinuous"/>
    </xf>
    <xf numFmtId="0" fontId="6" fillId="0" borderId="28" xfId="0" applyFont="1" applyBorder="1" applyAlignment="1">
      <alignment horizontal="centerContinuous"/>
    </xf>
    <xf numFmtId="0" fontId="6" fillId="0" borderId="19" xfId="0" applyFont="1" applyBorder="1"/>
    <xf numFmtId="14" fontId="6" fillId="0" borderId="3" xfId="0" applyNumberFormat="1" applyFont="1" applyBorder="1"/>
    <xf numFmtId="0" fontId="6" fillId="0" borderId="19" xfId="7" applyFont="1" applyBorder="1"/>
    <xf numFmtId="0" fontId="6" fillId="0" borderId="14" xfId="7" applyFont="1" applyBorder="1"/>
    <xf numFmtId="0" fontId="6" fillId="0" borderId="3" xfId="7" applyFont="1" applyBorder="1"/>
    <xf numFmtId="1" fontId="6" fillId="0" borderId="14" xfId="0" applyNumberFormat="1" applyFont="1" applyBorder="1" applyAlignment="1">
      <alignment horizontal="centerContinuous"/>
    </xf>
    <xf numFmtId="0" fontId="6" fillId="0" borderId="10" xfId="7" applyFont="1" applyBorder="1" applyAlignment="1">
      <alignment horizontal="centerContinuous"/>
    </xf>
    <xf numFmtId="0" fontId="6" fillId="0" borderId="48" xfId="7" applyFont="1" applyBorder="1"/>
    <xf numFmtId="0" fontId="6" fillId="3" borderId="31" xfId="7" applyFont="1" applyFill="1" applyBorder="1" applyAlignment="1" applyProtection="1">
      <alignment horizontal="center"/>
      <protection locked="0"/>
    </xf>
    <xf numFmtId="0" fontId="6" fillId="3" borderId="23" xfId="7" applyFont="1" applyFill="1" applyBorder="1" applyAlignment="1" applyProtection="1">
      <alignment horizontal="center"/>
      <protection locked="0"/>
    </xf>
    <xf numFmtId="0" fontId="6" fillId="3" borderId="18" xfId="7" applyFont="1" applyFill="1" applyBorder="1" applyAlignment="1" applyProtection="1">
      <alignment horizontal="center"/>
      <protection locked="0"/>
    </xf>
    <xf numFmtId="0" fontId="12" fillId="0" borderId="48" xfId="7" applyFont="1" applyBorder="1" applyAlignment="1">
      <alignment horizontal="center"/>
    </xf>
    <xf numFmtId="0" fontId="25" fillId="0" borderId="48" xfId="7" applyFont="1" applyBorder="1" applyAlignment="1">
      <alignment horizontal="center"/>
    </xf>
    <xf numFmtId="0" fontId="6" fillId="0" borderId="49" xfId="7" applyFont="1" applyBorder="1"/>
    <xf numFmtId="164" fontId="6" fillId="3" borderId="6" xfId="7" applyNumberFormat="1" applyFont="1" applyFill="1" applyBorder="1" applyAlignment="1" applyProtection="1">
      <alignment horizontal="center"/>
      <protection locked="0"/>
    </xf>
    <xf numFmtId="164" fontId="6" fillId="0" borderId="4" xfId="7" applyNumberFormat="1" applyFont="1" applyBorder="1" applyAlignment="1">
      <alignment horizontal="center"/>
    </xf>
    <xf numFmtId="164" fontId="6" fillId="0" borderId="9" xfId="7" applyNumberFormat="1" applyFont="1" applyBorder="1" applyAlignment="1">
      <alignment horizontal="center"/>
    </xf>
    <xf numFmtId="164" fontId="25" fillId="0" borderId="50" xfId="7" applyNumberFormat="1" applyFont="1" applyBorder="1" applyAlignment="1">
      <alignment horizontal="center"/>
    </xf>
    <xf numFmtId="164" fontId="6" fillId="0" borderId="6" xfId="7" applyNumberFormat="1" applyFont="1" applyBorder="1" applyAlignment="1" applyProtection="1">
      <alignment horizontal="center"/>
      <protection locked="0"/>
    </xf>
    <xf numFmtId="164" fontId="6" fillId="3" borderId="30" xfId="7" applyNumberFormat="1" applyFont="1" applyFill="1" applyBorder="1" applyAlignment="1" applyProtection="1">
      <alignment horizontal="center"/>
      <protection locked="0"/>
    </xf>
    <xf numFmtId="164" fontId="6" fillId="3" borderId="51" xfId="7" applyNumberFormat="1" applyFont="1" applyFill="1" applyBorder="1" applyAlignment="1" applyProtection="1">
      <alignment horizontal="center"/>
      <protection locked="0"/>
    </xf>
    <xf numFmtId="164" fontId="6" fillId="3" borderId="52" xfId="7" applyNumberFormat="1" applyFont="1" applyFill="1" applyBorder="1" applyAlignment="1" applyProtection="1">
      <alignment horizontal="center"/>
      <protection locked="0"/>
    </xf>
    <xf numFmtId="2" fontId="25" fillId="0" borderId="50" xfId="7" applyNumberFormat="1" applyFont="1" applyBorder="1" applyAlignment="1">
      <alignment horizontal="center"/>
    </xf>
    <xf numFmtId="164" fontId="6" fillId="0" borderId="30" xfId="7" applyNumberFormat="1" applyFont="1" applyBorder="1" applyAlignment="1">
      <alignment horizontal="center"/>
    </xf>
    <xf numFmtId="164" fontId="6" fillId="0" borderId="51" xfId="7" applyNumberFormat="1" applyFont="1" applyBorder="1" applyAlignment="1">
      <alignment horizontal="center"/>
    </xf>
    <xf numFmtId="164" fontId="6" fillId="0" borderId="52" xfId="7" applyNumberFormat="1" applyFont="1" applyBorder="1" applyAlignment="1">
      <alignment horizontal="center"/>
    </xf>
    <xf numFmtId="165" fontId="6" fillId="0" borderId="30" xfId="7" applyNumberFormat="1" applyFont="1" applyBorder="1" applyAlignment="1">
      <alignment horizontal="center"/>
    </xf>
    <xf numFmtId="165" fontId="6" fillId="0" borderId="51" xfId="7" applyNumberFormat="1" applyFont="1" applyBorder="1" applyAlignment="1">
      <alignment horizontal="center"/>
    </xf>
    <xf numFmtId="165" fontId="6" fillId="0" borderId="52" xfId="7" applyNumberFormat="1" applyFont="1" applyBorder="1" applyAlignment="1">
      <alignment horizontal="center"/>
    </xf>
    <xf numFmtId="165" fontId="25" fillId="0" borderId="50" xfId="7" applyNumberFormat="1" applyFont="1" applyBorder="1" applyAlignment="1">
      <alignment horizontal="center"/>
    </xf>
    <xf numFmtId="165" fontId="6" fillId="3" borderId="30" xfId="7" applyNumberFormat="1" applyFont="1" applyFill="1" applyBorder="1" applyAlignment="1" applyProtection="1">
      <alignment horizontal="center"/>
      <protection locked="0"/>
    </xf>
    <xf numFmtId="1" fontId="6" fillId="3" borderId="8" xfId="7" applyNumberFormat="1" applyFont="1" applyFill="1" applyBorder="1" applyAlignment="1" applyProtection="1">
      <alignment horizontal="center"/>
      <protection locked="0"/>
    </xf>
    <xf numFmtId="1" fontId="6" fillId="3" borderId="53" xfId="7" applyNumberFormat="1" applyFont="1" applyFill="1" applyBorder="1" applyAlignment="1" applyProtection="1">
      <alignment horizontal="center"/>
      <protection locked="0"/>
    </xf>
    <xf numFmtId="1" fontId="6" fillId="3" borderId="54" xfId="7" applyNumberFormat="1" applyFont="1" applyFill="1" applyBorder="1" applyAlignment="1" applyProtection="1">
      <alignment horizontal="center"/>
      <protection locked="0"/>
    </xf>
    <xf numFmtId="1" fontId="25" fillId="0" borderId="50" xfId="7" applyNumberFormat="1" applyFont="1" applyBorder="1" applyAlignment="1">
      <alignment horizontal="center"/>
    </xf>
    <xf numFmtId="0" fontId="9" fillId="0" borderId="24" xfId="7" applyFont="1" applyBorder="1"/>
    <xf numFmtId="0" fontId="6" fillId="0" borderId="24" xfId="7" applyFont="1" applyBorder="1"/>
    <xf numFmtId="0" fontId="6" fillId="0" borderId="53" xfId="7" applyFont="1" applyBorder="1" applyAlignment="1">
      <alignment horizontal="center"/>
    </xf>
    <xf numFmtId="0" fontId="25" fillId="0" borderId="55" xfId="7" applyFont="1" applyBorder="1" applyAlignment="1">
      <alignment horizontal="center"/>
    </xf>
    <xf numFmtId="0" fontId="6" fillId="0" borderId="56" xfId="7" applyFont="1" applyBorder="1" applyAlignment="1">
      <alignment horizontal="center"/>
    </xf>
    <xf numFmtId="0" fontId="6" fillId="0" borderId="57" xfId="7" applyFont="1" applyBorder="1" applyAlignment="1">
      <alignment horizontal="center"/>
    </xf>
    <xf numFmtId="0" fontId="6" fillId="0" borderId="50" xfId="7" applyFont="1" applyBorder="1"/>
    <xf numFmtId="169" fontId="6" fillId="0" borderId="24" xfId="7" applyNumberFormat="1" applyFont="1" applyBorder="1" applyAlignment="1">
      <alignment horizontal="center"/>
    </xf>
    <xf numFmtId="164" fontId="16" fillId="0" borderId="50" xfId="7" applyNumberFormat="1" applyFont="1" applyBorder="1" applyAlignment="1">
      <alignment horizontal="center"/>
    </xf>
    <xf numFmtId="164" fontId="25" fillId="0" borderId="58" xfId="7" applyNumberFormat="1" applyFont="1" applyBorder="1" applyAlignment="1">
      <alignment horizontal="center"/>
    </xf>
    <xf numFmtId="1" fontId="6" fillId="3" borderId="51" xfId="7" applyNumberFormat="1" applyFont="1" applyFill="1" applyBorder="1" applyAlignment="1" applyProtection="1">
      <alignment horizontal="center"/>
      <protection locked="0"/>
    </xf>
    <xf numFmtId="0" fontId="6" fillId="0" borderId="55" xfId="7" applyFont="1" applyBorder="1"/>
    <xf numFmtId="164" fontId="6" fillId="0" borderId="53" xfId="7" applyNumberFormat="1" applyFont="1" applyBorder="1" applyAlignment="1">
      <alignment horizontal="center"/>
    </xf>
    <xf numFmtId="164" fontId="25" fillId="0" borderId="55" xfId="7" applyNumberFormat="1" applyFont="1" applyBorder="1" applyAlignment="1">
      <alignment horizontal="center"/>
    </xf>
    <xf numFmtId="169" fontId="16" fillId="0" borderId="0" xfId="7" applyNumberFormat="1" applyFont="1" applyAlignment="1">
      <alignment horizontal="center"/>
    </xf>
    <xf numFmtId="0" fontId="39" fillId="0" borderId="0" xfId="7" applyFont="1"/>
    <xf numFmtId="0" fontId="40" fillId="0" borderId="0" xfId="7" applyFont="1"/>
    <xf numFmtId="1" fontId="41" fillId="0" borderId="0" xfId="7" applyNumberFormat="1" applyFont="1" applyAlignment="1">
      <alignment horizontal="center"/>
    </xf>
    <xf numFmtId="0" fontId="9" fillId="0" borderId="0" xfId="7" applyFont="1" applyAlignment="1">
      <alignment horizontal="center"/>
    </xf>
    <xf numFmtId="0" fontId="7" fillId="3" borderId="26" xfId="7" applyFont="1" applyFill="1" applyBorder="1" applyProtection="1">
      <protection locked="0"/>
    </xf>
    <xf numFmtId="0" fontId="7" fillId="3" borderId="26" xfId="0" applyFont="1" applyFill="1" applyBorder="1" applyProtection="1">
      <protection locked="0"/>
    </xf>
    <xf numFmtId="169" fontId="36" fillId="0" borderId="0" xfId="2" applyNumberFormat="1" applyFont="1"/>
    <xf numFmtId="2" fontId="42" fillId="0" borderId="22" xfId="8" applyNumberFormat="1" applyFont="1" applyBorder="1" applyAlignment="1">
      <alignment horizontal="centerContinuous"/>
    </xf>
    <xf numFmtId="0" fontId="43" fillId="0" borderId="24" xfId="0" applyFont="1" applyBorder="1" applyAlignment="1">
      <alignment horizontal="centerContinuous"/>
    </xf>
    <xf numFmtId="1" fontId="44" fillId="0" borderId="24" xfId="8" applyNumberFormat="1" applyFont="1" applyBorder="1" applyAlignment="1">
      <alignment horizontal="centerContinuous"/>
    </xf>
    <xf numFmtId="0" fontId="42" fillId="0" borderId="24" xfId="8" applyFont="1" applyBorder="1" applyAlignment="1">
      <alignment horizontal="centerContinuous" vertical="center"/>
    </xf>
    <xf numFmtId="0" fontId="43" fillId="0" borderId="24" xfId="8" applyFont="1" applyBorder="1" applyAlignment="1">
      <alignment horizontal="centerContinuous"/>
    </xf>
    <xf numFmtId="1" fontId="44" fillId="0" borderId="18" xfId="8" applyNumberFormat="1" applyFont="1" applyBorder="1" applyAlignment="1">
      <alignment horizontal="centerContinuous"/>
    </xf>
    <xf numFmtId="1" fontId="26" fillId="0" borderId="20" xfId="8" applyNumberFormat="1" applyFont="1" applyBorder="1" applyAlignment="1">
      <alignment vertical="center"/>
    </xf>
    <xf numFmtId="0" fontId="43" fillId="0" borderId="12" xfId="0" applyFont="1" applyBorder="1"/>
    <xf numFmtId="1" fontId="44" fillId="0" borderId="12" xfId="8" applyNumberFormat="1" applyFont="1" applyBorder="1" applyAlignment="1">
      <alignment horizontal="left"/>
    </xf>
    <xf numFmtId="165" fontId="18" fillId="0" borderId="12" xfId="8" applyNumberFormat="1" applyFont="1" applyBorder="1" applyAlignment="1" applyProtection="1">
      <alignment horizontal="center"/>
      <protection locked="0"/>
    </xf>
    <xf numFmtId="0" fontId="43" fillId="0" borderId="12" xfId="8" applyFont="1" applyBorder="1"/>
    <xf numFmtId="2" fontId="44" fillId="0" borderId="12" xfId="8" applyNumberFormat="1" applyFont="1" applyBorder="1" applyAlignment="1">
      <alignment vertical="center"/>
    </xf>
    <xf numFmtId="2" fontId="18" fillId="0" borderId="9" xfId="8" applyNumberFormat="1" applyFont="1" applyBorder="1" applyAlignment="1">
      <alignment vertical="center"/>
    </xf>
    <xf numFmtId="1" fontId="26" fillId="0" borderId="13" xfId="8" applyNumberFormat="1" applyFont="1" applyBorder="1" applyAlignment="1">
      <alignment vertical="center"/>
    </xf>
    <xf numFmtId="2" fontId="18" fillId="0" borderId="0" xfId="8" applyNumberFormat="1" applyFont="1" applyAlignment="1">
      <alignment horizontal="center"/>
    </xf>
    <xf numFmtId="2" fontId="44" fillId="0" borderId="0" xfId="8" applyNumberFormat="1" applyFont="1" applyAlignment="1">
      <alignment vertical="center"/>
    </xf>
    <xf numFmtId="0" fontId="26" fillId="0" borderId="14" xfId="8" applyFont="1" applyBorder="1" applyAlignment="1">
      <alignment vertical="center"/>
    </xf>
    <xf numFmtId="0" fontId="43" fillId="0" borderId="14" xfId="8" applyFont="1" applyBorder="1" applyAlignment="1">
      <alignment vertical="center"/>
    </xf>
    <xf numFmtId="0" fontId="43" fillId="0" borderId="14" xfId="0" applyFont="1" applyBorder="1" applyAlignment="1">
      <alignment vertical="center"/>
    </xf>
    <xf numFmtId="0" fontId="43" fillId="0" borderId="0" xfId="0" applyFont="1" applyAlignment="1">
      <alignment vertical="center"/>
    </xf>
    <xf numFmtId="0" fontId="43" fillId="0" borderId="0" xfId="0" applyFont="1"/>
    <xf numFmtId="0" fontId="43" fillId="0" borderId="21" xfId="0" applyFont="1" applyBorder="1"/>
    <xf numFmtId="0" fontId="43" fillId="0" borderId="19" xfId="0" applyFont="1" applyBorder="1"/>
    <xf numFmtId="0" fontId="43" fillId="0" borderId="14" xfId="8" applyFont="1" applyBorder="1"/>
    <xf numFmtId="0" fontId="43" fillId="0" borderId="10" xfId="0" applyFont="1" applyBorder="1"/>
    <xf numFmtId="0" fontId="26" fillId="0" borderId="22" xfId="8" applyFont="1" applyBorder="1" applyAlignment="1">
      <alignment horizontal="centerContinuous" vertical="center"/>
    </xf>
    <xf numFmtId="1" fontId="26" fillId="0" borderId="24" xfId="0" applyNumberFormat="1" applyFont="1" applyBorder="1" applyAlignment="1" applyProtection="1">
      <alignment horizontal="centerContinuous" vertical="center"/>
      <protection hidden="1"/>
    </xf>
    <xf numFmtId="0" fontId="43" fillId="0" borderId="18" xfId="8" applyFont="1" applyBorder="1" applyAlignment="1">
      <alignment horizontal="centerContinuous" vertical="center"/>
    </xf>
    <xf numFmtId="0" fontId="18" fillId="0" borderId="19" xfId="8" applyFont="1" applyBorder="1" applyAlignment="1">
      <alignment vertical="center"/>
    </xf>
    <xf numFmtId="0" fontId="43" fillId="0" borderId="10" xfId="8" applyFont="1" applyBorder="1"/>
    <xf numFmtId="0" fontId="26" fillId="0" borderId="31" xfId="0" applyFont="1" applyBorder="1" applyAlignment="1">
      <alignment horizontal="center"/>
    </xf>
    <xf numFmtId="0" fontId="26" fillId="0" borderId="59" xfId="0" applyFont="1" applyBorder="1" applyAlignment="1">
      <alignment horizontal="center"/>
    </xf>
    <xf numFmtId="169" fontId="0" fillId="0" borderId="0" xfId="0" applyNumberFormat="1"/>
    <xf numFmtId="0" fontId="9" fillId="0" borderId="35" xfId="8" applyFont="1" applyBorder="1" applyAlignment="1">
      <alignment horizontal="center"/>
    </xf>
    <xf numFmtId="0" fontId="9" fillId="0" borderId="28" xfId="8" applyFont="1" applyBorder="1" applyAlignment="1">
      <alignment horizontal="center"/>
    </xf>
    <xf numFmtId="0" fontId="9" fillId="0" borderId="10" xfId="8" applyFont="1" applyBorder="1" applyAlignment="1">
      <alignment horizontal="center"/>
    </xf>
    <xf numFmtId="0" fontId="9" fillId="0" borderId="60" xfId="8" applyFont="1" applyBorder="1" applyAlignment="1">
      <alignment horizontal="centerContinuous"/>
    </xf>
    <xf numFmtId="0" fontId="7" fillId="0" borderId="61" xfId="8" applyFont="1" applyBorder="1" applyAlignment="1">
      <alignment horizontal="centerContinuous"/>
    </xf>
    <xf numFmtId="0" fontId="7" fillId="0" borderId="62" xfId="8" applyFont="1" applyBorder="1" applyAlignment="1">
      <alignment horizontal="centerContinuous"/>
    </xf>
    <xf numFmtId="0" fontId="25" fillId="0" borderId="22" xfId="0" applyFont="1" applyBorder="1"/>
    <xf numFmtId="164" fontId="25" fillId="3" borderId="18" xfId="0" applyNumberFormat="1" applyFont="1" applyFill="1" applyBorder="1" applyAlignment="1" applyProtection="1">
      <alignment horizontal="center"/>
      <protection locked="0"/>
    </xf>
    <xf numFmtId="0" fontId="25" fillId="0" borderId="22" xfId="8" applyFont="1" applyBorder="1"/>
    <xf numFmtId="0" fontId="25" fillId="0" borderId="19" xfId="8" applyFont="1" applyBorder="1"/>
    <xf numFmtId="0" fontId="1" fillId="0" borderId="14" xfId="8" applyFont="1" applyBorder="1"/>
    <xf numFmtId="164" fontId="25" fillId="0" borderId="18" xfId="0" applyNumberFormat="1" applyFont="1" applyBorder="1" applyAlignment="1">
      <alignment horizontal="center"/>
    </xf>
    <xf numFmtId="0" fontId="2" fillId="0" borderId="0" xfId="8" applyFont="1"/>
    <xf numFmtId="0" fontId="25" fillId="0" borderId="22" xfId="0" applyFont="1" applyBorder="1" applyAlignment="1">
      <alignment horizontal="centerContinuous"/>
    </xf>
    <xf numFmtId="0" fontId="1" fillId="0" borderId="0" xfId="0" applyFont="1" applyAlignment="1">
      <alignment horizontal="center"/>
    </xf>
    <xf numFmtId="0" fontId="0" fillId="0" borderId="63" xfId="0" applyBorder="1" applyAlignment="1">
      <alignment horizontal="centerContinuous"/>
    </xf>
    <xf numFmtId="0" fontId="12" fillId="3" borderId="63" xfId="0" applyFont="1" applyFill="1" applyBorder="1" applyAlignment="1" applyProtection="1">
      <alignment horizontal="center"/>
      <protection locked="0"/>
    </xf>
    <xf numFmtId="0" fontId="0" fillId="0" borderId="26" xfId="0" applyBorder="1"/>
    <xf numFmtId="0" fontId="0" fillId="0" borderId="28" xfId="0" applyBorder="1"/>
    <xf numFmtId="0" fontId="6" fillId="0" borderId="19" xfId="8" applyFont="1" applyBorder="1" applyAlignment="1">
      <alignment horizontal="centerContinuous"/>
    </xf>
    <xf numFmtId="0" fontId="25" fillId="3" borderId="41" xfId="0" applyFont="1" applyFill="1" applyBorder="1" applyAlignment="1" applyProtection="1">
      <alignment horizontal="center"/>
      <protection locked="0"/>
    </xf>
    <xf numFmtId="0" fontId="25" fillId="0" borderId="22" xfId="8" applyFont="1" applyBorder="1" applyAlignment="1">
      <alignment horizontal="centerContinuous"/>
    </xf>
    <xf numFmtId="0" fontId="1" fillId="0" borderId="24" xfId="8" applyFont="1" applyBorder="1" applyAlignment="1">
      <alignment horizontal="centerContinuous"/>
    </xf>
    <xf numFmtId="164" fontId="25" fillId="0" borderId="24" xfId="0" applyNumberFormat="1" applyFont="1" applyBorder="1" applyAlignment="1">
      <alignment horizontal="centerContinuous"/>
    </xf>
    <xf numFmtId="0" fontId="25" fillId="0" borderId="24" xfId="8" applyFont="1" applyBorder="1" applyAlignment="1">
      <alignment horizontal="centerContinuous"/>
    </xf>
    <xf numFmtId="0" fontId="0" fillId="0" borderId="18" xfId="0" applyBorder="1" applyAlignment="1">
      <alignment horizontal="centerContinuous"/>
    </xf>
    <xf numFmtId="0" fontId="9" fillId="0" borderId="22" xfId="0" applyFont="1" applyBorder="1" applyAlignment="1">
      <alignment horizontal="centerContinuous" wrapText="1"/>
    </xf>
    <xf numFmtId="0" fontId="6" fillId="0" borderId="22" xfId="0" applyFont="1" applyBorder="1" applyAlignment="1">
      <alignment horizontal="centerContinuous"/>
    </xf>
    <xf numFmtId="0" fontId="6" fillId="4" borderId="18" xfId="8" applyFont="1" applyFill="1" applyBorder="1" applyAlignment="1" applyProtection="1">
      <alignment horizontal="center"/>
      <protection locked="0"/>
    </xf>
    <xf numFmtId="0" fontId="6" fillId="0" borderId="23" xfId="8" applyFont="1" applyBorder="1" applyAlignment="1">
      <alignment horizontal="centerContinuous"/>
    </xf>
    <xf numFmtId="0" fontId="25" fillId="0" borderId="29" xfId="0" applyFont="1" applyBorder="1" applyAlignment="1">
      <alignment horizontal="centerContinuous"/>
    </xf>
    <xf numFmtId="0" fontId="25" fillId="0" borderId="27" xfId="0" applyFont="1" applyBorder="1" applyAlignment="1">
      <alignment horizontal="centerContinuous"/>
    </xf>
    <xf numFmtId="0" fontId="25" fillId="0" borderId="7" xfId="0" applyFont="1" applyBorder="1" applyAlignment="1">
      <alignment horizontal="centerContinuous"/>
    </xf>
    <xf numFmtId="0" fontId="3" fillId="2" borderId="20" xfId="4" applyFill="1" applyBorder="1"/>
    <xf numFmtId="0" fontId="3" fillId="2" borderId="12" xfId="4" applyFill="1" applyBorder="1" applyAlignment="1">
      <alignment horizontal="centerContinuous"/>
    </xf>
    <xf numFmtId="17" fontId="20" fillId="2" borderId="9" xfId="4" quotePrefix="1" applyNumberFormat="1" applyFont="1" applyFill="1" applyBorder="1" applyAlignment="1">
      <alignment horizontal="right"/>
    </xf>
    <xf numFmtId="0" fontId="3" fillId="0" borderId="0" xfId="5"/>
    <xf numFmtId="0" fontId="3" fillId="0" borderId="0" xfId="5" applyAlignment="1">
      <alignment horizontal="centerContinuous"/>
    </xf>
    <xf numFmtId="0" fontId="20" fillId="2" borderId="13" xfId="4" applyFont="1" applyFill="1" applyBorder="1" applyAlignment="1">
      <alignment horizontal="centerContinuous"/>
    </xf>
    <xf numFmtId="0" fontId="3" fillId="2" borderId="0" xfId="4" applyFill="1" applyAlignment="1">
      <alignment horizontal="centerContinuous"/>
    </xf>
    <xf numFmtId="0" fontId="3" fillId="2" borderId="21" xfId="4" applyFill="1" applyBorder="1" applyAlignment="1">
      <alignment horizontal="centerContinuous"/>
    </xf>
    <xf numFmtId="0" fontId="3" fillId="2" borderId="19" xfId="4" applyFill="1" applyBorder="1"/>
    <xf numFmtId="0" fontId="3" fillId="2" borderId="14" xfId="4" applyFill="1" applyBorder="1" applyAlignment="1">
      <alignment horizontal="centerContinuous"/>
    </xf>
    <xf numFmtId="0" fontId="3" fillId="2" borderId="10" xfId="4" applyFill="1" applyBorder="1" applyAlignment="1">
      <alignment horizontal="centerContinuous"/>
    </xf>
    <xf numFmtId="0" fontId="45" fillId="0" borderId="0" xfId="1" applyFont="1" applyAlignment="1">
      <alignment horizontal="centerContinuous"/>
    </xf>
    <xf numFmtId="0" fontId="3" fillId="0" borderId="0" xfId="1" applyAlignment="1">
      <alignment horizontal="centerContinuous"/>
    </xf>
    <xf numFmtId="0" fontId="3" fillId="0" borderId="0" xfId="1"/>
    <xf numFmtId="0" fontId="3" fillId="0" borderId="26" xfId="1" applyBorder="1" applyAlignment="1">
      <alignment horizontal="centerContinuous"/>
    </xf>
    <xf numFmtId="0" fontId="3" fillId="0" borderId="26" xfId="1" applyBorder="1" applyAlignment="1" applyProtection="1">
      <alignment horizontal="centerContinuous"/>
      <protection locked="0"/>
    </xf>
    <xf numFmtId="0" fontId="3" fillId="4" borderId="26" xfId="1" applyFill="1" applyBorder="1" applyAlignment="1" applyProtection="1">
      <alignment horizontal="centerContinuous"/>
      <protection locked="0"/>
    </xf>
    <xf numFmtId="0" fontId="3" fillId="4" borderId="26" xfId="1" applyFill="1" applyBorder="1" applyAlignment="1">
      <alignment horizontal="centerContinuous"/>
    </xf>
    <xf numFmtId="168" fontId="3" fillId="4" borderId="26" xfId="1" applyNumberFormat="1" applyFill="1" applyBorder="1" applyAlignment="1" applyProtection="1">
      <alignment horizontal="centerContinuous"/>
      <protection locked="0"/>
    </xf>
    <xf numFmtId="0" fontId="21" fillId="0" borderId="26" xfId="1" applyFont="1" applyBorder="1" applyAlignment="1">
      <alignment horizontal="centerContinuous"/>
    </xf>
    <xf numFmtId="0" fontId="3" fillId="0" borderId="0" xfId="1" applyAlignment="1">
      <alignment vertical="center"/>
    </xf>
    <xf numFmtId="0" fontId="21" fillId="0" borderId="0" xfId="1" applyFont="1"/>
    <xf numFmtId="0" fontId="22" fillId="0" borderId="0" xfId="1" applyFont="1"/>
    <xf numFmtId="0" fontId="20" fillId="0" borderId="0" xfId="1" applyFont="1" applyAlignment="1">
      <alignment horizontal="center"/>
    </xf>
    <xf numFmtId="0" fontId="3" fillId="0" borderId="20" xfId="1" applyBorder="1" applyAlignment="1">
      <alignment horizontal="center"/>
    </xf>
    <xf numFmtId="0" fontId="3" fillId="0" borderId="12" xfId="1" applyBorder="1" applyAlignment="1">
      <alignment horizontal="center"/>
    </xf>
    <xf numFmtId="0" fontId="3" fillId="0" borderId="9" xfId="1" applyBorder="1" applyAlignment="1">
      <alignment horizontal="center"/>
    </xf>
    <xf numFmtId="0" fontId="3" fillId="0" borderId="45" xfId="1" applyBorder="1" applyAlignment="1">
      <alignment horizontal="center"/>
    </xf>
    <xf numFmtId="0" fontId="21" fillId="0" borderId="45" xfId="1" applyFont="1" applyBorder="1" applyAlignment="1">
      <alignment horizontal="center"/>
    </xf>
    <xf numFmtId="0" fontId="3" fillId="0" borderId="4" xfId="1" applyBorder="1" applyAlignment="1">
      <alignment horizontal="center"/>
    </xf>
    <xf numFmtId="0" fontId="0" fillId="0" borderId="43" xfId="0" applyBorder="1" applyAlignment="1">
      <alignment horizontal="center"/>
    </xf>
    <xf numFmtId="0" fontId="3" fillId="0" borderId="13" xfId="1" quotePrefix="1" applyBorder="1"/>
    <xf numFmtId="0" fontId="3" fillId="0" borderId="0" xfId="1" quotePrefix="1"/>
    <xf numFmtId="0" fontId="3" fillId="0" borderId="21" xfId="1" applyBorder="1"/>
    <xf numFmtId="0" fontId="3" fillId="0" borderId="19" xfId="1" applyBorder="1" applyAlignment="1">
      <alignment horizontal="center"/>
    </xf>
    <xf numFmtId="0" fontId="3" fillId="0" borderId="38" xfId="1" applyBorder="1" applyAlignment="1">
      <alignment horizontal="center"/>
    </xf>
    <xf numFmtId="0" fontId="3" fillId="0" borderId="3" xfId="1" applyBorder="1" applyAlignment="1">
      <alignment horizontal="center"/>
    </xf>
    <xf numFmtId="0" fontId="0" fillId="0" borderId="42" xfId="0" applyBorder="1"/>
    <xf numFmtId="164" fontId="3" fillId="0" borderId="13" xfId="1" applyNumberFormat="1" applyBorder="1" applyAlignment="1">
      <alignment horizontal="center"/>
    </xf>
    <xf numFmtId="165" fontId="3" fillId="0" borderId="0" xfId="1" applyNumberFormat="1" applyAlignment="1">
      <alignment horizontal="center"/>
    </xf>
    <xf numFmtId="164" fontId="3" fillId="0" borderId="21" xfId="1" applyNumberFormat="1" applyBorder="1" applyAlignment="1">
      <alignment horizontal="center"/>
    </xf>
    <xf numFmtId="0" fontId="3" fillId="0" borderId="64" xfId="1" applyBorder="1" applyAlignment="1">
      <alignment horizontal="center"/>
    </xf>
    <xf numFmtId="164" fontId="3" fillId="4" borderId="64" xfId="1" applyNumberFormat="1" applyFill="1" applyBorder="1" applyAlignment="1" applyProtection="1">
      <alignment horizontal="center"/>
      <protection locked="0"/>
    </xf>
    <xf numFmtId="164" fontId="3" fillId="4" borderId="1" xfId="1" applyNumberFormat="1" applyFill="1" applyBorder="1" applyAlignment="1" applyProtection="1">
      <alignment horizontal="center"/>
      <protection locked="0"/>
    </xf>
    <xf numFmtId="165" fontId="0" fillId="0" borderId="28" xfId="0" applyNumberFormat="1" applyBorder="1" applyAlignment="1">
      <alignment horizontal="center"/>
    </xf>
    <xf numFmtId="164" fontId="3" fillId="4" borderId="13" xfId="1" applyNumberFormat="1" applyFill="1" applyBorder="1" applyAlignment="1" applyProtection="1">
      <alignment horizontal="center"/>
      <protection locked="0"/>
    </xf>
    <xf numFmtId="164" fontId="3" fillId="0" borderId="0" xfId="1" applyNumberFormat="1"/>
    <xf numFmtId="164" fontId="3" fillId="4" borderId="38" xfId="1" applyNumberFormat="1" applyFill="1" applyBorder="1" applyAlignment="1" applyProtection="1">
      <alignment horizontal="center"/>
      <protection locked="0"/>
    </xf>
    <xf numFmtId="164" fontId="3" fillId="4" borderId="3" xfId="1" applyNumberFormat="1" applyFill="1" applyBorder="1" applyAlignment="1" applyProtection="1">
      <alignment horizontal="center"/>
      <protection locked="0"/>
    </xf>
    <xf numFmtId="165" fontId="0" fillId="0" borderId="10" xfId="0" applyNumberFormat="1" applyBorder="1" applyAlignment="1">
      <alignment horizontal="center"/>
    </xf>
    <xf numFmtId="164" fontId="3" fillId="0" borderId="19" xfId="1" applyNumberFormat="1" applyBorder="1" applyAlignment="1">
      <alignment horizontal="center"/>
    </xf>
    <xf numFmtId="165" fontId="3" fillId="0" borderId="14" xfId="1" applyNumberFormat="1" applyBorder="1" applyAlignment="1">
      <alignment horizontal="center"/>
    </xf>
    <xf numFmtId="164" fontId="3" fillId="0" borderId="10" xfId="1" applyNumberFormat="1" applyBorder="1" applyAlignment="1">
      <alignment horizontal="center"/>
    </xf>
    <xf numFmtId="0" fontId="3" fillId="0" borderId="34" xfId="1" applyBorder="1"/>
    <xf numFmtId="0" fontId="3" fillId="0" borderId="11" xfId="1" applyBorder="1"/>
    <xf numFmtId="164" fontId="3" fillId="4" borderId="65" xfId="1" applyNumberFormat="1" applyFill="1" applyBorder="1" applyAlignment="1" applyProtection="1">
      <alignment horizontal="center"/>
      <protection locked="0"/>
    </xf>
    <xf numFmtId="164" fontId="3" fillId="4" borderId="32" xfId="1" applyNumberFormat="1" applyFill="1" applyBorder="1" applyAlignment="1" applyProtection="1">
      <alignment horizontal="center"/>
      <protection locked="0"/>
    </xf>
    <xf numFmtId="0" fontId="3" fillId="0" borderId="15" xfId="1" applyBorder="1"/>
    <xf numFmtId="0" fontId="3" fillId="0" borderId="26" xfId="1" applyBorder="1"/>
    <xf numFmtId="164" fontId="3" fillId="4" borderId="66" xfId="1" applyNumberFormat="1" applyFill="1" applyBorder="1" applyAlignment="1" applyProtection="1">
      <alignment horizontal="center"/>
      <protection locked="0"/>
    </xf>
    <xf numFmtId="164" fontId="3" fillId="4" borderId="33" xfId="1" applyNumberFormat="1" applyFill="1" applyBorder="1" applyAlignment="1" applyProtection="1">
      <alignment horizontal="center"/>
      <protection locked="0"/>
    </xf>
    <xf numFmtId="164" fontId="3" fillId="0" borderId="66" xfId="1" applyNumberFormat="1" applyBorder="1" applyAlignment="1">
      <alignment horizontal="center"/>
    </xf>
    <xf numFmtId="0" fontId="3" fillId="0" borderId="33" xfId="1" applyBorder="1" applyAlignment="1">
      <alignment horizontal="center"/>
    </xf>
    <xf numFmtId="165" fontId="3" fillId="0" borderId="0" xfId="1" quotePrefix="1" applyNumberFormat="1"/>
    <xf numFmtId="164" fontId="3" fillId="4" borderId="27" xfId="1" applyNumberFormat="1" applyFill="1" applyBorder="1" applyAlignment="1" applyProtection="1">
      <alignment horizontal="center"/>
      <protection locked="0"/>
    </xf>
    <xf numFmtId="164" fontId="3" fillId="4" borderId="28" xfId="1" applyNumberFormat="1" applyFill="1" applyBorder="1" applyAlignment="1" applyProtection="1">
      <alignment horizontal="center"/>
      <protection locked="0"/>
    </xf>
    <xf numFmtId="0" fontId="3" fillId="0" borderId="20" xfId="1" applyBorder="1"/>
    <xf numFmtId="165" fontId="3" fillId="0" borderId="9" xfId="1" applyNumberFormat="1" applyBorder="1"/>
    <xf numFmtId="0" fontId="3" fillId="0" borderId="28" xfId="1" applyBorder="1"/>
    <xf numFmtId="164" fontId="3" fillId="0" borderId="25" xfId="1" applyNumberFormat="1" applyBorder="1" applyAlignment="1">
      <alignment horizontal="center"/>
    </xf>
    <xf numFmtId="164" fontId="3" fillId="0" borderId="67" xfId="1" applyNumberFormat="1" applyBorder="1" applyAlignment="1">
      <alignment horizontal="center"/>
    </xf>
    <xf numFmtId="0" fontId="3" fillId="0" borderId="13" xfId="1" applyBorder="1"/>
    <xf numFmtId="165" fontId="3" fillId="0" borderId="21" xfId="1" applyNumberFormat="1" applyBorder="1"/>
    <xf numFmtId="0" fontId="20" fillId="0" borderId="0" xfId="1" applyFont="1"/>
    <xf numFmtId="164" fontId="3" fillId="0" borderId="37" xfId="1" applyNumberFormat="1" applyBorder="1" applyAlignment="1">
      <alignment horizontal="center"/>
    </xf>
    <xf numFmtId="0" fontId="3" fillId="0" borderId="19" xfId="1" applyBorder="1"/>
    <xf numFmtId="165" fontId="3" fillId="0" borderId="10" xfId="1" applyNumberFormat="1" applyBorder="1"/>
    <xf numFmtId="0" fontId="3" fillId="0" borderId="68" xfId="1" applyBorder="1"/>
    <xf numFmtId="165" fontId="3" fillId="0" borderId="37" xfId="1" applyNumberFormat="1" applyBorder="1" applyAlignment="1">
      <alignment horizontal="center"/>
    </xf>
    <xf numFmtId="165" fontId="3" fillId="0" borderId="25" xfId="1" applyNumberFormat="1" applyBorder="1" applyAlignment="1">
      <alignment horizontal="center"/>
    </xf>
    <xf numFmtId="165" fontId="3" fillId="0" borderId="67" xfId="1" applyNumberFormat="1" applyBorder="1" applyAlignment="1">
      <alignment horizontal="center"/>
    </xf>
    <xf numFmtId="165" fontId="3" fillId="0" borderId="48" xfId="1" applyNumberFormat="1" applyBorder="1" applyAlignment="1">
      <alignment horizontal="center"/>
    </xf>
    <xf numFmtId="0" fontId="3" fillId="0" borderId="47" xfId="1" applyBorder="1"/>
    <xf numFmtId="164" fontId="3" fillId="0" borderId="27" xfId="1" applyNumberFormat="1" applyBorder="1" applyAlignment="1">
      <alignment horizontal="center"/>
    </xf>
    <xf numFmtId="164" fontId="3" fillId="0" borderId="64" xfId="1" applyNumberFormat="1" applyBorder="1" applyAlignment="1">
      <alignment horizontal="center"/>
    </xf>
    <xf numFmtId="164" fontId="3" fillId="0" borderId="33" xfId="1" applyNumberFormat="1" applyBorder="1" applyAlignment="1">
      <alignment horizontal="center"/>
    </xf>
    <xf numFmtId="0" fontId="3" fillId="0" borderId="14" xfId="1" applyBorder="1"/>
    <xf numFmtId="165" fontId="3" fillId="0" borderId="7" xfId="1" applyNumberFormat="1" applyBorder="1" applyAlignment="1">
      <alignment horizontal="center"/>
    </xf>
    <xf numFmtId="165" fontId="3" fillId="0" borderId="38" xfId="1" applyNumberFormat="1" applyBorder="1" applyAlignment="1">
      <alignment horizontal="center"/>
    </xf>
    <xf numFmtId="165" fontId="3" fillId="0" borderId="42" xfId="1" applyNumberFormat="1" applyBorder="1" applyAlignment="1">
      <alignment horizontal="center"/>
    </xf>
    <xf numFmtId="164" fontId="3" fillId="0" borderId="65" xfId="1" quotePrefix="1" applyNumberFormat="1" applyBorder="1" applyAlignment="1">
      <alignment horizontal="center"/>
    </xf>
    <xf numFmtId="165" fontId="3" fillId="0" borderId="33" xfId="1" applyNumberFormat="1" applyBorder="1" applyAlignment="1">
      <alignment horizontal="center"/>
    </xf>
    <xf numFmtId="2" fontId="3" fillId="0" borderId="33" xfId="1" applyNumberFormat="1" applyBorder="1" applyAlignment="1">
      <alignment horizontal="center"/>
    </xf>
    <xf numFmtId="0" fontId="3" fillId="0" borderId="0" xfId="1" applyProtection="1">
      <protection locked="0"/>
    </xf>
    <xf numFmtId="2" fontId="3" fillId="4" borderId="42" xfId="1" applyNumberFormat="1" applyFill="1" applyBorder="1" applyAlignment="1" applyProtection="1">
      <alignment horizontal="center"/>
      <protection locked="0"/>
    </xf>
    <xf numFmtId="1" fontId="3" fillId="0" borderId="42" xfId="1" applyNumberFormat="1" applyBorder="1" applyAlignment="1">
      <alignment horizontal="center"/>
    </xf>
    <xf numFmtId="0" fontId="3" fillId="4" borderId="26" xfId="1" quotePrefix="1" applyFill="1" applyBorder="1" applyProtection="1">
      <protection locked="0"/>
    </xf>
    <xf numFmtId="0" fontId="3" fillId="4" borderId="26" xfId="1" applyFill="1" applyBorder="1" applyProtection="1">
      <protection locked="0"/>
    </xf>
    <xf numFmtId="0" fontId="3" fillId="0" borderId="29" xfId="1" applyBorder="1"/>
    <xf numFmtId="164" fontId="21" fillId="0" borderId="5" xfId="8" applyNumberFormat="1" applyFont="1" applyBorder="1" applyAlignment="1">
      <alignment horizontal="center"/>
    </xf>
    <xf numFmtId="164" fontId="21" fillId="0" borderId="32" xfId="8" applyNumberFormat="1" applyFont="1" applyBorder="1" applyAlignment="1">
      <alignment horizontal="center"/>
    </xf>
    <xf numFmtId="165" fontId="6" fillId="0" borderId="69" xfId="8" applyNumberFormat="1" applyFont="1" applyBorder="1" applyAlignment="1">
      <alignment horizontal="center"/>
    </xf>
    <xf numFmtId="0" fontId="6" fillId="0" borderId="19" xfId="8" applyFont="1" applyBorder="1" applyAlignment="1">
      <alignment horizontal="center"/>
    </xf>
    <xf numFmtId="165" fontId="25" fillId="0" borderId="10" xfId="8" applyNumberFormat="1" applyFont="1" applyBorder="1" applyAlignment="1">
      <alignment horizontal="center"/>
    </xf>
    <xf numFmtId="0" fontId="21" fillId="0" borderId="0" xfId="8" applyFont="1"/>
    <xf numFmtId="164" fontId="6" fillId="3" borderId="70" xfId="7" applyNumberFormat="1" applyFont="1" applyFill="1" applyBorder="1" applyAlignment="1" applyProtection="1">
      <alignment horizontal="center"/>
      <protection locked="0"/>
    </xf>
    <xf numFmtId="0" fontId="3" fillId="5" borderId="19" xfId="1" applyFill="1" applyBorder="1"/>
    <xf numFmtId="0" fontId="1" fillId="0" borderId="0" xfId="0" applyFont="1"/>
    <xf numFmtId="0" fontId="36" fillId="0" borderId="0" xfId="2" applyFont="1"/>
    <xf numFmtId="168" fontId="21" fillId="0" borderId="26" xfId="1" applyNumberFormat="1" applyFont="1" applyBorder="1" applyAlignment="1">
      <alignment horizontal="centerContinuous"/>
    </xf>
    <xf numFmtId="1" fontId="16" fillId="0" borderId="28" xfId="0" applyNumberFormat="1" applyFont="1" applyBorder="1" applyAlignment="1" applyProtection="1">
      <alignment horizontal="center"/>
      <protection locked="0"/>
    </xf>
    <xf numFmtId="0" fontId="10" fillId="0" borderId="0" xfId="8" applyFont="1" applyAlignment="1">
      <alignment horizontal="centerContinuous"/>
    </xf>
    <xf numFmtId="14" fontId="16" fillId="4" borderId="14" xfId="8" applyNumberFormat="1" applyFont="1" applyFill="1" applyBorder="1" applyAlignment="1" applyProtection="1">
      <alignment horizontal="center"/>
      <protection locked="0"/>
    </xf>
    <xf numFmtId="0" fontId="6" fillId="0" borderId="23" xfId="8" applyFont="1" applyBorder="1" applyAlignment="1">
      <alignment horizontal="center"/>
    </xf>
    <xf numFmtId="1" fontId="6" fillId="0" borderId="1" xfId="8" applyNumberFormat="1" applyFont="1" applyBorder="1" applyAlignment="1">
      <alignment horizontal="center"/>
    </xf>
    <xf numFmtId="1" fontId="6" fillId="3" borderId="1" xfId="8" applyNumberFormat="1" applyFont="1" applyFill="1" applyBorder="1" applyAlignment="1" applyProtection="1">
      <alignment horizontal="center"/>
      <protection locked="0"/>
    </xf>
    <xf numFmtId="0" fontId="6" fillId="0" borderId="18" xfId="8" applyFont="1" applyBorder="1" applyAlignment="1">
      <alignment horizontal="center"/>
    </xf>
    <xf numFmtId="1" fontId="6" fillId="0" borderId="28" xfId="8" quotePrefix="1" applyNumberFormat="1" applyFont="1" applyBorder="1" applyAlignment="1">
      <alignment horizontal="center"/>
    </xf>
    <xf numFmtId="0" fontId="21" fillId="0" borderId="0" xfId="6" applyFont="1" applyAlignment="1">
      <alignment horizontal="centerContinuous"/>
    </xf>
    <xf numFmtId="0" fontId="3" fillId="0" borderId="0" xfId="2" quotePrefix="1" applyProtection="1">
      <protection locked="0"/>
    </xf>
    <xf numFmtId="0" fontId="3" fillId="4" borderId="0" xfId="2" applyFill="1" applyProtection="1">
      <protection locked="0"/>
    </xf>
    <xf numFmtId="0" fontId="6" fillId="0" borderId="22" xfId="0" quotePrefix="1" applyFont="1" applyBorder="1" applyAlignment="1">
      <alignment horizontal="centerContinuous"/>
    </xf>
    <xf numFmtId="0" fontId="6" fillId="0" borderId="24" xfId="0" quotePrefix="1" applyFont="1" applyBorder="1" applyAlignment="1">
      <alignment horizontal="centerContinuous"/>
    </xf>
    <xf numFmtId="1" fontId="6" fillId="3" borderId="28" xfId="8" quotePrefix="1" applyNumberFormat="1" applyFont="1" applyFill="1" applyBorder="1" applyAlignment="1" applyProtection="1">
      <alignment horizontal="center"/>
      <protection locked="0"/>
    </xf>
    <xf numFmtId="164" fontId="6" fillId="3" borderId="10" xfId="8" quotePrefix="1" applyNumberFormat="1" applyFont="1" applyFill="1" applyBorder="1" applyAlignment="1" applyProtection="1">
      <alignment horizontal="center"/>
      <protection locked="0"/>
    </xf>
    <xf numFmtId="1" fontId="6" fillId="0" borderId="28" xfId="8" applyNumberFormat="1" applyFont="1" applyBorder="1" applyAlignment="1" applyProtection="1">
      <alignment horizontal="center"/>
      <protection locked="0"/>
    </xf>
    <xf numFmtId="164" fontId="5" fillId="3" borderId="40" xfId="2" quotePrefix="1" applyNumberFormat="1" applyFont="1" applyFill="1" applyBorder="1" applyAlignment="1" applyProtection="1">
      <alignment horizontal="center"/>
      <protection locked="0"/>
    </xf>
    <xf numFmtId="1" fontId="7" fillId="0" borderId="0" xfId="8" applyNumberFormat="1" applyFont="1"/>
    <xf numFmtId="164" fontId="7" fillId="0" borderId="0" xfId="8" applyNumberFormat="1" applyFont="1"/>
    <xf numFmtId="1" fontId="0" fillId="0" borderId="0" xfId="0" applyNumberFormat="1"/>
    <xf numFmtId="0" fontId="6" fillId="0" borderId="36" xfId="0" applyFont="1" applyBorder="1"/>
    <xf numFmtId="0" fontId="6" fillId="0" borderId="47" xfId="0" applyFont="1" applyBorder="1"/>
    <xf numFmtId="0" fontId="6" fillId="0" borderId="69" xfId="0" applyFont="1" applyBorder="1"/>
    <xf numFmtId="0" fontId="6" fillId="3" borderId="69" xfId="0" applyFont="1" applyFill="1" applyBorder="1" applyAlignment="1" applyProtection="1">
      <alignment horizontal="center"/>
      <protection locked="0"/>
    </xf>
    <xf numFmtId="0" fontId="6" fillId="3" borderId="68" xfId="0" applyFont="1" applyFill="1" applyBorder="1" applyAlignment="1" applyProtection="1">
      <alignment horizontal="center"/>
      <protection locked="0"/>
    </xf>
    <xf numFmtId="0" fontId="52" fillId="0" borderId="0" xfId="8" applyFont="1"/>
    <xf numFmtId="0" fontId="0" fillId="0" borderId="0" xfId="0" applyProtection="1">
      <protection locked="0"/>
    </xf>
    <xf numFmtId="1" fontId="16" fillId="0" borderId="0" xfId="0" applyNumberFormat="1" applyFont="1" applyAlignment="1">
      <alignment horizontal="left"/>
    </xf>
    <xf numFmtId="0" fontId="0" fillId="6" borderId="0" xfId="0" applyFill="1"/>
    <xf numFmtId="0" fontId="26" fillId="0" borderId="22" xfId="8" applyFont="1" applyBorder="1" applyAlignment="1">
      <alignment horizontal="left" vertical="center"/>
    </xf>
    <xf numFmtId="0" fontId="7" fillId="0" borderId="0" xfId="8" quotePrefix="1" applyFont="1"/>
    <xf numFmtId="0" fontId="0" fillId="0" borderId="0" xfId="0" quotePrefix="1"/>
    <xf numFmtId="1" fontId="6" fillId="3" borderId="28" xfId="8" applyNumberFormat="1" applyFont="1" applyFill="1" applyBorder="1" applyAlignment="1" applyProtection="1">
      <alignment horizontal="center"/>
      <protection locked="0"/>
    </xf>
    <xf numFmtId="164" fontId="6" fillId="0" borderId="3" xfId="8" applyNumberFormat="1" applyFont="1" applyBorder="1" applyAlignment="1" applyProtection="1">
      <alignment horizontal="center"/>
      <protection locked="0"/>
    </xf>
    <xf numFmtId="170" fontId="6" fillId="3" borderId="0" xfId="0" applyNumberFormat="1" applyFont="1" applyFill="1" applyAlignment="1" applyProtection="1">
      <alignment horizontal="left"/>
      <protection locked="0"/>
    </xf>
    <xf numFmtId="1" fontId="6" fillId="3" borderId="67" xfId="8" applyNumberFormat="1" applyFont="1" applyFill="1" applyBorder="1" applyAlignment="1" applyProtection="1">
      <alignment horizontal="center"/>
      <protection locked="0"/>
    </xf>
    <xf numFmtId="164" fontId="53" fillId="0" borderId="26" xfId="0" applyNumberFormat="1" applyFont="1" applyBorder="1" applyAlignment="1">
      <alignment horizontal="centerContinuous"/>
    </xf>
    <xf numFmtId="164" fontId="53" fillId="0" borderId="0" xfId="0" applyNumberFormat="1" applyFont="1" applyAlignment="1">
      <alignment horizontal="centerContinuous"/>
    </xf>
    <xf numFmtId="0" fontId="54" fillId="0" borderId="0" xfId="0" applyFont="1" applyAlignment="1">
      <alignment horizontal="centerContinuous"/>
    </xf>
    <xf numFmtId="0" fontId="55" fillId="0" borderId="0" xfId="0" applyFont="1"/>
    <xf numFmtId="0" fontId="56" fillId="0" borderId="0" xfId="0" applyFont="1" applyAlignment="1">
      <alignment horizontal="centerContinuous"/>
    </xf>
    <xf numFmtId="0" fontId="11" fillId="0" borderId="0" xfId="8" applyFont="1" applyAlignment="1">
      <alignment horizontal="left"/>
    </xf>
    <xf numFmtId="16" fontId="9" fillId="4" borderId="31" xfId="0" quotePrefix="1" applyNumberFormat="1" applyFont="1" applyFill="1" applyBorder="1" applyAlignment="1" applyProtection="1">
      <alignment horizontal="center" vertical="center"/>
      <protection hidden="1"/>
    </xf>
    <xf numFmtId="169" fontId="9" fillId="4" borderId="18" xfId="0" applyNumberFormat="1" applyFont="1" applyFill="1" applyBorder="1" applyAlignment="1" applyProtection="1">
      <alignment horizontal="center" vertical="center"/>
      <protection hidden="1"/>
    </xf>
    <xf numFmtId="0" fontId="9" fillId="4" borderId="31" xfId="0" quotePrefix="1" applyFont="1" applyFill="1" applyBorder="1" applyAlignment="1" applyProtection="1">
      <alignment horizontal="center" vertical="center"/>
      <protection hidden="1"/>
    </xf>
    <xf numFmtId="0" fontId="9" fillId="4" borderId="18" xfId="0" applyFont="1" applyFill="1" applyBorder="1" applyAlignment="1" applyProtection="1">
      <alignment horizontal="center" vertical="center"/>
      <protection hidden="1"/>
    </xf>
    <xf numFmtId="0" fontId="9" fillId="4" borderId="18" xfId="0" quotePrefix="1" applyFont="1" applyFill="1" applyBorder="1" applyAlignment="1" applyProtection="1">
      <alignment horizontal="center" vertical="center"/>
      <protection hidden="1"/>
    </xf>
    <xf numFmtId="0" fontId="7" fillId="7" borderId="25" xfId="0" applyFont="1" applyFill="1" applyBorder="1" applyAlignment="1">
      <alignment vertical="top"/>
    </xf>
    <xf numFmtId="0" fontId="0" fillId="6" borderId="71" xfId="0" applyFill="1" applyBorder="1" applyAlignment="1">
      <alignment vertical="top"/>
    </xf>
    <xf numFmtId="0" fontId="0" fillId="0" borderId="0" xfId="0" applyAlignment="1">
      <alignment vertical="top"/>
    </xf>
    <xf numFmtId="0" fontId="7" fillId="0" borderId="25" xfId="0" applyFont="1" applyBorder="1" applyAlignment="1">
      <alignment vertical="top"/>
    </xf>
    <xf numFmtId="0" fontId="9" fillId="0" borderId="0" xfId="0" applyFont="1" applyAlignment="1">
      <alignment vertical="top"/>
    </xf>
    <xf numFmtId="0" fontId="9" fillId="0" borderId="0" xfId="0" quotePrefix="1" applyFont="1" applyAlignment="1">
      <alignment horizontal="left" vertical="top"/>
    </xf>
    <xf numFmtId="0" fontId="0" fillId="0" borderId="0" xfId="0" quotePrefix="1" applyAlignment="1">
      <alignment horizontal="left" vertical="top"/>
    </xf>
    <xf numFmtId="49" fontId="0" fillId="3" borderId="25" xfId="0" applyNumberFormat="1" applyFill="1" applyBorder="1" applyAlignment="1" applyProtection="1">
      <alignment vertical="top"/>
      <protection locked="0"/>
    </xf>
    <xf numFmtId="0" fontId="0" fillId="3" borderId="25" xfId="0" applyFill="1" applyBorder="1" applyAlignment="1" applyProtection="1">
      <alignment vertical="top"/>
      <protection locked="0"/>
    </xf>
    <xf numFmtId="49" fontId="0" fillId="3" borderId="25" xfId="0" applyNumberFormat="1" applyFill="1" applyBorder="1" applyAlignment="1">
      <alignment vertical="top"/>
    </xf>
    <xf numFmtId="0" fontId="0" fillId="3" borderId="25" xfId="0" applyFill="1" applyBorder="1" applyAlignment="1">
      <alignment vertical="top"/>
    </xf>
    <xf numFmtId="0" fontId="12" fillId="3" borderId="20" xfId="0" applyFont="1" applyFill="1" applyBorder="1"/>
    <xf numFmtId="0" fontId="6" fillId="3" borderId="19" xfId="0" applyFont="1" applyFill="1" applyBorder="1"/>
    <xf numFmtId="2" fontId="0" fillId="0" borderId="1" xfId="0" applyNumberFormat="1" applyBorder="1" applyAlignment="1" applyProtection="1">
      <alignment horizontal="center"/>
      <protection locked="0"/>
    </xf>
    <xf numFmtId="2" fontId="0" fillId="0" borderId="3" xfId="0" applyNumberFormat="1" applyBorder="1" applyAlignment="1" applyProtection="1">
      <alignment horizontal="center"/>
      <protection locked="0"/>
    </xf>
    <xf numFmtId="1" fontId="0" fillId="4" borderId="1" xfId="0" applyNumberFormat="1" applyFill="1" applyBorder="1" applyAlignment="1" applyProtection="1">
      <alignment horizontal="center"/>
      <protection locked="0"/>
    </xf>
    <xf numFmtId="0" fontId="0" fillId="4" borderId="26" xfId="0" applyFill="1" applyBorder="1" applyAlignment="1" applyProtection="1">
      <alignment horizontal="centerContinuous"/>
      <protection locked="0"/>
    </xf>
    <xf numFmtId="0" fontId="0" fillId="4" borderId="14" xfId="0" applyFill="1" applyBorder="1" applyAlignment="1" applyProtection="1">
      <alignment horizontal="centerContinuous"/>
      <protection locked="0"/>
    </xf>
    <xf numFmtId="0" fontId="21" fillId="0" borderId="34" xfId="8" applyFont="1" applyBorder="1" applyAlignment="1">
      <alignment horizontal="left"/>
    </xf>
    <xf numFmtId="164" fontId="6" fillId="0" borderId="2" xfId="0" applyNumberFormat="1" applyFont="1" applyBorder="1" applyAlignment="1">
      <alignment horizontal="center"/>
    </xf>
    <xf numFmtId="0" fontId="12" fillId="8" borderId="36" xfId="8" applyFont="1" applyFill="1" applyBorder="1" applyAlignment="1">
      <alignment vertical="top"/>
    </xf>
    <xf numFmtId="0" fontId="11" fillId="8" borderId="69" xfId="8" applyFont="1" applyFill="1" applyBorder="1" applyAlignment="1">
      <alignment horizontal="centerContinuous" vertical="top"/>
    </xf>
    <xf numFmtId="0" fontId="12" fillId="8" borderId="22" xfId="8" applyFont="1" applyFill="1" applyBorder="1" applyAlignment="1">
      <alignment horizontal="centerContinuous" vertical="top"/>
    </xf>
    <xf numFmtId="0" fontId="16" fillId="8" borderId="24" xfId="0" applyFont="1" applyFill="1" applyBorder="1" applyAlignment="1">
      <alignment horizontal="centerContinuous" vertical="top"/>
    </xf>
    <xf numFmtId="0" fontId="25" fillId="8" borderId="39" xfId="8" applyFont="1" applyFill="1" applyBorder="1" applyAlignment="1">
      <alignment horizontal="center" vertical="top"/>
    </xf>
    <xf numFmtId="0" fontId="12" fillId="8" borderId="15" xfId="8" applyFont="1" applyFill="1" applyBorder="1" applyAlignment="1">
      <alignment vertical="top"/>
    </xf>
    <xf numFmtId="0" fontId="6" fillId="8" borderId="1" xfId="8" applyFont="1" applyFill="1" applyBorder="1" applyAlignment="1">
      <alignment vertical="top"/>
    </xf>
    <xf numFmtId="1" fontId="12" fillId="4" borderId="40" xfId="8" applyNumberFormat="1" applyFont="1" applyFill="1" applyBorder="1" applyAlignment="1" applyProtection="1">
      <alignment horizontal="center" vertical="top"/>
      <protection locked="0"/>
    </xf>
    <xf numFmtId="0" fontId="6" fillId="8" borderId="69" xfId="8" applyFont="1" applyFill="1" applyBorder="1" applyAlignment="1">
      <alignment vertical="top"/>
    </xf>
    <xf numFmtId="0" fontId="12" fillId="8" borderId="18" xfId="8" applyFont="1" applyFill="1" applyBorder="1" applyAlignment="1">
      <alignment horizontal="center" vertical="top"/>
    </xf>
    <xf numFmtId="1" fontId="5" fillId="4" borderId="40" xfId="2" applyNumberFormat="1" applyFont="1" applyFill="1" applyBorder="1" applyAlignment="1" applyProtection="1">
      <alignment horizontal="center" vertical="top"/>
      <protection locked="0"/>
    </xf>
    <xf numFmtId="0" fontId="12" fillId="8" borderId="15" xfId="0" applyFont="1" applyFill="1" applyBorder="1" applyAlignment="1">
      <alignment vertical="top"/>
    </xf>
    <xf numFmtId="0" fontId="16" fillId="8" borderId="1" xfId="0" applyFont="1" applyFill="1" applyBorder="1" applyAlignment="1">
      <alignment vertical="top"/>
    </xf>
    <xf numFmtId="0" fontId="6" fillId="8" borderId="31" xfId="8" applyFont="1" applyFill="1" applyBorder="1" applyAlignment="1">
      <alignment horizontal="center" vertical="top"/>
    </xf>
    <xf numFmtId="0" fontId="6" fillId="8" borderId="23" xfId="8" applyFont="1" applyFill="1" applyBorder="1" applyAlignment="1">
      <alignment horizontal="center" vertical="top"/>
    </xf>
    <xf numFmtId="0" fontId="6" fillId="8" borderId="18" xfId="8" applyFont="1" applyFill="1" applyBorder="1" applyAlignment="1">
      <alignment horizontal="center" vertical="top"/>
    </xf>
    <xf numFmtId="1" fontId="12" fillId="4" borderId="41" xfId="8" applyNumberFormat="1" applyFont="1" applyFill="1" applyBorder="1" applyAlignment="1" applyProtection="1">
      <alignment horizontal="center" vertical="top"/>
      <protection locked="0"/>
    </xf>
    <xf numFmtId="49" fontId="6" fillId="8" borderId="27" xfId="8" applyNumberFormat="1" applyFont="1" applyFill="1" applyBorder="1" applyAlignment="1">
      <alignment horizontal="center" vertical="top"/>
    </xf>
    <xf numFmtId="1" fontId="6" fillId="4" borderId="1" xfId="8" applyNumberFormat="1" applyFont="1" applyFill="1" applyBorder="1" applyAlignment="1">
      <alignment horizontal="center" vertical="top"/>
    </xf>
    <xf numFmtId="1" fontId="6" fillId="4" borderId="28" xfId="8" applyNumberFormat="1" applyFont="1" applyFill="1" applyBorder="1" applyAlignment="1">
      <alignment horizontal="center" vertical="top"/>
    </xf>
    <xf numFmtId="1" fontId="6" fillId="4" borderId="1" xfId="8" applyNumberFormat="1" applyFont="1" applyFill="1" applyBorder="1" applyAlignment="1" applyProtection="1">
      <alignment horizontal="center" vertical="top"/>
      <protection locked="0"/>
    </xf>
    <xf numFmtId="1" fontId="6" fillId="4" borderId="28" xfId="8" applyNumberFormat="1" applyFont="1" applyFill="1" applyBorder="1" applyAlignment="1" applyProtection="1">
      <alignment horizontal="center" vertical="top"/>
      <protection locked="0"/>
    </xf>
    <xf numFmtId="164" fontId="5" fillId="4" borderId="40" xfId="2" applyNumberFormat="1" applyFont="1" applyFill="1" applyBorder="1" applyAlignment="1" applyProtection="1">
      <alignment horizontal="center" vertical="top"/>
      <protection locked="0"/>
    </xf>
    <xf numFmtId="0" fontId="62" fillId="0" borderId="0" xfId="0" applyFont="1" applyAlignment="1">
      <alignment vertical="top"/>
    </xf>
    <xf numFmtId="0" fontId="12" fillId="8" borderId="48" xfId="0" applyFont="1" applyFill="1" applyBorder="1" applyAlignment="1">
      <alignment horizontal="center" vertical="top"/>
    </xf>
    <xf numFmtId="164" fontId="6" fillId="8" borderId="31" xfId="8" applyNumberFormat="1" applyFont="1" applyFill="1" applyBorder="1" applyAlignment="1">
      <alignment horizontal="center" vertical="top"/>
    </xf>
    <xf numFmtId="164" fontId="6" fillId="8" borderId="17" xfId="8" applyNumberFormat="1" applyFont="1" applyFill="1" applyBorder="1" applyAlignment="1">
      <alignment horizontal="center" vertical="top"/>
    </xf>
    <xf numFmtId="164" fontId="6" fillId="8" borderId="18" xfId="8" applyNumberFormat="1" applyFont="1" applyFill="1" applyBorder="1" applyAlignment="1">
      <alignment horizontal="center" vertical="top"/>
    </xf>
    <xf numFmtId="0" fontId="12" fillId="8" borderId="46" xfId="0" applyFont="1" applyFill="1" applyBorder="1" applyAlignment="1">
      <alignment horizontal="center" vertical="top"/>
    </xf>
    <xf numFmtId="164" fontId="6" fillId="8" borderId="29" xfId="8" applyNumberFormat="1" applyFont="1" applyFill="1" applyBorder="1" applyAlignment="1">
      <alignment horizontal="center" vertical="top"/>
    </xf>
    <xf numFmtId="164" fontId="6" fillId="8" borderId="72" xfId="8" applyNumberFormat="1" applyFont="1" applyFill="1" applyBorder="1" applyAlignment="1">
      <alignment horizontal="center" vertical="top"/>
    </xf>
    <xf numFmtId="164" fontId="6" fillId="8" borderId="35" xfId="8" applyNumberFormat="1" applyFont="1" applyFill="1" applyBorder="1" applyAlignment="1">
      <alignment horizontal="center" vertical="top"/>
    </xf>
    <xf numFmtId="0" fontId="12" fillId="8" borderId="58" xfId="0" applyFont="1" applyFill="1" applyBorder="1" applyAlignment="1">
      <alignment horizontal="center" vertical="top"/>
    </xf>
    <xf numFmtId="164" fontId="6" fillId="8" borderId="37" xfId="8" applyNumberFormat="1" applyFont="1" applyFill="1" applyBorder="1" applyAlignment="1">
      <alignment horizontal="center" vertical="top"/>
    </xf>
    <xf numFmtId="164" fontId="6" fillId="8" borderId="25" xfId="8" applyNumberFormat="1" applyFont="1" applyFill="1" applyBorder="1" applyAlignment="1">
      <alignment horizontal="center" vertical="top"/>
    </xf>
    <xf numFmtId="164" fontId="6" fillId="8" borderId="68" xfId="8" applyNumberFormat="1" applyFont="1" applyFill="1" applyBorder="1" applyAlignment="1">
      <alignment horizontal="center" vertical="top"/>
    </xf>
    <xf numFmtId="0" fontId="6" fillId="8" borderId="27" xfId="8" applyFont="1" applyFill="1" applyBorder="1" applyAlignment="1">
      <alignment horizontal="center" vertical="top"/>
    </xf>
    <xf numFmtId="165" fontId="6" fillId="8" borderId="37" xfId="8" applyNumberFormat="1" applyFont="1" applyFill="1" applyBorder="1" applyAlignment="1">
      <alignment horizontal="center" vertical="top"/>
    </xf>
    <xf numFmtId="165" fontId="6" fillId="8" borderId="25" xfId="8" applyNumberFormat="1" applyFont="1" applyFill="1" applyBorder="1" applyAlignment="1">
      <alignment horizontal="center" vertical="top"/>
    </xf>
    <xf numFmtId="165" fontId="6" fillId="8" borderId="68" xfId="8" applyNumberFormat="1" applyFont="1" applyFill="1" applyBorder="1" applyAlignment="1">
      <alignment horizontal="center" vertical="top"/>
    </xf>
    <xf numFmtId="165" fontId="6" fillId="8" borderId="27" xfId="8" applyNumberFormat="1" applyFont="1" applyFill="1" applyBorder="1" applyAlignment="1">
      <alignment horizontal="center" vertical="top"/>
    </xf>
    <xf numFmtId="165" fontId="5" fillId="4" borderId="40" xfId="2" applyNumberFormat="1" applyFont="1" applyFill="1" applyBorder="1" applyAlignment="1" applyProtection="1">
      <alignment horizontal="center" vertical="top"/>
      <protection locked="0"/>
    </xf>
    <xf numFmtId="2" fontId="5" fillId="4" borderId="40" xfId="2" applyNumberFormat="1" applyFont="1" applyFill="1" applyBorder="1" applyAlignment="1" applyProtection="1">
      <alignment horizontal="center" vertical="top"/>
      <protection locked="0"/>
    </xf>
    <xf numFmtId="1" fontId="6" fillId="4" borderId="67" xfId="8" applyNumberFormat="1" applyFont="1" applyFill="1" applyBorder="1" applyAlignment="1" applyProtection="1">
      <alignment horizontal="center" vertical="top"/>
      <protection locked="0"/>
    </xf>
    <xf numFmtId="0" fontId="12" fillId="8" borderId="70" xfId="0" applyFont="1" applyFill="1" applyBorder="1" applyAlignment="1">
      <alignment horizontal="center" vertical="top"/>
    </xf>
    <xf numFmtId="164" fontId="6" fillId="8" borderId="7" xfId="8" applyNumberFormat="1" applyFont="1" applyFill="1" applyBorder="1" applyAlignment="1">
      <alignment horizontal="center" vertical="top"/>
    </xf>
    <xf numFmtId="164" fontId="6" fillId="8" borderId="38" xfId="8" applyNumberFormat="1" applyFont="1" applyFill="1" applyBorder="1" applyAlignment="1">
      <alignment horizontal="center" vertical="top"/>
    </xf>
    <xf numFmtId="164" fontId="6" fillId="8" borderId="10" xfId="8" applyNumberFormat="1" applyFont="1" applyFill="1" applyBorder="1" applyAlignment="1">
      <alignment horizontal="center" vertical="top"/>
    </xf>
    <xf numFmtId="0" fontId="6" fillId="8" borderId="7" xfId="8" applyFont="1" applyFill="1" applyBorder="1" applyAlignment="1">
      <alignment horizontal="center" vertical="top"/>
    </xf>
    <xf numFmtId="164" fontId="6" fillId="4" borderId="3" xfId="8" applyNumberFormat="1" applyFont="1" applyFill="1" applyBorder="1" applyAlignment="1" applyProtection="1">
      <alignment horizontal="center" vertical="top"/>
      <protection locked="0"/>
    </xf>
    <xf numFmtId="164" fontId="6" fillId="4" borderId="10" xfId="8" applyNumberFormat="1" applyFont="1" applyFill="1" applyBorder="1" applyAlignment="1" applyProtection="1">
      <alignment horizontal="center" vertical="top"/>
      <protection locked="0"/>
    </xf>
    <xf numFmtId="0" fontId="6" fillId="8" borderId="27" xfId="0" applyFont="1" applyFill="1" applyBorder="1" applyAlignment="1">
      <alignment horizontal="center" vertical="top"/>
    </xf>
    <xf numFmtId="0" fontId="6" fillId="4" borderId="18" xfId="8" applyFont="1" applyFill="1" applyBorder="1" applyAlignment="1" applyProtection="1">
      <alignment horizontal="center" vertical="top"/>
      <protection locked="0"/>
    </xf>
    <xf numFmtId="0" fontId="12" fillId="4" borderId="63" xfId="0" applyFont="1" applyFill="1" applyBorder="1" applyAlignment="1" applyProtection="1">
      <alignment horizontal="center" vertical="top"/>
      <protection locked="0"/>
    </xf>
    <xf numFmtId="14" fontId="6" fillId="4" borderId="28" xfId="8" applyNumberFormat="1" applyFont="1" applyFill="1" applyBorder="1" applyAlignment="1" applyProtection="1">
      <alignment horizontal="center" vertical="top"/>
      <protection locked="0"/>
    </xf>
    <xf numFmtId="164" fontId="25" fillId="4" borderId="18" xfId="0" applyNumberFormat="1" applyFont="1" applyFill="1" applyBorder="1" applyAlignment="1" applyProtection="1">
      <alignment horizontal="center" vertical="top"/>
      <protection locked="0"/>
    </xf>
    <xf numFmtId="0" fontId="25" fillId="4" borderId="41" xfId="0" applyFont="1" applyFill="1" applyBorder="1" applyAlignment="1" applyProtection="1">
      <alignment horizontal="center" vertical="top"/>
      <protection locked="0"/>
    </xf>
    <xf numFmtId="164" fontId="6" fillId="4" borderId="28" xfId="8" applyNumberFormat="1" applyFont="1" applyFill="1" applyBorder="1" applyAlignment="1" applyProtection="1">
      <alignment horizontal="center" vertical="top"/>
      <protection locked="0"/>
    </xf>
    <xf numFmtId="0" fontId="25" fillId="4" borderId="73" xfId="0" applyFont="1" applyFill="1" applyBorder="1" applyAlignment="1" applyProtection="1">
      <alignment horizontal="center" vertical="top"/>
      <protection locked="0"/>
    </xf>
    <xf numFmtId="0" fontId="25" fillId="4" borderId="74" xfId="0" applyFont="1" applyFill="1" applyBorder="1" applyAlignment="1" applyProtection="1">
      <alignment horizontal="center" vertical="top"/>
      <protection locked="0"/>
    </xf>
    <xf numFmtId="0" fontId="25" fillId="4" borderId="54" xfId="0" applyFont="1" applyFill="1" applyBorder="1" applyAlignment="1" applyProtection="1">
      <alignment horizontal="center" vertical="top"/>
      <protection locked="0"/>
    </xf>
    <xf numFmtId="0" fontId="12" fillId="4" borderId="20" xfId="0" applyFont="1" applyFill="1" applyBorder="1" applyAlignment="1">
      <alignment vertical="top"/>
    </xf>
    <xf numFmtId="0" fontId="6" fillId="4" borderId="19" xfId="0" applyFont="1" applyFill="1" applyBorder="1" applyAlignment="1">
      <alignment vertical="top"/>
    </xf>
    <xf numFmtId="164" fontId="6" fillId="4" borderId="70" xfId="7" applyNumberFormat="1" applyFont="1" applyFill="1" applyBorder="1" applyAlignment="1" applyProtection="1">
      <alignment horizontal="center" vertical="top"/>
      <protection locked="0"/>
    </xf>
    <xf numFmtId="0" fontId="12" fillId="8" borderId="17" xfId="8" applyFont="1" applyFill="1" applyBorder="1" applyAlignment="1">
      <alignment horizontal="center" vertical="top"/>
    </xf>
    <xf numFmtId="2" fontId="6" fillId="4" borderId="1" xfId="0" applyNumberFormat="1" applyFont="1" applyFill="1" applyBorder="1" applyAlignment="1" applyProtection="1">
      <alignment horizontal="center" vertical="top"/>
      <protection locked="0"/>
    </xf>
    <xf numFmtId="0" fontId="6" fillId="4" borderId="28" xfId="0" applyFont="1" applyFill="1" applyBorder="1" applyAlignment="1" applyProtection="1">
      <alignment horizontal="center" vertical="top"/>
      <protection locked="0"/>
    </xf>
    <xf numFmtId="1" fontId="6" fillId="4" borderId="1" xfId="0" applyNumberFormat="1" applyFont="1" applyFill="1" applyBorder="1" applyAlignment="1" applyProtection="1">
      <alignment horizontal="center" vertical="top"/>
      <protection locked="0"/>
    </xf>
    <xf numFmtId="0" fontId="6" fillId="4" borderId="26" xfId="0" applyFont="1" applyFill="1" applyBorder="1" applyAlignment="1" applyProtection="1">
      <alignment horizontal="centerContinuous" vertical="top"/>
      <protection locked="0"/>
    </xf>
    <xf numFmtId="2" fontId="6" fillId="4" borderId="3" xfId="0" applyNumberFormat="1" applyFont="1" applyFill="1" applyBorder="1" applyAlignment="1" applyProtection="1">
      <alignment horizontal="center" vertical="top"/>
      <protection locked="0"/>
    </xf>
    <xf numFmtId="0" fontId="6" fillId="4" borderId="10" xfId="0" applyFont="1" applyFill="1" applyBorder="1" applyAlignment="1" applyProtection="1">
      <alignment horizontal="center" vertical="top"/>
      <protection locked="0"/>
    </xf>
    <xf numFmtId="0" fontId="6" fillId="4" borderId="14" xfId="0" applyFont="1" applyFill="1" applyBorder="1" applyAlignment="1" applyProtection="1">
      <alignment horizontal="centerContinuous" vertical="top"/>
      <protection locked="0"/>
    </xf>
    <xf numFmtId="0" fontId="27" fillId="8" borderId="29" xfId="1" applyFont="1" applyFill="1" applyBorder="1" applyAlignment="1">
      <alignment vertical="top"/>
    </xf>
    <xf numFmtId="0" fontId="27" fillId="8" borderId="26" xfId="1" applyFont="1" applyFill="1" applyBorder="1" applyAlignment="1">
      <alignment vertical="top"/>
    </xf>
    <xf numFmtId="1" fontId="16" fillId="4" borderId="1" xfId="0" applyNumberFormat="1" applyFont="1" applyFill="1" applyBorder="1" applyAlignment="1" applyProtection="1">
      <alignment horizontal="center" vertical="top"/>
      <protection locked="0"/>
    </xf>
    <xf numFmtId="0" fontId="16" fillId="4" borderId="26" xfId="0" applyFont="1" applyFill="1" applyBorder="1" applyAlignment="1" applyProtection="1">
      <alignment horizontal="centerContinuous" vertical="top"/>
      <protection locked="0"/>
    </xf>
    <xf numFmtId="2" fontId="27" fillId="4" borderId="42" xfId="1" applyNumberFormat="1" applyFont="1" applyFill="1" applyBorder="1" applyAlignment="1" applyProtection="1">
      <alignment horizontal="center" vertical="top"/>
      <protection locked="0"/>
    </xf>
    <xf numFmtId="0" fontId="27" fillId="8" borderId="14" xfId="1" applyFont="1" applyFill="1" applyBorder="1" applyAlignment="1">
      <alignment vertical="top"/>
    </xf>
    <xf numFmtId="0" fontId="16" fillId="4" borderId="14" xfId="0" applyFont="1" applyFill="1" applyBorder="1" applyAlignment="1" applyProtection="1">
      <alignment horizontal="centerContinuous" vertical="top"/>
      <protection locked="0"/>
    </xf>
    <xf numFmtId="0" fontId="12" fillId="0" borderId="0" xfId="8" applyFont="1" applyAlignment="1">
      <alignment vertical="top"/>
    </xf>
    <xf numFmtId="0" fontId="62" fillId="0" borderId="0" xfId="0" quotePrefix="1" applyFont="1" applyAlignment="1">
      <alignment horizontal="left" vertical="top"/>
    </xf>
    <xf numFmtId="0" fontId="62" fillId="0" borderId="0" xfId="0" applyFont="1" applyAlignment="1">
      <alignment horizontal="left" vertical="top"/>
    </xf>
    <xf numFmtId="0" fontId="6" fillId="8" borderId="46" xfId="7" applyFont="1" applyFill="1" applyBorder="1" applyAlignment="1">
      <alignment horizontal="center" vertical="top"/>
    </xf>
    <xf numFmtId="0" fontId="12" fillId="8" borderId="22" xfId="0" applyFont="1" applyFill="1" applyBorder="1" applyAlignment="1">
      <alignment horizontal="centerContinuous" vertical="top" wrapText="1"/>
    </xf>
    <xf numFmtId="0" fontId="6" fillId="8" borderId="24" xfId="0" applyFont="1" applyFill="1" applyBorder="1" applyAlignment="1">
      <alignment horizontal="centerContinuous" vertical="top"/>
    </xf>
    <xf numFmtId="0" fontId="6" fillId="8" borderId="18" xfId="0" applyFont="1" applyFill="1" applyBorder="1" applyAlignment="1">
      <alignment horizontal="centerContinuous" vertical="top"/>
    </xf>
    <xf numFmtId="0" fontId="16" fillId="8" borderId="32" xfId="0" applyFont="1" applyFill="1" applyBorder="1" applyAlignment="1">
      <alignment vertical="top"/>
    </xf>
    <xf numFmtId="0" fontId="16" fillId="8" borderId="67" xfId="0" applyFont="1" applyFill="1" applyBorder="1" applyAlignment="1">
      <alignment vertical="top"/>
    </xf>
    <xf numFmtId="0" fontId="16" fillId="8" borderId="33" xfId="0" applyFont="1" applyFill="1" applyBorder="1" applyAlignment="1">
      <alignment vertical="top"/>
    </xf>
    <xf numFmtId="0" fontId="16" fillId="8" borderId="10" xfId="0" applyFont="1" applyFill="1" applyBorder="1" applyAlignment="1">
      <alignment vertical="top"/>
    </xf>
    <xf numFmtId="0" fontId="16" fillId="8" borderId="18" xfId="0" applyFont="1" applyFill="1" applyBorder="1" applyAlignment="1">
      <alignment vertical="top"/>
    </xf>
    <xf numFmtId="165" fontId="6" fillId="4" borderId="32" xfId="0" applyNumberFormat="1" applyFont="1" applyFill="1" applyBorder="1" applyAlignment="1" applyProtection="1">
      <alignment horizontal="center" vertical="top"/>
      <protection locked="0"/>
    </xf>
    <xf numFmtId="0" fontId="6" fillId="8" borderId="29" xfId="8" quotePrefix="1" applyFont="1" applyFill="1" applyBorder="1" applyAlignment="1">
      <alignment horizontal="centerContinuous" vertical="top"/>
    </xf>
    <xf numFmtId="165" fontId="6" fillId="4" borderId="72" xfId="0" quotePrefix="1" applyNumberFormat="1" applyFont="1" applyFill="1" applyBorder="1" applyAlignment="1" applyProtection="1">
      <alignment horizontal="center" vertical="top"/>
      <protection locked="0"/>
    </xf>
    <xf numFmtId="0" fontId="6" fillId="8" borderId="8" xfId="0" applyFont="1" applyFill="1" applyBorder="1" applyAlignment="1">
      <alignment vertical="top"/>
    </xf>
    <xf numFmtId="2" fontId="6" fillId="8" borderId="54" xfId="0" applyNumberFormat="1" applyFont="1" applyFill="1" applyBorder="1" applyAlignment="1">
      <alignment horizontal="center" vertical="top"/>
    </xf>
    <xf numFmtId="164" fontId="6" fillId="4" borderId="32" xfId="0" applyNumberFormat="1" applyFont="1" applyFill="1" applyBorder="1" applyAlignment="1" applyProtection="1">
      <alignment horizontal="center" vertical="top"/>
      <protection locked="0"/>
    </xf>
    <xf numFmtId="164" fontId="6" fillId="4" borderId="67" xfId="0" applyNumberFormat="1" applyFont="1" applyFill="1" applyBorder="1" applyAlignment="1" applyProtection="1">
      <alignment horizontal="center" vertical="top"/>
      <protection locked="0"/>
    </xf>
    <xf numFmtId="164" fontId="6" fillId="8" borderId="75" xfId="0" applyNumberFormat="1" applyFont="1" applyFill="1" applyBorder="1" applyAlignment="1">
      <alignment horizontal="center" vertical="top"/>
    </xf>
    <xf numFmtId="0" fontId="63" fillId="0" borderId="0" xfId="0" applyFont="1" applyAlignment="1">
      <alignment vertical="top"/>
    </xf>
    <xf numFmtId="164" fontId="27" fillId="8" borderId="65" xfId="1" applyNumberFormat="1" applyFont="1" applyFill="1" applyBorder="1" applyAlignment="1">
      <alignment horizontal="center" vertical="top"/>
    </xf>
    <xf numFmtId="164" fontId="27" fillId="8" borderId="5" xfId="8" applyNumberFormat="1" applyFont="1" applyFill="1" applyBorder="1" applyAlignment="1">
      <alignment horizontal="center" vertical="top"/>
    </xf>
    <xf numFmtId="164" fontId="27" fillId="8" borderId="32" xfId="8" applyNumberFormat="1" applyFont="1" applyFill="1" applyBorder="1" applyAlignment="1">
      <alignment horizontal="center" vertical="top"/>
    </xf>
    <xf numFmtId="164" fontId="27" fillId="8" borderId="33" xfId="1" applyNumberFormat="1" applyFont="1" applyFill="1" applyBorder="1" applyAlignment="1">
      <alignment horizontal="center" vertical="top"/>
    </xf>
    <xf numFmtId="165" fontId="27" fillId="8" borderId="33" xfId="1" applyNumberFormat="1" applyFont="1" applyFill="1" applyBorder="1" applyAlignment="1">
      <alignment horizontal="center" vertical="top"/>
    </xf>
    <xf numFmtId="2" fontId="27" fillId="8" borderId="33" xfId="1" applyNumberFormat="1" applyFont="1" applyFill="1" applyBorder="1" applyAlignment="1">
      <alignment horizontal="center" vertical="top"/>
    </xf>
    <xf numFmtId="165" fontId="27" fillId="8" borderId="42" xfId="1" applyNumberFormat="1" applyFont="1" applyFill="1" applyBorder="1" applyAlignment="1">
      <alignment horizontal="center" vertical="top"/>
    </xf>
    <xf numFmtId="1" fontId="27" fillId="8" borderId="42" xfId="1" applyNumberFormat="1" applyFont="1" applyFill="1" applyBorder="1" applyAlignment="1">
      <alignment horizontal="center" vertical="top"/>
    </xf>
    <xf numFmtId="49" fontId="63" fillId="0" borderId="0" xfId="0" applyNumberFormat="1" applyFont="1" applyAlignment="1">
      <alignment horizontal="right" vertical="top"/>
    </xf>
    <xf numFmtId="0" fontId="0" fillId="0" borderId="76" xfId="0" applyBorder="1" applyAlignment="1">
      <alignment vertical="top"/>
    </xf>
    <xf numFmtId="0" fontId="16" fillId="0" borderId="77" xfId="0" applyFont="1" applyBorder="1" applyAlignment="1">
      <alignment vertical="top"/>
    </xf>
    <xf numFmtId="0" fontId="0" fillId="0" borderId="78" xfId="0" applyBorder="1" applyAlignment="1">
      <alignment vertical="top"/>
    </xf>
    <xf numFmtId="0" fontId="16" fillId="0" borderId="0" xfId="0" applyFont="1" applyAlignment="1">
      <alignment vertical="top"/>
    </xf>
    <xf numFmtId="0" fontId="0" fillId="0" borderId="79" xfId="0" applyBorder="1" applyAlignment="1">
      <alignment vertical="top"/>
    </xf>
    <xf numFmtId="0" fontId="0" fillId="0" borderId="80" xfId="0" applyBorder="1" applyAlignment="1">
      <alignment vertical="top"/>
    </xf>
    <xf numFmtId="0" fontId="16" fillId="0" borderId="81" xfId="0" applyFont="1" applyBorder="1" applyAlignment="1">
      <alignment vertical="top"/>
    </xf>
    <xf numFmtId="0" fontId="0" fillId="0" borderId="82" xfId="0" applyBorder="1" applyAlignment="1">
      <alignment vertical="top"/>
    </xf>
    <xf numFmtId="0" fontId="0" fillId="0" borderId="25" xfId="0" applyBorder="1" applyAlignment="1">
      <alignment vertical="top"/>
    </xf>
    <xf numFmtId="0" fontId="2" fillId="0" borderId="25" xfId="0" applyFont="1" applyBorder="1" applyAlignment="1">
      <alignment vertical="top"/>
    </xf>
    <xf numFmtId="0" fontId="4" fillId="0" borderId="25" xfId="0" applyFont="1" applyBorder="1" applyAlignment="1">
      <alignment vertical="top"/>
    </xf>
    <xf numFmtId="49" fontId="4" fillId="0" borderId="25" xfId="0" applyNumberFormat="1" applyFont="1" applyBorder="1" applyAlignment="1">
      <alignment horizontal="right" vertical="top"/>
    </xf>
    <xf numFmtId="0" fontId="65" fillId="0" borderId="25" xfId="0" applyFont="1" applyBorder="1" applyAlignment="1">
      <alignment vertical="top"/>
    </xf>
    <xf numFmtId="0" fontId="65" fillId="0" borderId="25" xfId="0" applyFont="1" applyBorder="1" applyAlignment="1">
      <alignment horizontal="left" vertical="top"/>
    </xf>
    <xf numFmtId="0" fontId="63" fillId="0" borderId="25" xfId="0" applyFont="1" applyBorder="1" applyAlignment="1">
      <alignment vertical="top"/>
    </xf>
    <xf numFmtId="49" fontId="63" fillId="0" borderId="25" xfId="0" applyNumberFormat="1" applyFont="1" applyBorder="1" applyAlignment="1">
      <alignment horizontal="right" vertical="top"/>
    </xf>
    <xf numFmtId="0" fontId="63" fillId="0" borderId="25" xfId="0" applyFont="1" applyBorder="1" applyAlignment="1">
      <alignment horizontal="left" vertical="top"/>
    </xf>
    <xf numFmtId="0" fontId="62" fillId="0" borderId="25" xfId="0" applyFont="1" applyBorder="1" applyAlignment="1">
      <alignment vertical="top"/>
    </xf>
    <xf numFmtId="0" fontId="65" fillId="0" borderId="25" xfId="0" quotePrefix="1" applyFont="1" applyBorder="1" applyAlignment="1">
      <alignment horizontal="left" vertical="top"/>
    </xf>
    <xf numFmtId="49" fontId="65" fillId="0" borderId="25" xfId="0" applyNumberFormat="1" applyFont="1" applyBorder="1" applyAlignment="1">
      <alignment horizontal="right" vertical="top"/>
    </xf>
    <xf numFmtId="0" fontId="63" fillId="0" borderId="25" xfId="0" quotePrefix="1" applyFont="1" applyBorder="1" applyAlignment="1">
      <alignment horizontal="left" vertical="top"/>
    </xf>
    <xf numFmtId="0" fontId="7" fillId="0" borderId="25" xfId="8" applyFont="1" applyBorder="1" applyAlignment="1">
      <alignment vertical="top"/>
    </xf>
    <xf numFmtId="0" fontId="7" fillId="0" borderId="25" xfId="8" applyFont="1" applyBorder="1" applyAlignment="1" applyProtection="1">
      <alignment vertical="top"/>
      <protection locked="0"/>
    </xf>
    <xf numFmtId="0" fontId="7" fillId="0" borderId="25" xfId="8" applyFont="1" applyBorder="1" applyAlignment="1">
      <alignment horizontal="left" vertical="top"/>
    </xf>
    <xf numFmtId="49" fontId="7" fillId="0" borderId="25" xfId="8" quotePrefix="1" applyNumberFormat="1" applyFont="1" applyBorder="1" applyAlignment="1">
      <alignment horizontal="left" vertical="top"/>
    </xf>
    <xf numFmtId="49" fontId="7" fillId="0" borderId="25" xfId="0" applyNumberFormat="1" applyFont="1" applyBorder="1" applyAlignment="1">
      <alignment horizontal="right" vertical="top"/>
    </xf>
    <xf numFmtId="0" fontId="7" fillId="0" borderId="25" xfId="8" quotePrefix="1" applyFont="1" applyBorder="1" applyAlignment="1">
      <alignment horizontal="left" vertical="top"/>
    </xf>
    <xf numFmtId="165" fontId="7" fillId="0" borderId="25" xfId="8" quotePrefix="1" applyNumberFormat="1" applyFont="1" applyBorder="1" applyAlignment="1">
      <alignment horizontal="left" vertical="top"/>
    </xf>
    <xf numFmtId="0" fontId="7" fillId="0" borderId="25" xfId="0" applyFont="1" applyBorder="1" applyAlignment="1">
      <alignment horizontal="left" vertical="top"/>
    </xf>
    <xf numFmtId="0" fontId="62" fillId="0" borderId="25" xfId="0" quotePrefix="1" applyFont="1" applyBorder="1" applyAlignment="1">
      <alignment horizontal="left" vertical="top"/>
    </xf>
    <xf numFmtId="12" fontId="7" fillId="0" borderId="25" xfId="8" applyNumberFormat="1" applyFont="1" applyBorder="1" applyAlignment="1">
      <alignment horizontal="left" vertical="top"/>
    </xf>
    <xf numFmtId="12" fontId="7" fillId="0" borderId="25" xfId="8" quotePrefix="1" applyNumberFormat="1" applyFont="1" applyBorder="1" applyAlignment="1">
      <alignment horizontal="left" vertical="top"/>
    </xf>
    <xf numFmtId="0" fontId="68" fillId="0" borderId="25" xfId="0" applyFont="1" applyBorder="1" applyAlignment="1">
      <alignment horizontal="left" vertical="top"/>
    </xf>
    <xf numFmtId="0" fontId="68" fillId="0" borderId="25" xfId="0" applyFont="1" applyBorder="1" applyAlignment="1">
      <alignment vertical="top"/>
    </xf>
    <xf numFmtId="49" fontId="68" fillId="0" borderId="25" xfId="0" applyNumberFormat="1" applyFont="1" applyBorder="1" applyAlignment="1">
      <alignment horizontal="right" vertical="top"/>
    </xf>
    <xf numFmtId="0" fontId="62" fillId="0" borderId="25" xfId="0" applyFont="1" applyBorder="1" applyAlignment="1">
      <alignment horizontal="left" vertical="top"/>
    </xf>
    <xf numFmtId="0" fontId="7" fillId="0" borderId="25" xfId="7" applyFont="1" applyBorder="1" applyAlignment="1">
      <alignment vertical="top"/>
    </xf>
    <xf numFmtId="0" fontId="70" fillId="0" borderId="25" xfId="0" applyFont="1" applyBorder="1" applyAlignment="1">
      <alignment horizontal="left" vertical="top"/>
    </xf>
    <xf numFmtId="0" fontId="69" fillId="0" borderId="25" xfId="0" applyFont="1" applyBorder="1" applyAlignment="1">
      <alignment vertical="top"/>
    </xf>
    <xf numFmtId="0" fontId="70" fillId="0" borderId="25" xfId="0" applyFont="1" applyBorder="1" applyAlignment="1">
      <alignment vertical="top"/>
    </xf>
    <xf numFmtId="49" fontId="7" fillId="0" borderId="25" xfId="7" applyNumberFormat="1" applyFont="1" applyBorder="1" applyAlignment="1">
      <alignment horizontal="right" vertical="top"/>
    </xf>
    <xf numFmtId="0" fontId="7" fillId="0" borderId="25" xfId="7" quotePrefix="1" applyFont="1" applyBorder="1" applyAlignment="1">
      <alignment horizontal="left" vertical="top"/>
    </xf>
    <xf numFmtId="0" fontId="64" fillId="0" borderId="25" xfId="0" quotePrefix="1" applyFont="1" applyBorder="1" applyAlignment="1">
      <alignment horizontal="left" vertical="top"/>
    </xf>
    <xf numFmtId="0" fontId="3" fillId="0" borderId="25" xfId="1" applyBorder="1" applyAlignment="1">
      <alignment vertical="top"/>
    </xf>
    <xf numFmtId="0" fontId="3" fillId="0" borderId="25" xfId="8" applyFont="1" applyBorder="1" applyAlignment="1">
      <alignment vertical="top"/>
    </xf>
    <xf numFmtId="49" fontId="3" fillId="0" borderId="25" xfId="1" applyNumberFormat="1" applyBorder="1" applyAlignment="1">
      <alignment horizontal="right" vertical="top"/>
    </xf>
    <xf numFmtId="0" fontId="3" fillId="0" borderId="25" xfId="1" quotePrefix="1" applyBorder="1" applyAlignment="1">
      <alignment horizontal="left" vertical="top"/>
    </xf>
    <xf numFmtId="0" fontId="0" fillId="0" borderId="77" xfId="0" applyBorder="1" applyAlignment="1">
      <alignment vertical="top"/>
    </xf>
    <xf numFmtId="0" fontId="9" fillId="0" borderId="0" xfId="0" applyFont="1" applyAlignment="1">
      <alignment horizontal="center" vertical="top"/>
    </xf>
    <xf numFmtId="0" fontId="0" fillId="0" borderId="0" xfId="0" applyAlignment="1">
      <alignment vertical="top" wrapText="1"/>
    </xf>
    <xf numFmtId="0" fontId="72" fillId="9" borderId="0" xfId="0" applyFont="1" applyFill="1" applyAlignment="1">
      <alignment horizontal="center" vertical="top"/>
    </xf>
    <xf numFmtId="0" fontId="72" fillId="9" borderId="0" xfId="0" applyFont="1" applyFill="1" applyAlignment="1">
      <alignment vertical="top" wrapText="1"/>
    </xf>
    <xf numFmtId="14" fontId="0" fillId="0" borderId="0" xfId="0" applyNumberFormat="1" applyAlignment="1">
      <alignment horizontal="center" vertical="top"/>
    </xf>
    <xf numFmtId="0" fontId="0" fillId="0" borderId="0" xfId="0" quotePrefix="1" applyAlignment="1">
      <alignment horizontal="left" vertical="top" wrapText="1"/>
    </xf>
    <xf numFmtId="0" fontId="0" fillId="0" borderId="0" xfId="0" applyAlignment="1">
      <alignment horizontal="center" vertical="top"/>
    </xf>
    <xf numFmtId="0" fontId="9" fillId="0" borderId="0" xfId="0" applyFont="1" applyAlignment="1">
      <alignment horizontal="right" vertical="top"/>
    </xf>
    <xf numFmtId="0" fontId="73" fillId="0" borderId="25" xfId="0" applyFont="1" applyBorder="1" applyAlignment="1">
      <alignment horizontal="center" vertical="top"/>
    </xf>
    <xf numFmtId="0" fontId="73" fillId="6" borderId="25" xfId="0" applyFont="1" applyFill="1" applyBorder="1" applyAlignment="1">
      <alignment horizontal="center" vertical="top"/>
    </xf>
    <xf numFmtId="0" fontId="73" fillId="10" borderId="64" xfId="0" applyFont="1" applyFill="1" applyBorder="1" applyAlignment="1">
      <alignment vertical="top"/>
    </xf>
    <xf numFmtId="0" fontId="73" fillId="10" borderId="25" xfId="0" applyFont="1" applyFill="1" applyBorder="1" applyAlignment="1">
      <alignment vertical="top"/>
    </xf>
    <xf numFmtId="0" fontId="73" fillId="0" borderId="64" xfId="0" applyFont="1" applyBorder="1" applyAlignment="1">
      <alignment vertical="top"/>
    </xf>
    <xf numFmtId="0" fontId="73" fillId="0" borderId="25" xfId="0" applyFont="1" applyBorder="1" applyAlignment="1">
      <alignment vertical="top"/>
    </xf>
    <xf numFmtId="0" fontId="73" fillId="9" borderId="64" xfId="0" quotePrefix="1" applyFont="1" applyFill="1" applyBorder="1" applyAlignment="1">
      <alignment horizontal="left" vertical="top" wrapText="1"/>
    </xf>
    <xf numFmtId="0" fontId="73" fillId="0" borderId="25" xfId="0" applyFont="1" applyBorder="1" applyAlignment="1">
      <alignment vertical="top" wrapText="1"/>
    </xf>
    <xf numFmtId="0" fontId="2" fillId="0" borderId="25" xfId="0" quotePrefix="1" applyFont="1" applyBorder="1" applyAlignment="1">
      <alignment horizontal="left" vertical="top" wrapText="1"/>
    </xf>
    <xf numFmtId="0" fontId="73" fillId="6" borderId="25" xfId="0" applyFont="1" applyFill="1" applyBorder="1" applyAlignment="1">
      <alignment vertical="top" wrapText="1"/>
    </xf>
    <xf numFmtId="0" fontId="73" fillId="0" borderId="25" xfId="0" quotePrefix="1" applyFont="1" applyBorder="1" applyAlignment="1">
      <alignment horizontal="left" vertical="top" wrapText="1"/>
    </xf>
    <xf numFmtId="0" fontId="74" fillId="6" borderId="25" xfId="0" applyFont="1" applyFill="1" applyBorder="1" applyAlignment="1">
      <alignment vertical="top" wrapText="1"/>
    </xf>
    <xf numFmtId="0" fontId="7" fillId="0" borderId="0" xfId="0" applyFont="1" applyAlignment="1">
      <alignment wrapText="1"/>
    </xf>
    <xf numFmtId="0" fontId="75" fillId="0" borderId="25" xfId="0" applyFont="1" applyBorder="1" applyAlignment="1">
      <alignment vertical="top" wrapText="1"/>
    </xf>
    <xf numFmtId="0" fontId="73" fillId="6" borderId="25" xfId="0" quotePrefix="1" applyFont="1" applyFill="1" applyBorder="1" applyAlignment="1">
      <alignment horizontal="left" vertical="top" wrapText="1"/>
    </xf>
    <xf numFmtId="0" fontId="76" fillId="0" borderId="25" xfId="0" quotePrefix="1" applyFont="1" applyBorder="1" applyAlignment="1">
      <alignment horizontal="left" vertical="top" wrapText="1"/>
    </xf>
    <xf numFmtId="0" fontId="73" fillId="0" borderId="71" xfId="0" applyFont="1" applyBorder="1" applyAlignment="1">
      <alignment vertical="top" wrapText="1"/>
    </xf>
    <xf numFmtId="0" fontId="78" fillId="6" borderId="25" xfId="0" quotePrefix="1" applyFont="1" applyFill="1" applyBorder="1" applyAlignment="1">
      <alignment horizontal="left" vertical="top" wrapText="1"/>
    </xf>
    <xf numFmtId="0" fontId="9" fillId="0" borderId="83" xfId="0" applyFont="1" applyBorder="1" applyAlignment="1">
      <alignment horizontal="right" vertical="top"/>
    </xf>
    <xf numFmtId="0" fontId="64" fillId="0" borderId="83" xfId="0" quotePrefix="1" applyFont="1" applyBorder="1" applyAlignment="1">
      <alignment horizontal="left" vertical="top" wrapText="1"/>
    </xf>
    <xf numFmtId="0" fontId="79" fillId="0" borderId="0" xfId="0" applyFont="1" applyAlignment="1">
      <alignment horizontal="left" vertical="top"/>
    </xf>
    <xf numFmtId="0" fontId="7" fillId="0" borderId="25" xfId="0" applyFont="1" applyBorder="1" applyAlignment="1">
      <alignment horizontal="center" vertical="top"/>
    </xf>
    <xf numFmtId="0" fontId="7" fillId="6" borderId="25" xfId="0" applyFont="1" applyFill="1" applyBorder="1" applyAlignment="1">
      <alignment horizontal="center" vertical="top"/>
    </xf>
    <xf numFmtId="0" fontId="7" fillId="11" borderId="25" xfId="0" applyFont="1" applyFill="1" applyBorder="1" applyAlignment="1">
      <alignment vertical="top"/>
    </xf>
    <xf numFmtId="49" fontId="7" fillId="11" borderId="25" xfId="0" applyNumberFormat="1" applyFont="1" applyFill="1" applyBorder="1" applyAlignment="1">
      <alignment vertical="top"/>
    </xf>
    <xf numFmtId="49" fontId="7" fillId="0" borderId="71" xfId="0" applyNumberFormat="1" applyFont="1" applyBorder="1" applyAlignment="1">
      <alignment vertical="top"/>
    </xf>
    <xf numFmtId="0" fontId="7" fillId="0" borderId="71" xfId="0" applyFont="1" applyBorder="1" applyAlignment="1">
      <alignment vertical="top"/>
    </xf>
    <xf numFmtId="0" fontId="0" fillId="0" borderId="69" xfId="0" applyBorder="1" applyAlignment="1">
      <alignment vertical="top"/>
    </xf>
    <xf numFmtId="0" fontId="0" fillId="6" borderId="25" xfId="0" applyFill="1" applyBorder="1" applyAlignment="1">
      <alignment vertical="top"/>
    </xf>
    <xf numFmtId="0" fontId="0" fillId="0" borderId="84" xfId="0" applyBorder="1"/>
    <xf numFmtId="0" fontId="64" fillId="7" borderId="85" xfId="0" applyFont="1" applyFill="1" applyBorder="1" applyAlignment="1">
      <alignment horizontal="centerContinuous" vertical="center" wrapText="1"/>
    </xf>
    <xf numFmtId="0" fontId="0" fillId="7" borderId="86" xfId="0" applyFill="1" applyBorder="1" applyAlignment="1">
      <alignment horizontal="centerContinuous" vertical="center" wrapText="1"/>
    </xf>
    <xf numFmtId="0" fontId="0" fillId="7" borderId="87" xfId="0" applyFill="1" applyBorder="1" applyAlignment="1">
      <alignment horizontal="centerContinuous" vertical="center" wrapText="1"/>
    </xf>
    <xf numFmtId="0" fontId="7" fillId="0" borderId="69" xfId="0" applyFont="1" applyBorder="1" applyAlignment="1">
      <alignment vertical="top" wrapText="1"/>
    </xf>
    <xf numFmtId="0" fontId="7" fillId="6" borderId="71" xfId="0" applyFont="1" applyFill="1" applyBorder="1" applyAlignment="1">
      <alignment vertical="top" wrapText="1"/>
    </xf>
    <xf numFmtId="0" fontId="7" fillId="0" borderId="64" xfId="0" applyFont="1" applyBorder="1" applyAlignment="1">
      <alignment horizontal="center" vertical="top"/>
    </xf>
    <xf numFmtId="0" fontId="7" fillId="6" borderId="71" xfId="0" applyFont="1" applyFill="1" applyBorder="1" applyAlignment="1">
      <alignment horizontal="center" vertical="top"/>
    </xf>
    <xf numFmtId="0" fontId="7" fillId="6" borderId="64" xfId="0" applyFont="1" applyFill="1" applyBorder="1" applyAlignment="1">
      <alignment vertical="top"/>
    </xf>
    <xf numFmtId="0" fontId="7" fillId="6" borderId="25" xfId="0" applyFont="1" applyFill="1" applyBorder="1" applyAlignment="1">
      <alignment vertical="top"/>
    </xf>
    <xf numFmtId="0" fontId="7" fillId="6" borderId="71" xfId="0" applyFont="1" applyFill="1" applyBorder="1" applyAlignment="1">
      <alignment vertical="top"/>
    </xf>
    <xf numFmtId="0" fontId="7" fillId="0" borderId="25" xfId="0" applyFont="1" applyBorder="1" applyAlignment="1">
      <alignment vertical="top" wrapText="1"/>
    </xf>
    <xf numFmtId="0" fontId="73" fillId="12" borderId="25" xfId="0" applyFont="1" applyFill="1" applyBorder="1" applyAlignment="1">
      <alignment vertical="top"/>
    </xf>
    <xf numFmtId="0" fontId="7" fillId="13" borderId="25" xfId="0" applyFont="1" applyFill="1" applyBorder="1" applyAlignment="1">
      <alignment vertical="top"/>
    </xf>
    <xf numFmtId="0" fontId="0" fillId="0" borderId="25" xfId="0" applyBorder="1" applyAlignment="1">
      <alignment vertical="top" wrapText="1"/>
    </xf>
    <xf numFmtId="0" fontId="0" fillId="6" borderId="25" xfId="0" applyFill="1" applyBorder="1" applyAlignment="1">
      <alignment vertical="top" wrapText="1"/>
    </xf>
    <xf numFmtId="0" fontId="7" fillId="6" borderId="25" xfId="0" applyFont="1" applyFill="1" applyBorder="1" applyAlignment="1">
      <alignment vertical="top" wrapText="1"/>
    </xf>
    <xf numFmtId="0" fontId="79" fillId="0" borderId="0" xfId="0" applyFont="1"/>
    <xf numFmtId="0" fontId="7" fillId="14" borderId="25" xfId="0" applyFont="1" applyFill="1" applyBorder="1" applyAlignment="1">
      <alignment vertical="top"/>
    </xf>
    <xf numFmtId="0" fontId="57" fillId="6" borderId="25" xfId="0" quotePrefix="1" applyFont="1" applyFill="1" applyBorder="1" applyAlignment="1">
      <alignment horizontal="left" vertical="top" wrapText="1"/>
    </xf>
    <xf numFmtId="0" fontId="0" fillId="6" borderId="69" xfId="0" applyFill="1" applyBorder="1" applyAlignment="1">
      <alignment vertical="top" wrapText="1"/>
    </xf>
    <xf numFmtId="0" fontId="73" fillId="6" borderId="64" xfId="0" quotePrefix="1" applyFont="1" applyFill="1" applyBorder="1" applyAlignment="1">
      <alignment horizontal="left" vertical="top" wrapText="1"/>
    </xf>
    <xf numFmtId="0" fontId="7" fillId="6" borderId="64" xfId="0" quotePrefix="1" applyFont="1" applyFill="1" applyBorder="1" applyAlignment="1">
      <alignment horizontal="left" vertical="top" wrapText="1"/>
    </xf>
    <xf numFmtId="49" fontId="2" fillId="11" borderId="25" xfId="0" applyNumberFormat="1" applyFont="1" applyFill="1" applyBorder="1"/>
    <xf numFmtId="0" fontId="73" fillId="15" borderId="25" xfId="0" applyFont="1" applyFill="1" applyBorder="1" applyAlignment="1">
      <alignment vertical="top"/>
    </xf>
    <xf numFmtId="0" fontId="73" fillId="6" borderId="25" xfId="0" applyFont="1" applyFill="1" applyBorder="1" applyAlignment="1">
      <alignment vertical="top"/>
    </xf>
    <xf numFmtId="0" fontId="74" fillId="0" borderId="25" xfId="0" applyFont="1" applyBorder="1" applyAlignment="1">
      <alignment vertical="top" wrapText="1"/>
    </xf>
    <xf numFmtId="0" fontId="1" fillId="0" borderId="0" xfId="0" applyFont="1" applyAlignment="1">
      <alignment horizontal="center" vertical="center"/>
    </xf>
    <xf numFmtId="0" fontId="9" fillId="0" borderId="0" xfId="0" applyFont="1" applyAlignment="1">
      <alignment vertical="center"/>
    </xf>
    <xf numFmtId="0" fontId="64" fillId="0" borderId="0" xfId="0" quotePrefix="1" applyFont="1" applyAlignment="1">
      <alignment horizontal="left" vertical="top" wrapText="1"/>
    </xf>
    <xf numFmtId="0" fontId="79" fillId="0" borderId="0" xfId="0" quotePrefix="1" applyFont="1" applyAlignment="1">
      <alignment horizontal="left" vertical="top"/>
    </xf>
    <xf numFmtId="0" fontId="83" fillId="0" borderId="25" xfId="0" applyFont="1" applyBorder="1" applyAlignment="1">
      <alignment horizontal="left" vertical="top" wrapText="1"/>
    </xf>
    <xf numFmtId="0" fontId="82" fillId="0" borderId="0" xfId="0" applyFont="1" applyAlignment="1">
      <alignment vertical="top" wrapText="1"/>
    </xf>
    <xf numFmtId="49" fontId="9" fillId="0" borderId="71" xfId="0" applyNumberFormat="1" applyFont="1" applyBorder="1" applyAlignment="1">
      <alignment horizontal="center" vertical="top"/>
    </xf>
    <xf numFmtId="49" fontId="9" fillId="0" borderId="71" xfId="0" quotePrefix="1" applyNumberFormat="1" applyFont="1" applyBorder="1" applyAlignment="1">
      <alignment horizontal="center" vertical="top"/>
    </xf>
    <xf numFmtId="0" fontId="9" fillId="0" borderId="71" xfId="0" applyFont="1" applyBorder="1" applyAlignment="1">
      <alignment horizontal="center" vertical="top"/>
    </xf>
    <xf numFmtId="0" fontId="9" fillId="0" borderId="51" xfId="0" applyFont="1" applyBorder="1" applyAlignment="1">
      <alignment horizontal="center" vertical="top"/>
    </xf>
    <xf numFmtId="49" fontId="9" fillId="0" borderId="88" xfId="0" applyNumberFormat="1" applyFont="1" applyBorder="1" applyAlignment="1">
      <alignment horizontal="center" vertical="top"/>
    </xf>
    <xf numFmtId="0" fontId="9" fillId="0" borderId="88" xfId="0" applyFont="1" applyBorder="1" applyAlignment="1">
      <alignment horizontal="center" vertical="top"/>
    </xf>
    <xf numFmtId="0" fontId="9" fillId="0" borderId="83" xfId="0" applyFont="1" applyBorder="1" applyAlignment="1">
      <alignment horizontal="center" vertical="top"/>
    </xf>
    <xf numFmtId="0" fontId="9" fillId="0" borderId="1" xfId="0" applyFont="1" applyBorder="1" applyAlignment="1">
      <alignment horizontal="center" vertical="top"/>
    </xf>
    <xf numFmtId="0" fontId="9" fillId="0" borderId="25" xfId="0" quotePrefix="1" applyFont="1" applyBorder="1" applyAlignment="1">
      <alignment horizontal="left" vertical="top"/>
    </xf>
    <xf numFmtId="0" fontId="7" fillId="0" borderId="25" xfId="0" quotePrefix="1" applyFont="1" applyBorder="1" applyAlignment="1">
      <alignment horizontal="left" vertical="top"/>
    </xf>
    <xf numFmtId="0" fontId="0" fillId="16" borderId="25" xfId="0" applyFill="1" applyBorder="1" applyAlignment="1">
      <alignment vertical="top"/>
    </xf>
    <xf numFmtId="0" fontId="0" fillId="17" borderId="89" xfId="0" applyFill="1" applyBorder="1" applyAlignment="1">
      <alignment vertical="top"/>
    </xf>
    <xf numFmtId="0" fontId="2" fillId="6" borderId="25" xfId="0" applyFont="1" applyFill="1" applyBorder="1" applyAlignment="1">
      <alignment vertical="top"/>
    </xf>
    <xf numFmtId="49" fontId="2" fillId="6" borderId="25" xfId="0" applyNumberFormat="1" applyFont="1" applyFill="1" applyBorder="1" applyAlignment="1">
      <alignment horizontal="right" vertical="top"/>
    </xf>
    <xf numFmtId="0" fontId="6" fillId="8" borderId="90" xfId="0" quotePrefix="1" applyFont="1" applyFill="1" applyBorder="1" applyAlignment="1">
      <alignment horizontal="center" vertical="top"/>
    </xf>
    <xf numFmtId="14" fontId="16" fillId="4" borderId="0" xfId="8" applyNumberFormat="1" applyFont="1" applyFill="1" applyAlignment="1" applyProtection="1">
      <alignment horizontal="left"/>
      <protection locked="0"/>
    </xf>
    <xf numFmtId="14" fontId="6" fillId="4" borderId="0" xfId="0" applyNumberFormat="1" applyFont="1" applyFill="1" applyAlignment="1" applyProtection="1">
      <alignment horizontal="left"/>
      <protection locked="0"/>
    </xf>
    <xf numFmtId="0" fontId="6" fillId="4" borderId="0" xfId="8" applyFont="1" applyFill="1" applyAlignment="1" applyProtection="1">
      <alignment horizontal="left"/>
      <protection locked="0"/>
    </xf>
    <xf numFmtId="164" fontId="3" fillId="4" borderId="29" xfId="1" applyNumberFormat="1" applyFill="1" applyBorder="1" applyAlignment="1" applyProtection="1">
      <alignment horizontal="center"/>
      <protection locked="0"/>
    </xf>
    <xf numFmtId="164" fontId="6" fillId="3" borderId="4" xfId="7" applyNumberFormat="1" applyFont="1" applyFill="1" applyBorder="1" applyAlignment="1" applyProtection="1">
      <alignment horizontal="center"/>
      <protection locked="0"/>
    </xf>
    <xf numFmtId="164" fontId="6" fillId="3" borderId="9" xfId="7" applyNumberFormat="1" applyFont="1" applyFill="1" applyBorder="1" applyAlignment="1" applyProtection="1">
      <alignment horizontal="center"/>
      <protection locked="0"/>
    </xf>
    <xf numFmtId="164" fontId="6" fillId="0" borderId="8" xfId="7" applyNumberFormat="1" applyFont="1" applyBorder="1" applyAlignment="1">
      <alignment horizontal="center"/>
    </xf>
    <xf numFmtId="164" fontId="6" fillId="0" borderId="54" xfId="7" applyNumberFormat="1" applyFont="1" applyBorder="1" applyAlignment="1">
      <alignment horizontal="center"/>
    </xf>
    <xf numFmtId="1" fontId="6" fillId="3" borderId="30" xfId="7" applyNumberFormat="1" applyFont="1" applyFill="1" applyBorder="1" applyAlignment="1" applyProtection="1">
      <alignment horizontal="center"/>
      <protection locked="0"/>
    </xf>
    <xf numFmtId="1" fontId="6" fillId="3" borderId="52" xfId="7" applyNumberFormat="1" applyFont="1" applyFill="1" applyBorder="1" applyAlignment="1" applyProtection="1">
      <alignment horizontal="center"/>
      <protection locked="0"/>
    </xf>
    <xf numFmtId="0" fontId="9" fillId="0" borderId="0" xfId="0" applyFont="1"/>
    <xf numFmtId="0" fontId="68" fillId="0" borderId="25" xfId="0" quotePrefix="1" applyFont="1" applyBorder="1" applyAlignment="1">
      <alignment horizontal="left" vertical="top"/>
    </xf>
    <xf numFmtId="0" fontId="57" fillId="10" borderId="25" xfId="0" applyFont="1" applyFill="1" applyBorder="1" applyAlignment="1">
      <alignment horizontal="left" vertical="top"/>
    </xf>
    <xf numFmtId="0" fontId="73" fillId="9" borderId="91" xfId="0" quotePrefix="1" applyFont="1" applyFill="1" applyBorder="1" applyAlignment="1">
      <alignment horizontal="left" vertical="top" wrapText="1"/>
    </xf>
    <xf numFmtId="0" fontId="7" fillId="0" borderId="88" xfId="0" applyFont="1" applyBorder="1" applyAlignment="1">
      <alignment vertical="top"/>
    </xf>
    <xf numFmtId="0" fontId="75" fillId="0" borderId="64" xfId="0" applyFont="1" applyBorder="1" applyAlignment="1">
      <alignment vertical="top" wrapText="1"/>
    </xf>
    <xf numFmtId="0" fontId="8" fillId="0" borderId="64" xfId="0" applyFont="1" applyBorder="1" applyAlignment="1">
      <alignment vertical="top" wrapText="1"/>
    </xf>
    <xf numFmtId="0" fontId="7" fillId="0" borderId="64" xfId="0" applyFont="1" applyBorder="1" applyAlignment="1">
      <alignment vertical="top" wrapText="1"/>
    </xf>
    <xf numFmtId="0" fontId="73" fillId="9" borderId="85" xfId="0" quotePrefix="1" applyFont="1" applyFill="1" applyBorder="1" applyAlignment="1">
      <alignment horizontal="left" vertical="top" wrapText="1"/>
    </xf>
    <xf numFmtId="0" fontId="0" fillId="9" borderId="86" xfId="0" applyFill="1" applyBorder="1" applyAlignment="1">
      <alignment vertical="top"/>
    </xf>
    <xf numFmtId="0" fontId="0" fillId="9" borderId="87" xfId="0" applyFill="1" applyBorder="1" applyAlignment="1">
      <alignment vertical="top"/>
    </xf>
    <xf numFmtId="0" fontId="73" fillId="0" borderId="69" xfId="0" applyFont="1" applyBorder="1" applyAlignment="1">
      <alignment vertical="top" wrapText="1"/>
    </xf>
    <xf numFmtId="0" fontId="73" fillId="0" borderId="71" xfId="0" applyFont="1" applyBorder="1" applyAlignment="1">
      <alignment vertical="top"/>
    </xf>
    <xf numFmtId="0" fontId="73" fillId="0" borderId="64" xfId="0" applyFont="1" applyBorder="1" applyAlignment="1">
      <alignment vertical="top" wrapText="1"/>
    </xf>
    <xf numFmtId="0" fontId="73" fillId="9" borderId="86" xfId="0" quotePrefix="1" applyFont="1" applyFill="1" applyBorder="1" applyAlignment="1">
      <alignment horizontal="left" vertical="top" wrapText="1"/>
    </xf>
    <xf numFmtId="0" fontId="73" fillId="9" borderId="87" xfId="0" applyFont="1" applyFill="1" applyBorder="1" applyAlignment="1">
      <alignment vertical="top" wrapText="1"/>
    </xf>
    <xf numFmtId="0" fontId="0" fillId="9" borderId="86" xfId="0" applyFill="1" applyBorder="1" applyAlignment="1">
      <alignment vertical="top" wrapText="1"/>
    </xf>
    <xf numFmtId="0" fontId="57" fillId="6" borderId="69" xfId="0" quotePrefix="1" applyFont="1" applyFill="1" applyBorder="1" applyAlignment="1">
      <alignment horizontal="left" vertical="top" wrapText="1"/>
    </xf>
    <xf numFmtId="0" fontId="0" fillId="9" borderId="87" xfId="0" applyFill="1" applyBorder="1" applyAlignment="1">
      <alignment vertical="top" wrapText="1"/>
    </xf>
    <xf numFmtId="0" fontId="73" fillId="0" borderId="69" xfId="0" quotePrefix="1" applyFont="1" applyBorder="1" applyAlignment="1">
      <alignment horizontal="left" vertical="top" wrapText="1"/>
    </xf>
    <xf numFmtId="0" fontId="73" fillId="9" borderId="87" xfId="0" quotePrefix="1" applyFont="1" applyFill="1" applyBorder="1" applyAlignment="1">
      <alignment horizontal="left" vertical="top" wrapText="1"/>
    </xf>
    <xf numFmtId="0" fontId="73" fillId="6" borderId="69" xfId="0" applyFont="1" applyFill="1" applyBorder="1" applyAlignment="1">
      <alignment vertical="top" wrapText="1"/>
    </xf>
    <xf numFmtId="0" fontId="57" fillId="0" borderId="64" xfId="0" applyFont="1" applyBorder="1" applyAlignment="1">
      <alignment vertical="top" wrapText="1"/>
    </xf>
    <xf numFmtId="0" fontId="57" fillId="0" borderId="64" xfId="0" quotePrefix="1" applyFont="1" applyBorder="1" applyAlignment="1">
      <alignment horizontal="left" vertical="top" wrapText="1"/>
    </xf>
    <xf numFmtId="0" fontId="73" fillId="9" borderId="86" xfId="0" applyFont="1" applyFill="1" applyBorder="1" applyAlignment="1">
      <alignment vertical="top" wrapText="1"/>
    </xf>
    <xf numFmtId="172" fontId="9" fillId="0" borderId="0" xfId="0" applyNumberFormat="1" applyFont="1" applyAlignment="1">
      <alignment horizontal="center" vertical="top"/>
    </xf>
    <xf numFmtId="172" fontId="72" fillId="9" borderId="0" xfId="0" applyNumberFormat="1" applyFont="1" applyFill="1" applyAlignment="1">
      <alignment horizontal="center" vertical="top"/>
    </xf>
    <xf numFmtId="172" fontId="0" fillId="0" borderId="0" xfId="0" applyNumberFormat="1" applyAlignment="1">
      <alignment horizontal="center" vertical="top"/>
    </xf>
    <xf numFmtId="0" fontId="73" fillId="0" borderId="25" xfId="0" quotePrefix="1" applyFont="1" applyBorder="1" applyAlignment="1">
      <alignment horizontal="left" vertical="top"/>
    </xf>
    <xf numFmtId="0" fontId="0" fillId="0" borderId="0" xfId="0" applyAlignment="1">
      <alignment horizontal="left" vertical="top" wrapText="1"/>
    </xf>
    <xf numFmtId="0" fontId="2" fillId="9" borderId="87" xfId="0" quotePrefix="1" applyFont="1" applyFill="1" applyBorder="1" applyAlignment="1">
      <alignment horizontal="left" vertical="top" wrapText="1"/>
    </xf>
    <xf numFmtId="49" fontId="0" fillId="0" borderId="0" xfId="0" applyNumberFormat="1"/>
    <xf numFmtId="49" fontId="9" fillId="0" borderId="86" xfId="0" applyNumberFormat="1" applyFont="1" applyBorder="1" applyAlignment="1">
      <alignment vertical="top"/>
    </xf>
    <xf numFmtId="49" fontId="2" fillId="11" borderId="64" xfId="0" quotePrefix="1" applyNumberFormat="1" applyFont="1" applyFill="1" applyBorder="1" applyAlignment="1">
      <alignment horizontal="left"/>
    </xf>
    <xf numFmtId="49" fontId="2" fillId="6" borderId="64" xfId="0" applyNumberFormat="1" applyFont="1" applyFill="1" applyBorder="1"/>
    <xf numFmtId="49" fontId="2" fillId="6" borderId="25" xfId="0" applyNumberFormat="1" applyFont="1" applyFill="1" applyBorder="1"/>
    <xf numFmtId="49" fontId="2" fillId="11" borderId="64" xfId="0" applyNumberFormat="1" applyFont="1" applyFill="1" applyBorder="1"/>
    <xf numFmtId="49" fontId="2" fillId="11" borderId="25" xfId="0" applyNumberFormat="1" applyFont="1" applyFill="1" applyBorder="1" applyAlignment="1">
      <alignment horizontal="left"/>
    </xf>
    <xf numFmtId="49" fontId="2" fillId="11" borderId="25" xfId="0" quotePrefix="1" applyNumberFormat="1" applyFont="1" applyFill="1" applyBorder="1" applyAlignment="1">
      <alignment horizontal="left"/>
    </xf>
    <xf numFmtId="49" fontId="2" fillId="6" borderId="64" xfId="0" applyNumberFormat="1" applyFont="1" applyFill="1" applyBorder="1" applyAlignment="1">
      <alignment horizontal="left"/>
    </xf>
    <xf numFmtId="49" fontId="2" fillId="6" borderId="25" xfId="0" applyNumberFormat="1" applyFont="1" applyFill="1" applyBorder="1" applyAlignment="1">
      <alignment horizontal="left"/>
    </xf>
    <xf numFmtId="49" fontId="2" fillId="11" borderId="64" xfId="0" applyNumberFormat="1" applyFont="1" applyFill="1" applyBorder="1" applyAlignment="1">
      <alignment horizontal="left"/>
    </xf>
    <xf numFmtId="49" fontId="2" fillId="6" borderId="64" xfId="0" applyNumberFormat="1" applyFont="1" applyFill="1" applyBorder="1" applyAlignment="1">
      <alignment horizontal="right"/>
    </xf>
    <xf numFmtId="49" fontId="1" fillId="0" borderId="0" xfId="0" applyNumberFormat="1" applyFont="1"/>
    <xf numFmtId="0" fontId="73" fillId="10" borderId="25" xfId="0" quotePrefix="1" applyFont="1" applyFill="1" applyBorder="1" applyAlignment="1">
      <alignment horizontal="left" vertical="top" wrapText="1"/>
    </xf>
    <xf numFmtId="0" fontId="0" fillId="10" borderId="25" xfId="0" quotePrefix="1" applyFill="1" applyBorder="1" applyAlignment="1">
      <alignment horizontal="left" vertical="top" wrapText="1"/>
    </xf>
    <xf numFmtId="0" fontId="73" fillId="10" borderId="25" xfId="0" applyFont="1" applyFill="1" applyBorder="1" applyAlignment="1">
      <alignment horizontal="left" vertical="top" wrapText="1"/>
    </xf>
    <xf numFmtId="0" fontId="73" fillId="10" borderId="64" xfId="0" quotePrefix="1" applyFont="1" applyFill="1" applyBorder="1" applyAlignment="1">
      <alignment horizontal="left" vertical="top" wrapText="1"/>
    </xf>
    <xf numFmtId="49" fontId="6" fillId="4" borderId="0" xfId="8" applyNumberFormat="1" applyFont="1" applyFill="1" applyAlignment="1" applyProtection="1">
      <alignment horizontal="left"/>
      <protection locked="0"/>
    </xf>
    <xf numFmtId="0" fontId="2" fillId="10" borderId="25" xfId="0" quotePrefix="1" applyFont="1" applyFill="1" applyBorder="1" applyAlignment="1">
      <alignment horizontal="left" vertical="top" wrapText="1"/>
    </xf>
    <xf numFmtId="0" fontId="0" fillId="10" borderId="25" xfId="0" applyFill="1" applyBorder="1" applyAlignment="1">
      <alignment vertical="top"/>
    </xf>
    <xf numFmtId="0" fontId="9" fillId="0" borderId="0" xfId="8" quotePrefix="1" applyFont="1" applyAlignment="1">
      <alignment horizontal="left"/>
    </xf>
    <xf numFmtId="49" fontId="6" fillId="3" borderId="0" xfId="0" applyNumberFormat="1" applyFont="1" applyFill="1" applyAlignment="1" applyProtection="1">
      <alignment horizontal="left"/>
      <protection locked="0"/>
    </xf>
    <xf numFmtId="172" fontId="2" fillId="0" borderId="0" xfId="3" applyNumberFormat="1" applyAlignment="1">
      <alignment horizontal="center" vertical="top"/>
    </xf>
    <xf numFmtId="0" fontId="2" fillId="0" borderId="0" xfId="3" applyAlignment="1">
      <alignment horizontal="center" vertical="top"/>
    </xf>
    <xf numFmtId="0" fontId="2" fillId="0" borderId="0" xfId="3" quotePrefix="1" applyAlignment="1">
      <alignment horizontal="left" vertical="top" wrapText="1"/>
    </xf>
    <xf numFmtId="49" fontId="9" fillId="0" borderId="25" xfId="0" applyNumberFormat="1" applyFont="1" applyBorder="1" applyAlignment="1">
      <alignment vertical="top"/>
    </xf>
    <xf numFmtId="49" fontId="9" fillId="0" borderId="0" xfId="0" applyNumberFormat="1" applyFont="1"/>
    <xf numFmtId="49" fontId="78" fillId="0" borderId="64" xfId="0" applyNumberFormat="1" applyFont="1" applyBorder="1" applyAlignment="1">
      <alignment vertical="top"/>
    </xf>
    <xf numFmtId="49" fontId="78" fillId="0" borderId="25" xfId="0" applyNumberFormat="1" applyFont="1" applyBorder="1" applyAlignment="1">
      <alignment vertical="top"/>
    </xf>
    <xf numFmtId="49" fontId="9" fillId="0" borderId="92" xfId="0" applyNumberFormat="1" applyFont="1" applyBorder="1" applyAlignment="1">
      <alignment vertical="top"/>
    </xf>
    <xf numFmtId="49" fontId="9" fillId="0" borderId="64" xfId="0" applyNumberFormat="1" applyFont="1" applyBorder="1" applyAlignment="1">
      <alignment vertical="top"/>
    </xf>
    <xf numFmtId="49" fontId="2" fillId="10" borderId="64" xfId="0" applyNumberFormat="1" applyFont="1" applyFill="1" applyBorder="1"/>
    <xf numFmtId="49" fontId="2" fillId="10" borderId="25" xfId="0" applyNumberFormat="1" applyFont="1" applyFill="1" applyBorder="1"/>
    <xf numFmtId="0" fontId="73" fillId="0" borderId="25" xfId="3" quotePrefix="1" applyFont="1" applyBorder="1" applyAlignment="1">
      <alignment horizontal="left" vertical="top" wrapText="1"/>
    </xf>
    <xf numFmtId="0" fontId="16" fillId="0" borderId="0" xfId="8" applyFont="1"/>
    <xf numFmtId="0" fontId="12" fillId="0" borderId="0" xfId="7" applyFont="1"/>
    <xf numFmtId="0" fontId="3" fillId="18" borderId="0" xfId="2" applyFill="1" applyAlignment="1" applyProtection="1">
      <alignment horizontal="center"/>
      <protection locked="0"/>
    </xf>
    <xf numFmtId="0" fontId="3" fillId="0" borderId="0" xfId="2" applyAlignment="1" applyProtection="1">
      <alignment horizontal="centerContinuous"/>
      <protection locked="0"/>
    </xf>
    <xf numFmtId="164" fontId="3" fillId="18" borderId="0" xfId="2" applyNumberFormat="1" applyFill="1" applyAlignment="1" applyProtection="1">
      <alignment horizontal="center"/>
      <protection locked="0"/>
    </xf>
    <xf numFmtId="0" fontId="6" fillId="0" borderId="0" xfId="0" applyFont="1" applyProtection="1">
      <protection locked="0"/>
    </xf>
    <xf numFmtId="0" fontId="3" fillId="0" borderId="0" xfId="2" applyAlignment="1" applyProtection="1">
      <alignment horizontal="right"/>
      <protection locked="0"/>
    </xf>
    <xf numFmtId="0" fontId="6" fillId="0" borderId="0" xfId="2" applyFont="1" applyProtection="1">
      <protection locked="0"/>
    </xf>
    <xf numFmtId="16" fontId="3" fillId="0" borderId="0" xfId="2" quotePrefix="1" applyNumberFormat="1" applyProtection="1">
      <protection locked="0"/>
    </xf>
    <xf numFmtId="0" fontId="3" fillId="0" borderId="0" xfId="2" quotePrefix="1" applyAlignment="1" applyProtection="1">
      <alignment horizontal="left"/>
      <protection locked="0"/>
    </xf>
    <xf numFmtId="0" fontId="3" fillId="10" borderId="0" xfId="2" applyFill="1" applyProtection="1">
      <protection locked="0"/>
    </xf>
    <xf numFmtId="0" fontId="16" fillId="0" borderId="0" xfId="0" applyFont="1"/>
    <xf numFmtId="49" fontId="6" fillId="0" borderId="0" xfId="8" applyNumberFormat="1" applyFont="1" applyAlignment="1">
      <alignment horizontal="left"/>
    </xf>
    <xf numFmtId="169" fontId="6" fillId="0" borderId="0" xfId="8" applyNumberFormat="1" applyFont="1" applyAlignment="1">
      <alignment horizontal="centerContinuous"/>
    </xf>
    <xf numFmtId="169" fontId="7" fillId="0" borderId="0" xfId="8" applyNumberFormat="1" applyFont="1" applyAlignment="1">
      <alignment horizontal="centerContinuous"/>
    </xf>
    <xf numFmtId="169" fontId="0" fillId="0" borderId="0" xfId="0" applyNumberFormat="1" applyAlignment="1">
      <alignment horizontal="center"/>
    </xf>
    <xf numFmtId="169" fontId="0" fillId="0" borderId="0" xfId="0" quotePrefix="1" applyNumberFormat="1" applyAlignment="1">
      <alignment horizontal="center"/>
    </xf>
    <xf numFmtId="0" fontId="85" fillId="3" borderId="0" xfId="0" applyFont="1" applyFill="1" applyAlignment="1">
      <alignment vertical="top"/>
    </xf>
    <xf numFmtId="164" fontId="7" fillId="3" borderId="67" xfId="8" applyNumberFormat="1" applyFont="1" applyFill="1" applyBorder="1" applyAlignment="1" applyProtection="1">
      <alignment horizontal="center"/>
      <protection locked="0"/>
    </xf>
    <xf numFmtId="0" fontId="3" fillId="10" borderId="0" xfId="2" applyFill="1" applyAlignment="1" applyProtection="1">
      <alignment horizontal="right"/>
      <protection locked="0"/>
    </xf>
    <xf numFmtId="0" fontId="3" fillId="9" borderId="0" xfId="2" applyFill="1" applyProtection="1">
      <protection locked="0"/>
    </xf>
    <xf numFmtId="49" fontId="3" fillId="0" borderId="0" xfId="2" applyNumberFormat="1" applyProtection="1">
      <protection locked="0"/>
    </xf>
    <xf numFmtId="0" fontId="7" fillId="0" borderId="0" xfId="8" applyFont="1" applyAlignment="1">
      <alignment horizontal="left"/>
    </xf>
    <xf numFmtId="0" fontId="7" fillId="9" borderId="0" xfId="2" applyFont="1" applyFill="1" applyProtection="1">
      <protection locked="0"/>
    </xf>
    <xf numFmtId="49" fontId="3" fillId="9" borderId="0" xfId="2" applyNumberFormat="1" applyFill="1" applyAlignment="1" applyProtection="1">
      <alignment horizontal="right"/>
      <protection locked="0"/>
    </xf>
    <xf numFmtId="0" fontId="0" fillId="0" borderId="0" xfId="0" applyAlignment="1">
      <alignment horizontal="left"/>
    </xf>
    <xf numFmtId="0" fontId="11" fillId="0" borderId="0" xfId="0" applyFont="1" applyProtection="1">
      <protection locked="0"/>
    </xf>
    <xf numFmtId="0" fontId="3" fillId="0" borderId="0" xfId="2" applyAlignment="1" applyProtection="1">
      <alignment horizontal="left"/>
      <protection locked="0"/>
    </xf>
    <xf numFmtId="1" fontId="6" fillId="0" borderId="1" xfId="8" applyNumberFormat="1" applyFont="1" applyBorder="1" applyAlignment="1" applyProtection="1">
      <alignment horizontal="center"/>
      <protection locked="0"/>
    </xf>
    <xf numFmtId="0" fontId="0" fillId="3" borderId="25" xfId="0" applyFill="1" applyBorder="1" applyAlignment="1">
      <alignment horizontal="left" vertical="top"/>
    </xf>
    <xf numFmtId="0" fontId="0" fillId="9" borderId="0" xfId="0" applyFill="1"/>
    <xf numFmtId="49" fontId="3" fillId="9" borderId="0" xfId="2" applyNumberFormat="1" applyFill="1" applyProtection="1">
      <protection locked="0"/>
    </xf>
    <xf numFmtId="0" fontId="3" fillId="4" borderId="0" xfId="2" applyFill="1" applyAlignment="1" applyProtection="1">
      <alignment horizontal="right"/>
      <protection locked="0"/>
    </xf>
    <xf numFmtId="0" fontId="86" fillId="0" borderId="0" xfId="2" applyFont="1" applyProtection="1">
      <protection locked="0"/>
    </xf>
    <xf numFmtId="49" fontId="3" fillId="10" borderId="0" xfId="2" applyNumberFormat="1" applyFill="1" applyAlignment="1" applyProtection="1">
      <alignment horizontal="right"/>
      <protection locked="0"/>
    </xf>
    <xf numFmtId="14" fontId="7" fillId="3" borderId="28" xfId="8" quotePrefix="1" applyNumberFormat="1" applyFont="1" applyFill="1" applyBorder="1" applyAlignment="1" applyProtection="1">
      <alignment horizontal="center"/>
      <protection locked="0"/>
    </xf>
    <xf numFmtId="49" fontId="0" fillId="3" borderId="84" xfId="0" applyNumberFormat="1" applyFill="1" applyBorder="1" applyAlignment="1" applyProtection="1">
      <alignment horizontal="left" vertical="top"/>
      <protection locked="0"/>
    </xf>
    <xf numFmtId="49" fontId="9" fillId="0" borderId="1" xfId="0" applyNumberFormat="1" applyFont="1" applyBorder="1" applyAlignment="1">
      <alignment vertical="top"/>
    </xf>
    <xf numFmtId="49" fontId="9" fillId="0" borderId="66" xfId="0" applyNumberFormat="1" applyFont="1" applyBorder="1" applyAlignment="1">
      <alignment vertical="top"/>
    </xf>
    <xf numFmtId="49" fontId="0" fillId="3" borderId="71" xfId="0" applyNumberFormat="1" applyFill="1" applyBorder="1" applyAlignment="1" applyProtection="1">
      <alignment vertical="top"/>
      <protection locked="0"/>
    </xf>
    <xf numFmtId="49" fontId="78" fillId="0" borderId="1" xfId="0" applyNumberFormat="1" applyFont="1" applyBorder="1" applyAlignment="1">
      <alignment vertical="top"/>
    </xf>
    <xf numFmtId="49" fontId="78" fillId="0" borderId="84" xfId="0" applyNumberFormat="1" applyFont="1" applyBorder="1" applyAlignment="1">
      <alignment vertical="top"/>
    </xf>
    <xf numFmtId="0" fontId="9" fillId="11" borderId="92" xfId="0" quotePrefix="1" applyFont="1" applyFill="1" applyBorder="1" applyAlignment="1">
      <alignment horizontal="center" wrapText="1"/>
    </xf>
    <xf numFmtId="0" fontId="9" fillId="11" borderId="92" xfId="0" applyFont="1" applyFill="1" applyBorder="1" applyAlignment="1">
      <alignment horizontal="center" wrapText="1"/>
    </xf>
    <xf numFmtId="0" fontId="9" fillId="6" borderId="92" xfId="0" applyFont="1" applyFill="1" applyBorder="1" applyAlignment="1">
      <alignment horizontal="center" wrapText="1"/>
    </xf>
    <xf numFmtId="0" fontId="9" fillId="6" borderId="92" xfId="0" quotePrefix="1" applyFont="1" applyFill="1" applyBorder="1" applyAlignment="1">
      <alignment horizontal="center" wrapText="1"/>
    </xf>
    <xf numFmtId="49" fontId="0" fillId="11" borderId="93" xfId="0" applyNumberFormat="1" applyFill="1" applyBorder="1"/>
    <xf numFmtId="49" fontId="2" fillId="11" borderId="92" xfId="0" applyNumberFormat="1" applyFont="1" applyFill="1" applyBorder="1"/>
    <xf numFmtId="172" fontId="2" fillId="6" borderId="92" xfId="0" applyNumberFormat="1" applyFont="1" applyFill="1" applyBorder="1"/>
    <xf numFmtId="49" fontId="2" fillId="6" borderId="92" xfId="0" applyNumberFormat="1" applyFont="1" applyFill="1" applyBorder="1"/>
    <xf numFmtId="14" fontId="2" fillId="6" borderId="92" xfId="0" applyNumberFormat="1" applyFont="1" applyFill="1" applyBorder="1"/>
    <xf numFmtId="14" fontId="2" fillId="11" borderId="92" xfId="0" applyNumberFormat="1" applyFont="1" applyFill="1" applyBorder="1" applyAlignment="1">
      <alignment horizontal="center"/>
    </xf>
    <xf numFmtId="49" fontId="2" fillId="11" borderId="92" xfId="0" quotePrefix="1" applyNumberFormat="1" applyFont="1" applyFill="1" applyBorder="1" applyAlignment="1">
      <alignment horizontal="left"/>
    </xf>
    <xf numFmtId="14" fontId="0" fillId="11" borderId="92" xfId="0" applyNumberFormat="1" applyFill="1" applyBorder="1" applyAlignment="1">
      <alignment horizontal="center"/>
    </xf>
    <xf numFmtId="49" fontId="0" fillId="11" borderId="92" xfId="0" applyNumberFormat="1" applyFill="1" applyBorder="1" applyAlignment="1">
      <alignment horizontal="center"/>
    </xf>
    <xf numFmtId="49" fontId="0" fillId="11" borderId="92" xfId="0" applyNumberFormat="1" applyFill="1" applyBorder="1"/>
    <xf numFmtId="49" fontId="2" fillId="11" borderId="92" xfId="0" applyNumberFormat="1" applyFont="1" applyFill="1" applyBorder="1" applyAlignment="1">
      <alignment horizontal="center"/>
    </xf>
    <xf numFmtId="49" fontId="2" fillId="6" borderId="92" xfId="0" applyNumberFormat="1" applyFont="1" applyFill="1" applyBorder="1" applyAlignment="1">
      <alignment horizontal="center" wrapText="1"/>
    </xf>
    <xf numFmtId="49" fontId="2" fillId="6" borderId="94" xfId="0" applyNumberFormat="1" applyFont="1" applyFill="1" applyBorder="1"/>
    <xf numFmtId="49" fontId="9" fillId="0" borderId="94" xfId="0" applyNumberFormat="1" applyFont="1" applyBorder="1" applyAlignment="1">
      <alignment vertical="top"/>
    </xf>
    <xf numFmtId="0" fontId="9" fillId="7" borderId="92" xfId="0" applyFont="1" applyFill="1" applyBorder="1" applyAlignment="1">
      <alignment horizontal="center" wrapText="1"/>
    </xf>
    <xf numFmtId="49" fontId="0" fillId="11" borderId="88" xfId="0" applyNumberFormat="1" applyFill="1" applyBorder="1"/>
    <xf numFmtId="49" fontId="64" fillId="7" borderId="88" xfId="0" applyNumberFormat="1" applyFont="1" applyFill="1" applyBorder="1"/>
    <xf numFmtId="49" fontId="7" fillId="11" borderId="71" xfId="0" applyNumberFormat="1" applyFont="1" applyFill="1" applyBorder="1" applyAlignment="1">
      <alignment horizontal="left" vertical="top"/>
    </xf>
    <xf numFmtId="14" fontId="0" fillId="6" borderId="95" xfId="0" applyNumberFormat="1" applyFill="1" applyBorder="1" applyAlignment="1">
      <alignment vertical="top"/>
    </xf>
    <xf numFmtId="49" fontId="9" fillId="0" borderId="95" xfId="0" applyNumberFormat="1" applyFont="1" applyBorder="1" applyAlignment="1">
      <alignment vertical="top"/>
    </xf>
    <xf numFmtId="49" fontId="2" fillId="11" borderId="93" xfId="0" applyNumberFormat="1" applyFont="1" applyFill="1" applyBorder="1"/>
    <xf numFmtId="49" fontId="0" fillId="11" borderId="92" xfId="0" quotePrefix="1" applyNumberFormat="1" applyFill="1" applyBorder="1" applyAlignment="1">
      <alignment horizontal="right"/>
    </xf>
    <xf numFmtId="49" fontId="2" fillId="11" borderId="92" xfId="0" applyNumberFormat="1" applyFont="1" applyFill="1" applyBorder="1" applyAlignment="1">
      <alignment horizontal="right"/>
    </xf>
    <xf numFmtId="14" fontId="2" fillId="6" borderId="94" xfId="0" applyNumberFormat="1" applyFont="1" applyFill="1" applyBorder="1"/>
    <xf numFmtId="49" fontId="78" fillId="0" borderId="66" xfId="0" applyNumberFormat="1" applyFont="1" applyBorder="1" applyAlignment="1">
      <alignment vertical="top"/>
    </xf>
    <xf numFmtId="49" fontId="2" fillId="11" borderId="92" xfId="0" applyNumberFormat="1" applyFont="1" applyFill="1" applyBorder="1" applyAlignment="1">
      <alignment horizontal="left"/>
    </xf>
    <xf numFmtId="172" fontId="2" fillId="11" borderId="92" xfId="0" applyNumberFormat="1" applyFont="1" applyFill="1" applyBorder="1"/>
    <xf numFmtId="14" fontId="2" fillId="11" borderId="92" xfId="0" applyNumberFormat="1" applyFont="1" applyFill="1" applyBorder="1"/>
    <xf numFmtId="49" fontId="2" fillId="11" borderId="94" xfId="0" applyNumberFormat="1" applyFont="1" applyFill="1" applyBorder="1" applyAlignment="1">
      <alignment horizontal="right"/>
    </xf>
    <xf numFmtId="49" fontId="2" fillId="6" borderId="71" xfId="0" applyNumberFormat="1" applyFont="1" applyFill="1" applyBorder="1"/>
    <xf numFmtId="49" fontId="2" fillId="6" borderId="71" xfId="0" applyNumberFormat="1" applyFont="1" applyFill="1" applyBorder="1" applyAlignment="1">
      <alignment horizontal="left"/>
    </xf>
    <xf numFmtId="49" fontId="2" fillId="11" borderId="93" xfId="0" quotePrefix="1" applyNumberFormat="1" applyFont="1" applyFill="1" applyBorder="1" applyAlignment="1">
      <alignment horizontal="left"/>
    </xf>
    <xf numFmtId="172" fontId="2" fillId="10" borderId="92" xfId="0" applyNumberFormat="1" applyFont="1" applyFill="1" applyBorder="1" applyAlignment="1">
      <alignment horizontal="center"/>
    </xf>
    <xf numFmtId="49" fontId="78" fillId="0" borderId="99" xfId="0" applyNumberFormat="1" applyFont="1" applyBorder="1" applyAlignment="1">
      <alignment vertical="top"/>
    </xf>
    <xf numFmtId="49" fontId="78" fillId="0" borderId="97" xfId="0" applyNumberFormat="1" applyFont="1" applyBorder="1" applyAlignment="1">
      <alignment vertical="top"/>
    </xf>
    <xf numFmtId="49" fontId="78" fillId="0" borderId="100" xfId="0" applyNumberFormat="1" applyFont="1" applyBorder="1" applyAlignment="1">
      <alignment vertical="top"/>
    </xf>
    <xf numFmtId="49" fontId="2" fillId="11" borderId="71" xfId="0" quotePrefix="1" applyNumberFormat="1" applyFont="1" applyFill="1" applyBorder="1" applyAlignment="1">
      <alignment horizontal="left"/>
    </xf>
    <xf numFmtId="49" fontId="2" fillId="11" borderId="71" xfId="0" applyNumberFormat="1" applyFont="1" applyFill="1" applyBorder="1" applyAlignment="1">
      <alignment horizontal="left"/>
    </xf>
    <xf numFmtId="49" fontId="2" fillId="11" borderId="71" xfId="0" applyNumberFormat="1" applyFont="1" applyFill="1" applyBorder="1"/>
    <xf numFmtId="49" fontId="2" fillId="10" borderId="71" xfId="0" applyNumberFormat="1" applyFont="1" applyFill="1" applyBorder="1"/>
    <xf numFmtId="0" fontId="36" fillId="0" borderId="0" xfId="6" applyFont="1" applyAlignment="1" applyProtection="1">
      <alignment horizontal="left"/>
      <protection locked="0"/>
    </xf>
    <xf numFmtId="1" fontId="2" fillId="3" borderId="1" xfId="8" applyNumberFormat="1" applyFont="1" applyFill="1" applyBorder="1" applyAlignment="1" applyProtection="1">
      <alignment horizontal="center"/>
      <protection locked="0"/>
    </xf>
    <xf numFmtId="1" fontId="2" fillId="3" borderId="28" xfId="8" applyNumberFormat="1" applyFont="1" applyFill="1" applyBorder="1" applyAlignment="1" applyProtection="1">
      <alignment horizontal="center"/>
      <protection locked="0"/>
    </xf>
    <xf numFmtId="164" fontId="2" fillId="3" borderId="3" xfId="8" applyNumberFormat="1" applyFont="1" applyFill="1" applyBorder="1" applyAlignment="1" applyProtection="1">
      <alignment horizontal="center"/>
      <protection locked="0"/>
    </xf>
    <xf numFmtId="164" fontId="2" fillId="3" borderId="10" xfId="8" applyNumberFormat="1" applyFont="1" applyFill="1" applyBorder="1" applyAlignment="1" applyProtection="1">
      <alignment horizontal="center"/>
      <protection locked="0"/>
    </xf>
    <xf numFmtId="0" fontId="27" fillId="0" borderId="0" xfId="6" applyFont="1" applyProtection="1">
      <protection locked="0"/>
    </xf>
    <xf numFmtId="0" fontId="89" fillId="0" borderId="0" xfId="0" applyFont="1"/>
    <xf numFmtId="2" fontId="0" fillId="0" borderId="0" xfId="0" applyNumberFormat="1"/>
    <xf numFmtId="0" fontId="0" fillId="0" borderId="24" xfId="0" applyBorder="1"/>
    <xf numFmtId="165" fontId="0" fillId="0" borderId="0" xfId="0" applyNumberFormat="1"/>
    <xf numFmtId="164" fontId="1" fillId="0" borderId="0" xfId="0" applyNumberFormat="1" applyFont="1" applyAlignment="1">
      <alignment horizontal="center"/>
    </xf>
    <xf numFmtId="0" fontId="8"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Continuous"/>
    </xf>
    <xf numFmtId="165" fontId="1" fillId="0" borderId="0" xfId="0" applyNumberFormat="1" applyFont="1" applyAlignment="1">
      <alignment horizontal="center"/>
    </xf>
    <xf numFmtId="165" fontId="2" fillId="0" borderId="0" xfId="0" applyNumberFormat="1" applyFont="1" applyAlignment="1">
      <alignment horizontal="center"/>
    </xf>
    <xf numFmtId="2" fontId="2" fillId="0" borderId="0" xfId="0" applyNumberFormat="1" applyFont="1" applyAlignment="1">
      <alignment horizontal="center"/>
    </xf>
    <xf numFmtId="0" fontId="0" fillId="0" borderId="23" xfId="0" applyBorder="1"/>
    <xf numFmtId="0" fontId="1" fillId="0" borderId="23" xfId="8" applyFont="1" applyBorder="1"/>
    <xf numFmtId="0" fontId="1" fillId="0" borderId="3" xfId="8" applyFont="1" applyBorder="1"/>
    <xf numFmtId="169" fontId="25" fillId="0" borderId="0" xfId="8" quotePrefix="1" applyNumberFormat="1" applyFont="1" applyAlignment="1">
      <alignment horizontal="centerContinuous"/>
    </xf>
    <xf numFmtId="0" fontId="0" fillId="3" borderId="67" xfId="0" applyFill="1" applyBorder="1" applyAlignment="1" applyProtection="1">
      <alignment horizontal="centerContinuous"/>
      <protection locked="0"/>
    </xf>
    <xf numFmtId="0" fontId="0" fillId="3" borderId="33" xfId="0" applyFill="1" applyBorder="1" applyAlignment="1" applyProtection="1">
      <alignment horizontal="centerContinuous"/>
      <protection locked="0"/>
    </xf>
    <xf numFmtId="0" fontId="0" fillId="3" borderId="42" xfId="0" applyFill="1" applyBorder="1" applyAlignment="1" applyProtection="1">
      <alignment horizontal="centerContinuous"/>
      <protection locked="0"/>
    </xf>
    <xf numFmtId="169" fontId="6" fillId="0" borderId="0" xfId="0" applyNumberFormat="1" applyFont="1" applyAlignment="1">
      <alignment horizontal="center"/>
    </xf>
    <xf numFmtId="169" fontId="16" fillId="0" borderId="0" xfId="0" quotePrefix="1" applyNumberFormat="1" applyFont="1"/>
    <xf numFmtId="169" fontId="12" fillId="0" borderId="0" xfId="0" quotePrefix="1" applyNumberFormat="1" applyFont="1" applyAlignment="1">
      <alignment horizontal="center"/>
    </xf>
    <xf numFmtId="0" fontId="6" fillId="0" borderId="0" xfId="8" applyFont="1" applyProtection="1">
      <protection locked="0"/>
    </xf>
    <xf numFmtId="0" fontId="6" fillId="0" borderId="0" xfId="8" applyFont="1" applyAlignment="1" applyProtection="1">
      <alignment horizontal="left"/>
      <protection locked="0"/>
    </xf>
    <xf numFmtId="17" fontId="1" fillId="2" borderId="9" xfId="8" quotePrefix="1" applyNumberFormat="1" applyFont="1" applyFill="1" applyBorder="1" applyAlignment="1">
      <alignment horizontal="right"/>
    </xf>
    <xf numFmtId="0" fontId="87" fillId="0" borderId="0" xfId="6" applyFont="1"/>
    <xf numFmtId="0" fontId="87" fillId="0" borderId="0" xfId="6" applyFont="1" applyAlignment="1">
      <alignment horizontal="right"/>
    </xf>
    <xf numFmtId="0" fontId="27" fillId="0" borderId="0" xfId="6" applyFont="1"/>
    <xf numFmtId="0" fontId="88" fillId="0" borderId="0" xfId="6" applyFont="1"/>
    <xf numFmtId="0" fontId="27" fillId="0" borderId="0" xfId="6" applyFont="1" applyAlignment="1">
      <alignment horizontal="left"/>
    </xf>
    <xf numFmtId="0" fontId="1" fillId="0" borderId="29" xfId="0" applyFont="1" applyBorder="1" applyAlignment="1">
      <alignment horizontal="center"/>
    </xf>
    <xf numFmtId="0" fontId="1" fillId="0" borderId="37" xfId="0" applyFont="1" applyBorder="1" applyAlignment="1">
      <alignment horizontal="center"/>
    </xf>
    <xf numFmtId="0" fontId="1" fillId="0" borderId="25" xfId="0" applyFont="1" applyBorder="1" applyAlignment="1">
      <alignment horizontal="center"/>
    </xf>
    <xf numFmtId="0" fontId="1" fillId="0" borderId="67" xfId="0" applyFont="1" applyBorder="1" applyAlignment="1">
      <alignment horizontal="center"/>
    </xf>
    <xf numFmtId="0" fontId="1" fillId="0" borderId="8" xfId="0" applyFont="1" applyBorder="1" applyAlignment="1">
      <alignment horizontal="center"/>
    </xf>
    <xf numFmtId="0" fontId="1" fillId="0" borderId="2" xfId="0" applyFont="1" applyBorder="1" applyAlignment="1">
      <alignment horizontal="center"/>
    </xf>
    <xf numFmtId="0" fontId="1" fillId="0" borderId="75" xfId="0" applyFont="1" applyBorder="1" applyAlignment="1">
      <alignment horizontal="center"/>
    </xf>
    <xf numFmtId="0" fontId="0" fillId="0" borderId="83" xfId="0" applyBorder="1" applyAlignment="1">
      <alignment horizontal="center"/>
    </xf>
    <xf numFmtId="0" fontId="1" fillId="0" borderId="31" xfId="8" applyFont="1" applyBorder="1" applyAlignment="1">
      <alignment horizontal="center"/>
    </xf>
    <xf numFmtId="0" fontId="1" fillId="0" borderId="23" xfId="8" applyFont="1" applyBorder="1" applyAlignment="1">
      <alignment horizontal="center"/>
    </xf>
    <xf numFmtId="0" fontId="1" fillId="0" borderId="18" xfId="8" applyFont="1" applyBorder="1" applyAlignment="1">
      <alignment horizontal="center"/>
    </xf>
    <xf numFmtId="49" fontId="2" fillId="0" borderId="27" xfId="8" applyNumberFormat="1" applyFont="1" applyBorder="1" applyAlignment="1">
      <alignment horizontal="center"/>
    </xf>
    <xf numFmtId="0" fontId="2" fillId="0" borderId="27" xfId="8" applyFont="1" applyBorder="1" applyAlignment="1">
      <alignment horizontal="center"/>
    </xf>
    <xf numFmtId="165" fontId="2" fillId="0" borderId="27" xfId="8" applyNumberFormat="1" applyFont="1" applyBorder="1" applyAlignment="1">
      <alignment horizontal="center"/>
    </xf>
    <xf numFmtId="0" fontId="2" fillId="0" borderId="7" xfId="8" applyFont="1" applyBorder="1" applyAlignment="1">
      <alignment horizontal="center"/>
    </xf>
    <xf numFmtId="165" fontId="6" fillId="0" borderId="29" xfId="8" applyNumberFormat="1" applyFont="1" applyBorder="1" applyAlignment="1">
      <alignment horizontal="right"/>
    </xf>
    <xf numFmtId="164" fontId="0" fillId="0" borderId="72" xfId="0" applyNumberFormat="1" applyBorder="1" applyAlignment="1">
      <alignment horizontal="center"/>
    </xf>
    <xf numFmtId="164" fontId="0" fillId="0" borderId="32" xfId="0" applyNumberFormat="1" applyBorder="1" applyAlignment="1">
      <alignment horizontal="center"/>
    </xf>
    <xf numFmtId="165" fontId="6" fillId="0" borderId="37" xfId="8" applyNumberFormat="1" applyFont="1" applyBorder="1" applyAlignment="1">
      <alignment horizontal="right"/>
    </xf>
    <xf numFmtId="164" fontId="0" fillId="0" borderId="25" xfId="0" applyNumberFormat="1" applyBorder="1" applyAlignment="1">
      <alignment horizontal="center"/>
    </xf>
    <xf numFmtId="164" fontId="0" fillId="0" borderId="67" xfId="0" applyNumberFormat="1" applyBorder="1" applyAlignment="1">
      <alignment horizontal="center"/>
    </xf>
    <xf numFmtId="165" fontId="6" fillId="0" borderId="8" xfId="8" applyNumberFormat="1" applyFont="1" applyBorder="1" applyAlignment="1">
      <alignment horizontal="right"/>
    </xf>
    <xf numFmtId="164" fontId="0" fillId="0" borderId="2" xfId="0" applyNumberFormat="1" applyBorder="1" applyAlignment="1">
      <alignment horizontal="center"/>
    </xf>
    <xf numFmtId="164" fontId="0" fillId="0" borderId="75" xfId="0" applyNumberFormat="1" applyBorder="1" applyAlignment="1">
      <alignment horizontal="center"/>
    </xf>
    <xf numFmtId="0" fontId="1" fillId="0" borderId="34" xfId="0" applyFont="1" applyBorder="1"/>
    <xf numFmtId="0" fontId="1" fillId="0" borderId="11" xfId="0" applyFont="1" applyBorder="1"/>
    <xf numFmtId="165" fontId="2" fillId="0" borderId="5" xfId="8" applyNumberFormat="1" applyFont="1" applyBorder="1" applyAlignment="1">
      <alignment horizontal="right"/>
    </xf>
    <xf numFmtId="0" fontId="1" fillId="0" borderId="19" xfId="0" applyFont="1" applyBorder="1"/>
    <xf numFmtId="0" fontId="1" fillId="0" borderId="14" xfId="0" applyFont="1" applyBorder="1"/>
    <xf numFmtId="165" fontId="2" fillId="0" borderId="14" xfId="8" applyNumberFormat="1" applyFont="1" applyBorder="1" applyAlignment="1">
      <alignment horizontal="right"/>
    </xf>
    <xf numFmtId="0" fontId="1" fillId="0" borderId="22" xfId="0" applyFont="1" applyBorder="1"/>
    <xf numFmtId="0" fontId="1" fillId="0" borderId="24" xfId="0" applyFont="1" applyBorder="1"/>
    <xf numFmtId="165" fontId="2" fillId="0" borderId="23" xfId="8" applyNumberFormat="1" applyFont="1" applyBorder="1" applyAlignment="1">
      <alignment horizontal="right"/>
    </xf>
    <xf numFmtId="17" fontId="20" fillId="0" borderId="0" xfId="6" quotePrefix="1" applyNumberFormat="1" applyFont="1" applyAlignment="1">
      <alignment horizontal="right"/>
    </xf>
    <xf numFmtId="0" fontId="11" fillId="0" borderId="0" xfId="8" applyFont="1" applyAlignment="1">
      <alignment horizontal="center"/>
    </xf>
    <xf numFmtId="0" fontId="90" fillId="0" borderId="0" xfId="8" applyFont="1" applyAlignment="1">
      <alignment horizontal="right"/>
    </xf>
    <xf numFmtId="49" fontId="12" fillId="3" borderId="40" xfId="8" applyNumberFormat="1" applyFont="1" applyFill="1" applyBorder="1" applyAlignment="1" applyProtection="1">
      <alignment horizontal="center"/>
      <protection locked="0"/>
    </xf>
    <xf numFmtId="0" fontId="12" fillId="0" borderId="72" xfId="0" applyFont="1" applyBorder="1" applyAlignment="1">
      <alignment horizontal="center" vertical="center" wrapText="1"/>
    </xf>
    <xf numFmtId="0" fontId="12" fillId="0" borderId="32" xfId="0" applyFont="1" applyBorder="1" applyAlignment="1">
      <alignment horizontal="center" vertical="center" wrapText="1"/>
    </xf>
    <xf numFmtId="49" fontId="1" fillId="0" borderId="0" xfId="0" quotePrefix="1" applyNumberFormat="1" applyFont="1" applyAlignment="1">
      <alignment horizontal="left"/>
    </xf>
    <xf numFmtId="49" fontId="0" fillId="3" borderId="95" xfId="0" applyNumberFormat="1" applyFill="1" applyBorder="1" applyAlignment="1" applyProtection="1">
      <alignment horizontal="left" vertical="top"/>
      <protection locked="0"/>
    </xf>
    <xf numFmtId="0" fontId="1" fillId="2" borderId="21" xfId="0" applyFont="1" applyFill="1" applyBorder="1" applyAlignment="1">
      <alignment horizontal="right"/>
    </xf>
    <xf numFmtId="49" fontId="3" fillId="0" borderId="0" xfId="2" applyNumberFormat="1" applyAlignment="1" applyProtection="1">
      <alignment horizontal="right"/>
      <protection locked="0"/>
    </xf>
    <xf numFmtId="0" fontId="91" fillId="0" borderId="26" xfId="0" applyFont="1" applyBorder="1" applyAlignment="1">
      <alignment horizontal="centerContinuous"/>
    </xf>
    <xf numFmtId="0" fontId="3" fillId="0" borderId="0" xfId="0" applyFont="1"/>
    <xf numFmtId="2" fontId="3" fillId="0" borderId="0" xfId="2" applyNumberFormat="1" applyProtection="1">
      <protection locked="0"/>
    </xf>
    <xf numFmtId="0" fontId="92" fillId="0" borderId="0" xfId="2" applyFont="1" applyProtection="1">
      <protection locked="0"/>
    </xf>
    <xf numFmtId="169" fontId="7" fillId="0" borderId="0" xfId="8" applyNumberFormat="1" applyFont="1"/>
    <xf numFmtId="164" fontId="5" fillId="3" borderId="40" xfId="2" applyNumberFormat="1" applyFont="1" applyFill="1" applyBorder="1" applyAlignment="1" applyProtection="1">
      <alignment horizontal="center"/>
      <protection locked="0"/>
    </xf>
    <xf numFmtId="165" fontId="5" fillId="3" borderId="40" xfId="2" quotePrefix="1" applyNumberFormat="1" applyFont="1" applyFill="1" applyBorder="1" applyAlignment="1" applyProtection="1">
      <alignment horizontal="center"/>
      <protection locked="0"/>
    </xf>
    <xf numFmtId="2" fontId="5" fillId="3" borderId="40" xfId="2" applyNumberFormat="1" applyFont="1" applyFill="1" applyBorder="1" applyAlignment="1" applyProtection="1">
      <alignment horizontal="center"/>
      <protection locked="0"/>
    </xf>
    <xf numFmtId="165" fontId="5" fillId="3" borderId="40" xfId="2" applyNumberFormat="1" applyFont="1" applyFill="1" applyBorder="1" applyAlignment="1" applyProtection="1">
      <alignment horizontal="center"/>
      <protection locked="0"/>
    </xf>
    <xf numFmtId="164" fontId="3" fillId="3" borderId="26" xfId="6" applyNumberFormat="1" applyFill="1" applyBorder="1" applyAlignment="1" applyProtection="1">
      <alignment horizontal="center"/>
      <protection locked="0"/>
    </xf>
    <xf numFmtId="0" fontId="0" fillId="6" borderId="51" xfId="0" applyFill="1" applyBorder="1" applyAlignment="1">
      <alignment vertical="top" wrapText="1"/>
    </xf>
    <xf numFmtId="0" fontId="0" fillId="3" borderId="1" xfId="0" applyFill="1" applyBorder="1" applyAlignment="1" applyProtection="1">
      <alignment vertical="top"/>
      <protection locked="0"/>
    </xf>
    <xf numFmtId="0" fontId="0" fillId="3" borderId="69" xfId="0" applyFill="1" applyBorder="1" applyAlignment="1" applyProtection="1">
      <alignment vertical="top"/>
      <protection locked="0"/>
    </xf>
    <xf numFmtId="0" fontId="57" fillId="0" borderId="88" xfId="0" quotePrefix="1" applyFont="1" applyBorder="1" applyAlignment="1">
      <alignment horizontal="center" vertical="top"/>
    </xf>
    <xf numFmtId="49" fontId="0" fillId="3" borderId="64" xfId="0" applyNumberFormat="1" applyFill="1" applyBorder="1" applyAlignment="1" applyProtection="1">
      <alignment vertical="top"/>
      <protection locked="0"/>
    </xf>
    <xf numFmtId="0" fontId="0" fillId="3" borderId="64" xfId="0" applyFill="1" applyBorder="1" applyAlignment="1">
      <alignment horizontal="left" vertical="top"/>
    </xf>
    <xf numFmtId="0" fontId="9" fillId="11" borderId="76" xfId="0" quotePrefix="1" applyFont="1" applyFill="1" applyBorder="1" applyAlignment="1">
      <alignment horizontal="center" wrapText="1"/>
    </xf>
    <xf numFmtId="0" fontId="34" fillId="0" borderId="24" xfId="0" applyFont="1" applyBorder="1" applyAlignment="1">
      <alignment horizontal="centerContinuous"/>
    </xf>
    <xf numFmtId="0" fontId="34" fillId="0" borderId="12" xfId="0" applyFont="1" applyBorder="1"/>
    <xf numFmtId="0" fontId="34" fillId="0" borderId="14" xfId="8" applyFont="1" applyBorder="1" applyAlignment="1">
      <alignment vertical="center"/>
    </xf>
    <xf numFmtId="0" fontId="34" fillId="0" borderId="14" xfId="0" applyFont="1" applyBorder="1" applyAlignment="1">
      <alignment vertical="center"/>
    </xf>
    <xf numFmtId="0" fontId="34" fillId="0" borderId="0" xfId="0" applyFont="1" applyAlignment="1">
      <alignment vertical="center"/>
    </xf>
    <xf numFmtId="0" fontId="34" fillId="0" borderId="21" xfId="0" applyFont="1" applyBorder="1"/>
    <xf numFmtId="0" fontId="34" fillId="0" borderId="14" xfId="8" applyFont="1" applyBorder="1"/>
    <xf numFmtId="0" fontId="34" fillId="0" borderId="10" xfId="8" applyFont="1" applyBorder="1"/>
    <xf numFmtId="0" fontId="1" fillId="0" borderId="0" xfId="8" applyFont="1"/>
    <xf numFmtId="0" fontId="1" fillId="4" borderId="31" xfId="0" quotePrefix="1" applyFont="1" applyFill="1" applyBorder="1" applyAlignment="1" applyProtection="1">
      <alignment horizontal="center" vertical="center"/>
      <protection hidden="1"/>
    </xf>
    <xf numFmtId="0" fontId="1" fillId="4" borderId="18" xfId="0" applyFont="1" applyFill="1" applyBorder="1" applyAlignment="1" applyProtection="1">
      <alignment horizontal="center" vertical="center"/>
      <protection hidden="1"/>
    </xf>
    <xf numFmtId="0" fontId="1" fillId="0" borderId="0" xfId="8" applyFont="1" applyAlignment="1">
      <alignment horizontal="center"/>
    </xf>
    <xf numFmtId="0" fontId="26" fillId="0" borderId="31" xfId="0" applyFont="1" applyBorder="1" applyAlignment="1">
      <alignment horizontal="center" vertical="center"/>
    </xf>
    <xf numFmtId="0" fontId="26" fillId="0" borderId="59" xfId="0" applyFont="1" applyBorder="1" applyAlignment="1">
      <alignment horizontal="center" vertical="center"/>
    </xf>
    <xf numFmtId="0" fontId="26" fillId="0" borderId="0" xfId="0" applyFont="1" applyAlignment="1">
      <alignment horizontal="center"/>
    </xf>
    <xf numFmtId="0" fontId="1" fillId="4" borderId="59" xfId="0" applyFont="1" applyFill="1" applyBorder="1" applyAlignment="1" applyProtection="1">
      <alignment horizontal="center" vertical="center"/>
      <protection hidden="1"/>
    </xf>
    <xf numFmtId="0" fontId="34" fillId="0" borderId="12" xfId="8" applyFont="1" applyBorder="1"/>
    <xf numFmtId="0" fontId="34" fillId="0" borderId="0" xfId="0" applyFont="1"/>
    <xf numFmtId="0" fontId="34" fillId="0" borderId="19" xfId="0" applyFont="1" applyBorder="1"/>
    <xf numFmtId="0" fontId="34" fillId="0" borderId="10" xfId="0" applyFont="1" applyBorder="1"/>
    <xf numFmtId="0" fontId="34" fillId="0" borderId="18" xfId="8" applyFont="1" applyBorder="1" applyAlignment="1">
      <alignment horizontal="centerContinuous" vertical="center"/>
    </xf>
    <xf numFmtId="2" fontId="42" fillId="0" borderId="19" xfId="8" applyNumberFormat="1" applyFont="1" applyBorder="1" applyAlignment="1">
      <alignment horizontal="centerContinuous"/>
    </xf>
    <xf numFmtId="0" fontId="34" fillId="0" borderId="14" xfId="0" applyFont="1" applyBorder="1" applyAlignment="1">
      <alignment horizontal="centerContinuous"/>
    </xf>
    <xf numFmtId="1" fontId="44" fillId="0" borderId="14" xfId="8" applyNumberFormat="1" applyFont="1" applyBorder="1" applyAlignment="1">
      <alignment horizontal="centerContinuous"/>
    </xf>
    <xf numFmtId="0" fontId="42" fillId="0" borderId="14" xfId="8" applyFont="1" applyBorder="1" applyAlignment="1">
      <alignment horizontal="centerContinuous" vertical="center"/>
    </xf>
    <xf numFmtId="0" fontId="34" fillId="0" borderId="14" xfId="8" applyFont="1" applyBorder="1" applyAlignment="1">
      <alignment horizontal="centerContinuous"/>
    </xf>
    <xf numFmtId="1" fontId="44" fillId="0" borderId="10" xfId="8" applyNumberFormat="1" applyFont="1" applyBorder="1" applyAlignment="1">
      <alignment horizontal="centerContinuous"/>
    </xf>
    <xf numFmtId="0" fontId="26" fillId="0" borderId="14" xfId="0" applyFont="1" applyBorder="1" applyAlignment="1">
      <alignment horizontal="center" vertical="center"/>
    </xf>
    <xf numFmtId="0" fontId="1" fillId="0" borderId="14" xfId="8" applyFont="1" applyBorder="1" applyAlignment="1">
      <alignment horizontal="center"/>
    </xf>
    <xf numFmtId="0" fontId="7" fillId="0" borderId="14" xfId="8" applyFont="1" applyBorder="1"/>
    <xf numFmtId="0" fontId="1" fillId="0" borderId="0" xfId="8" quotePrefix="1" applyFont="1" applyAlignment="1">
      <alignment horizontal="center"/>
    </xf>
    <xf numFmtId="0" fontId="3" fillId="0" borderId="20" xfId="2" applyBorder="1" applyProtection="1">
      <protection locked="0"/>
    </xf>
    <xf numFmtId="0" fontId="3" fillId="0" borderId="12" xfId="2" applyBorder="1" applyProtection="1">
      <protection locked="0"/>
    </xf>
    <xf numFmtId="0" fontId="3" fillId="0" borderId="9" xfId="2" applyBorder="1" applyProtection="1">
      <protection locked="0"/>
    </xf>
    <xf numFmtId="0" fontId="3" fillId="0" borderId="13" xfId="2" applyBorder="1" applyProtection="1">
      <protection locked="0"/>
    </xf>
    <xf numFmtId="0" fontId="3" fillId="0" borderId="21" xfId="2" applyBorder="1" applyProtection="1">
      <protection locked="0"/>
    </xf>
    <xf numFmtId="0" fontId="3" fillId="0" borderId="13" xfId="2" quotePrefix="1" applyBorder="1" applyProtection="1">
      <protection locked="0"/>
    </xf>
    <xf numFmtId="16" fontId="3" fillId="0" borderId="21" xfId="2" quotePrefix="1" applyNumberFormat="1" applyBorder="1" applyProtection="1">
      <protection locked="0"/>
    </xf>
    <xf numFmtId="16" fontId="3" fillId="0" borderId="13" xfId="2" quotePrefix="1" applyNumberFormat="1" applyBorder="1" applyProtection="1">
      <protection locked="0"/>
    </xf>
    <xf numFmtId="16" fontId="3" fillId="0" borderId="19" xfId="2" quotePrefix="1" applyNumberFormat="1" applyBorder="1" applyProtection="1">
      <protection locked="0"/>
    </xf>
    <xf numFmtId="16" fontId="3" fillId="0" borderId="14" xfId="2" quotePrefix="1" applyNumberFormat="1" applyBorder="1" applyProtection="1">
      <protection locked="0"/>
    </xf>
    <xf numFmtId="16" fontId="3" fillId="0" borderId="10" xfId="2" quotePrefix="1" applyNumberFormat="1" applyBorder="1" applyProtection="1">
      <protection locked="0"/>
    </xf>
    <xf numFmtId="0" fontId="9" fillId="0" borderId="22" xfId="8" applyFont="1" applyBorder="1" applyAlignment="1">
      <alignment vertical="center"/>
    </xf>
    <xf numFmtId="0" fontId="9" fillId="0" borderId="20" xfId="8" applyFont="1" applyBorder="1" applyAlignment="1">
      <alignment vertical="center"/>
    </xf>
    <xf numFmtId="0" fontId="1" fillId="0" borderId="18" xfId="0" applyFont="1" applyBorder="1" applyAlignment="1">
      <alignment horizontal="center" vertical="center"/>
    </xf>
    <xf numFmtId="12" fontId="1" fillId="0" borderId="22" xfId="8" applyNumberFormat="1" applyFont="1" applyBorder="1" applyAlignment="1">
      <alignment vertical="center"/>
    </xf>
    <xf numFmtId="0" fontId="7" fillId="0" borderId="0" xfId="8" applyFont="1" applyAlignment="1">
      <alignment vertical="center"/>
    </xf>
    <xf numFmtId="0" fontId="1" fillId="0" borderId="22" xfId="0" applyFont="1" applyBorder="1" applyAlignment="1">
      <alignment vertical="center"/>
    </xf>
    <xf numFmtId="0" fontId="0" fillId="0" borderId="18" xfId="0" applyBorder="1"/>
    <xf numFmtId="0" fontId="6" fillId="0" borderId="0" xfId="8" applyFont="1" applyAlignment="1">
      <alignment vertical="center"/>
    </xf>
    <xf numFmtId="0" fontId="0" fillId="0" borderId="0" xfId="0" applyAlignment="1">
      <alignment vertical="center"/>
    </xf>
    <xf numFmtId="0" fontId="1" fillId="0" borderId="0" xfId="0" applyFont="1" applyAlignment="1">
      <alignment horizontal="left" vertical="center"/>
    </xf>
    <xf numFmtId="1" fontId="12" fillId="0" borderId="0" xfId="8" quotePrefix="1" applyNumberFormat="1" applyFont="1" applyAlignment="1">
      <alignment vertical="center"/>
    </xf>
    <xf numFmtId="1" fontId="18" fillId="0" borderId="0" xfId="8" applyNumberFormat="1" applyFont="1" applyAlignment="1">
      <alignment vertical="center"/>
    </xf>
    <xf numFmtId="0" fontId="0" fillId="0" borderId="24" xfId="0" applyBorder="1" applyAlignment="1">
      <alignment vertical="center"/>
    </xf>
    <xf numFmtId="0" fontId="1" fillId="0" borderId="48" xfId="0" applyFont="1" applyBorder="1" applyAlignment="1">
      <alignment horizontal="left" vertical="center"/>
    </xf>
    <xf numFmtId="1" fontId="5" fillId="0" borderId="24" xfId="2" applyNumberFormat="1" applyFont="1" applyBorder="1" applyAlignment="1">
      <alignment vertical="center"/>
    </xf>
    <xf numFmtId="0" fontId="34" fillId="0" borderId="24" xfId="0" applyFont="1" applyBorder="1" applyAlignment="1">
      <alignment vertical="center"/>
    </xf>
    <xf numFmtId="1" fontId="35" fillId="0" borderId="24" xfId="2" applyNumberFormat="1" applyFont="1" applyBorder="1" applyAlignment="1">
      <alignment vertical="center"/>
    </xf>
    <xf numFmtId="0" fontId="7" fillId="0" borderId="24" xfId="8" applyFont="1" applyBorder="1" applyAlignment="1">
      <alignment vertical="center"/>
    </xf>
    <xf numFmtId="0" fontId="1" fillId="0" borderId="12" xfId="0" quotePrefix="1" applyFont="1" applyBorder="1" applyAlignment="1" applyProtection="1">
      <alignment horizontal="center" vertical="center"/>
      <protection hidden="1"/>
    </xf>
    <xf numFmtId="0" fontId="1" fillId="0" borderId="12" xfId="0" applyFont="1" applyBorder="1" applyAlignment="1" applyProtection="1">
      <alignment horizontal="center" vertical="center"/>
      <protection hidden="1"/>
    </xf>
    <xf numFmtId="0" fontId="9" fillId="0" borderId="0" xfId="0" quotePrefix="1" applyFont="1" applyAlignment="1" applyProtection="1">
      <alignment horizontal="center" vertical="center"/>
      <protection hidden="1"/>
    </xf>
    <xf numFmtId="0" fontId="9" fillId="0" borderId="0" xfId="0" applyFont="1" applyAlignment="1" applyProtection="1">
      <alignment horizontal="center" vertical="center"/>
      <protection hidden="1"/>
    </xf>
    <xf numFmtId="0" fontId="1" fillId="0" borderId="0" xfId="0" quotePrefix="1" applyFont="1" applyAlignment="1" applyProtection="1">
      <alignment horizontal="center" vertical="center"/>
      <protection hidden="1"/>
    </xf>
    <xf numFmtId="0" fontId="1" fillId="0" borderId="0" xfId="0" applyFont="1" applyAlignment="1" applyProtection="1">
      <alignment horizontal="center" vertical="center"/>
      <protection hidden="1"/>
    </xf>
    <xf numFmtId="0" fontId="1" fillId="0" borderId="14" xfId="0" quotePrefix="1" applyFont="1" applyBorder="1" applyAlignment="1" applyProtection="1">
      <alignment horizontal="center" vertical="center"/>
      <protection hidden="1"/>
    </xf>
    <xf numFmtId="0" fontId="1" fillId="0" borderId="14" xfId="0" applyFont="1" applyBorder="1" applyAlignment="1" applyProtection="1">
      <alignment horizontal="center" vertical="center"/>
      <protection hidden="1"/>
    </xf>
    <xf numFmtId="0" fontId="9" fillId="0" borderId="14" xfId="0" applyFont="1" applyBorder="1" applyAlignment="1" applyProtection="1">
      <alignment horizontal="center" vertical="center"/>
      <protection hidden="1"/>
    </xf>
    <xf numFmtId="0" fontId="9" fillId="0" borderId="14" xfId="0" quotePrefix="1" applyFont="1" applyBorder="1" applyAlignment="1" applyProtection="1">
      <alignment horizontal="center" vertical="center"/>
      <protection hidden="1"/>
    </xf>
    <xf numFmtId="0" fontId="1" fillId="20" borderId="31" xfId="0" quotePrefix="1" applyFont="1" applyFill="1" applyBorder="1" applyAlignment="1" applyProtection="1">
      <alignment horizontal="center" vertical="center"/>
      <protection hidden="1"/>
    </xf>
    <xf numFmtId="0" fontId="26" fillId="20" borderId="31" xfId="0" quotePrefix="1" applyFont="1" applyFill="1" applyBorder="1" applyAlignment="1">
      <alignment horizontal="center" vertical="center"/>
    </xf>
    <xf numFmtId="0" fontId="26" fillId="20" borderId="59" xfId="0" applyFont="1" applyFill="1" applyBorder="1" applyAlignment="1">
      <alignment horizontal="center" vertical="center"/>
    </xf>
    <xf numFmtId="0" fontId="94" fillId="0" borderId="0" xfId="0" applyFont="1"/>
    <xf numFmtId="0" fontId="27" fillId="0" borderId="0" xfId="2" applyFont="1" applyProtection="1">
      <protection locked="0"/>
    </xf>
    <xf numFmtId="0" fontId="1" fillId="0" borderId="22" xfId="0" applyFont="1" applyBorder="1" applyAlignment="1">
      <alignment horizontal="center" wrapText="1"/>
    </xf>
    <xf numFmtId="164" fontId="1" fillId="0" borderId="17" xfId="0" applyNumberFormat="1" applyFont="1" applyBorder="1" applyAlignment="1">
      <alignment horizontal="center" vertical="center"/>
    </xf>
    <xf numFmtId="164" fontId="1" fillId="0" borderId="23" xfId="0" applyNumberFormat="1" applyFont="1" applyBorder="1" applyAlignment="1">
      <alignment horizontal="center" vertical="center"/>
    </xf>
    <xf numFmtId="164" fontId="1" fillId="0" borderId="18" xfId="0" applyNumberFormat="1" applyFont="1" applyBorder="1" applyAlignment="1">
      <alignment horizontal="center" vertical="center"/>
    </xf>
    <xf numFmtId="0" fontId="6" fillId="3" borderId="0" xfId="0" applyFont="1" applyFill="1" applyAlignment="1" applyProtection="1">
      <alignment horizontal="left"/>
      <protection locked="0"/>
    </xf>
    <xf numFmtId="0" fontId="3" fillId="21" borderId="0" xfId="2" applyFill="1" applyProtection="1">
      <protection locked="0"/>
    </xf>
    <xf numFmtId="169" fontId="6" fillId="0" borderId="0" xfId="0" applyNumberFormat="1" applyFont="1"/>
    <xf numFmtId="169" fontId="34" fillId="0" borderId="0" xfId="0" quotePrefix="1" applyNumberFormat="1" applyFont="1" applyAlignment="1">
      <alignment horizontal="centerContinuous"/>
    </xf>
    <xf numFmtId="49" fontId="0" fillId="3" borderId="25" xfId="0" applyNumberFormat="1" applyFill="1" applyBorder="1" applyAlignment="1" applyProtection="1">
      <alignment horizontal="left" vertical="top"/>
      <protection locked="0"/>
    </xf>
    <xf numFmtId="1" fontId="3" fillId="0" borderId="0" xfId="2" applyNumberFormat="1" applyProtection="1">
      <protection locked="0"/>
    </xf>
    <xf numFmtId="0" fontId="2" fillId="0" borderId="0" xfId="2" applyFont="1" applyProtection="1">
      <protection locked="0"/>
    </xf>
    <xf numFmtId="0" fontId="95" fillId="0" borderId="0" xfId="7" applyFont="1" applyAlignment="1">
      <alignment horizontal="center"/>
    </xf>
    <xf numFmtId="2" fontId="25" fillId="0" borderId="116" xfId="7" applyNumberFormat="1" applyFont="1" applyBorder="1" applyAlignment="1">
      <alignment horizontal="center"/>
    </xf>
    <xf numFmtId="164" fontId="6" fillId="0" borderId="14" xfId="7" applyNumberFormat="1" applyFont="1" applyBorder="1" applyAlignment="1">
      <alignment horizontal="center"/>
    </xf>
    <xf numFmtId="164" fontId="25" fillId="0" borderId="14" xfId="7" applyNumberFormat="1" applyFont="1" applyBorder="1" applyAlignment="1">
      <alignment horizontal="center"/>
    </xf>
    <xf numFmtId="0" fontId="6" fillId="0" borderId="101" xfId="0" applyFont="1" applyBorder="1"/>
    <xf numFmtId="14" fontId="6" fillId="0" borderId="53" xfId="0" applyNumberFormat="1" applyFont="1" applyBorder="1"/>
    <xf numFmtId="0" fontId="101" fillId="23" borderId="114" xfId="9" applyFont="1" applyFill="1" applyBorder="1" applyAlignment="1">
      <alignment vertical="center"/>
    </xf>
    <xf numFmtId="0" fontId="102" fillId="23" borderId="114" xfId="9" applyFont="1" applyFill="1" applyBorder="1"/>
    <xf numFmtId="0" fontId="99" fillId="11" borderId="0" xfId="9" applyFont="1" applyFill="1"/>
    <xf numFmtId="0" fontId="2" fillId="11" borderId="0" xfId="9" applyFill="1"/>
    <xf numFmtId="0" fontId="103" fillId="24" borderId="78" xfId="9" applyFont="1" applyFill="1" applyBorder="1" applyAlignment="1">
      <alignment horizontal="center" vertical="center"/>
    </xf>
    <xf numFmtId="0" fontId="104" fillId="24" borderId="0" xfId="9" applyFont="1" applyFill="1" applyAlignment="1">
      <alignment vertical="center"/>
    </xf>
    <xf numFmtId="0" fontId="2" fillId="24" borderId="0" xfId="9" applyFill="1"/>
    <xf numFmtId="0" fontId="2" fillId="24" borderId="79" xfId="9" applyFill="1" applyBorder="1"/>
    <xf numFmtId="0" fontId="2" fillId="24" borderId="80" xfId="9" applyFill="1" applyBorder="1"/>
    <xf numFmtId="0" fontId="2" fillId="24" borderId="81" xfId="9" applyFill="1" applyBorder="1"/>
    <xf numFmtId="0" fontId="106" fillId="11" borderId="0" xfId="9" applyFont="1" applyFill="1"/>
    <xf numFmtId="0" fontId="107" fillId="25" borderId="71" xfId="9" applyFont="1" applyFill="1" applyBorder="1" applyAlignment="1">
      <alignment horizontal="center" vertical="center"/>
    </xf>
    <xf numFmtId="0" fontId="108" fillId="25" borderId="91" xfId="9" applyFont="1" applyFill="1" applyBorder="1" applyAlignment="1">
      <alignment horizontal="center" vertical="center"/>
    </xf>
    <xf numFmtId="0" fontId="2" fillId="26" borderId="118" xfId="9" applyFill="1" applyBorder="1" applyAlignment="1">
      <alignment horizontal="right" vertical="center"/>
    </xf>
    <xf numFmtId="0" fontId="2" fillId="26" borderId="119" xfId="9" applyFill="1" applyBorder="1" applyAlignment="1">
      <alignment horizontal="center" vertical="center"/>
    </xf>
    <xf numFmtId="0" fontId="2" fillId="27" borderId="118" xfId="9" applyFill="1" applyBorder="1" applyAlignment="1">
      <alignment horizontal="right" vertical="center"/>
    </xf>
    <xf numFmtId="0" fontId="2" fillId="27" borderId="119" xfId="9" applyFill="1" applyBorder="1" applyAlignment="1">
      <alignment horizontal="center" vertical="center"/>
    </xf>
    <xf numFmtId="49" fontId="111" fillId="25" borderId="121" xfId="9" applyNumberFormat="1" applyFont="1" applyFill="1" applyBorder="1" applyAlignment="1" applyProtection="1">
      <alignment horizontal="center" vertical="center"/>
      <protection locked="0"/>
    </xf>
    <xf numFmtId="164" fontId="111" fillId="25" borderId="122" xfId="9" applyNumberFormat="1" applyFont="1" applyFill="1" applyBorder="1" applyAlignment="1" applyProtection="1">
      <alignment horizontal="center" vertical="center"/>
      <protection locked="0"/>
    </xf>
    <xf numFmtId="164" fontId="111" fillId="25" borderId="123" xfId="9" applyNumberFormat="1" applyFont="1" applyFill="1" applyBorder="1" applyAlignment="1" applyProtection="1">
      <alignment horizontal="center" vertical="center"/>
      <protection locked="0"/>
    </xf>
    <xf numFmtId="0" fontId="2" fillId="26" borderId="120" xfId="9" applyFill="1" applyBorder="1" applyAlignment="1">
      <alignment horizontal="right" vertical="center"/>
    </xf>
    <xf numFmtId="165" fontId="2" fillId="26" borderId="63" xfId="9" applyNumberFormat="1" applyFill="1" applyBorder="1" applyAlignment="1">
      <alignment horizontal="center" vertical="center"/>
    </xf>
    <xf numFmtId="0" fontId="2" fillId="27" borderId="120" xfId="9" applyFill="1" applyBorder="1" applyAlignment="1">
      <alignment horizontal="right" vertical="center"/>
    </xf>
    <xf numFmtId="165" fontId="2" fillId="27" borderId="63" xfId="9" applyNumberFormat="1" applyFill="1" applyBorder="1" applyAlignment="1">
      <alignment horizontal="center" vertical="center"/>
    </xf>
    <xf numFmtId="0" fontId="99" fillId="11" borderId="0" xfId="9" applyFont="1" applyFill="1" applyAlignment="1">
      <alignment horizontal="right"/>
    </xf>
    <xf numFmtId="1" fontId="2" fillId="26" borderId="63" xfId="9" applyNumberFormat="1" applyFill="1" applyBorder="1" applyAlignment="1">
      <alignment horizontal="center" vertical="center"/>
    </xf>
    <xf numFmtId="1" fontId="2" fillId="27" borderId="63" xfId="9" applyNumberFormat="1" applyFill="1" applyBorder="1" applyAlignment="1">
      <alignment horizontal="center" vertical="center"/>
    </xf>
    <xf numFmtId="0" fontId="10" fillId="22" borderId="118" xfId="9" applyFont="1" applyFill="1" applyBorder="1" applyAlignment="1">
      <alignment horizontal="center"/>
    </xf>
    <xf numFmtId="165" fontId="110" fillId="22" borderId="121" xfId="9" applyNumberFormat="1" applyFont="1" applyFill="1" applyBorder="1" applyAlignment="1">
      <alignment horizontal="center" vertical="center"/>
    </xf>
    <xf numFmtId="0" fontId="2" fillId="22" borderId="102" xfId="9" applyFill="1" applyBorder="1" applyAlignment="1">
      <alignment horizontal="right" vertical="center"/>
    </xf>
    <xf numFmtId="165" fontId="2" fillId="22" borderId="111" xfId="9" applyNumberFormat="1" applyFill="1" applyBorder="1" applyAlignment="1">
      <alignment horizontal="center" vertical="center"/>
    </xf>
    <xf numFmtId="165" fontId="2" fillId="22" borderId="102" xfId="9" applyNumberFormat="1" applyFill="1" applyBorder="1" applyAlignment="1">
      <alignment horizontal="right" vertical="center"/>
    </xf>
    <xf numFmtId="0" fontId="2" fillId="22" borderId="120" xfId="9" applyFill="1" applyBorder="1" applyAlignment="1">
      <alignment horizontal="right"/>
    </xf>
    <xf numFmtId="0" fontId="2" fillId="22" borderId="63" xfId="9" applyFill="1" applyBorder="1" applyAlignment="1">
      <alignment horizontal="center" vertical="center"/>
    </xf>
    <xf numFmtId="0" fontId="2" fillId="22" borderId="120" xfId="9" applyFill="1" applyBorder="1" applyAlignment="1">
      <alignment horizontal="right" vertical="center"/>
    </xf>
    <xf numFmtId="1" fontId="2" fillId="22" borderId="63" xfId="9" applyNumberFormat="1" applyFill="1" applyBorder="1" applyAlignment="1">
      <alignment horizontal="center" vertical="center"/>
    </xf>
    <xf numFmtId="0" fontId="10" fillId="22" borderId="120" xfId="9" applyFont="1" applyFill="1" applyBorder="1" applyAlignment="1">
      <alignment horizontal="center"/>
    </xf>
    <xf numFmtId="165" fontId="110" fillId="22" borderId="122" xfId="9" applyNumberFormat="1" applyFont="1" applyFill="1" applyBorder="1" applyAlignment="1">
      <alignment horizontal="center" vertical="center"/>
    </xf>
    <xf numFmtId="2" fontId="110" fillId="22" borderId="122" xfId="9" applyNumberFormat="1" applyFont="1" applyFill="1" applyBorder="1" applyAlignment="1">
      <alignment horizontal="center" vertical="center"/>
    </xf>
    <xf numFmtId="0" fontId="10" fillId="22" borderId="78" xfId="9" applyFont="1" applyFill="1" applyBorder="1" applyAlignment="1">
      <alignment horizontal="center"/>
    </xf>
    <xf numFmtId="164" fontId="110" fillId="22" borderId="129" xfId="9" applyNumberFormat="1" applyFont="1" applyFill="1" applyBorder="1" applyAlignment="1">
      <alignment horizontal="center" vertical="center"/>
    </xf>
    <xf numFmtId="0" fontId="10" fillId="21" borderId="91" xfId="9" applyFont="1" applyFill="1" applyBorder="1" applyAlignment="1">
      <alignment horizontal="center" vertical="center"/>
    </xf>
    <xf numFmtId="164" fontId="110" fillId="21" borderId="87" xfId="9" applyNumberFormat="1" applyFont="1" applyFill="1" applyBorder="1" applyAlignment="1">
      <alignment horizontal="center" vertical="center"/>
    </xf>
    <xf numFmtId="0" fontId="1" fillId="25" borderId="124" xfId="9" applyFont="1" applyFill="1" applyBorder="1" applyAlignment="1">
      <alignment horizontal="center" vertical="center"/>
    </xf>
    <xf numFmtId="49" fontId="111" fillId="25" borderId="130" xfId="9" applyNumberFormat="1" applyFont="1" applyFill="1" applyBorder="1" applyAlignment="1" applyProtection="1">
      <alignment horizontal="center" vertical="center"/>
      <protection locked="0"/>
    </xf>
    <xf numFmtId="0" fontId="1" fillId="25" borderId="130" xfId="9" applyFont="1" applyFill="1" applyBorder="1" applyAlignment="1">
      <alignment horizontal="center" vertical="center"/>
    </xf>
    <xf numFmtId="0" fontId="1" fillId="25" borderId="120" xfId="9" applyFont="1" applyFill="1" applyBorder="1" applyAlignment="1">
      <alignment horizontal="center" vertical="center"/>
    </xf>
    <xf numFmtId="164" fontId="111" fillId="25" borderId="25" xfId="9" applyNumberFormat="1" applyFont="1" applyFill="1" applyBorder="1" applyAlignment="1" applyProtection="1">
      <alignment horizontal="center" vertical="center"/>
      <protection locked="0"/>
    </xf>
    <xf numFmtId="0" fontId="1" fillId="25" borderId="66" xfId="9" applyFont="1" applyFill="1" applyBorder="1" applyAlignment="1">
      <alignment horizontal="center" vertical="center"/>
    </xf>
    <xf numFmtId="10" fontId="111" fillId="25" borderId="25" xfId="10" applyNumberFormat="1" applyFont="1" applyFill="1" applyBorder="1" applyAlignment="1" applyProtection="1">
      <alignment horizontal="center" vertical="center"/>
      <protection locked="0"/>
    </xf>
    <xf numFmtId="10" fontId="111" fillId="25" borderId="122" xfId="10" applyNumberFormat="1" applyFont="1" applyFill="1" applyBorder="1" applyAlignment="1" applyProtection="1">
      <alignment horizontal="center" vertical="center"/>
      <protection locked="0"/>
    </xf>
    <xf numFmtId="0" fontId="1" fillId="25" borderId="80" xfId="9" applyFont="1" applyFill="1" applyBorder="1" applyAlignment="1">
      <alignment horizontal="center" vertical="center"/>
    </xf>
    <xf numFmtId="164" fontId="111" fillId="25" borderId="131" xfId="9" applyNumberFormat="1" applyFont="1" applyFill="1" applyBorder="1" applyAlignment="1" applyProtection="1">
      <alignment horizontal="center" vertical="center"/>
      <protection locked="0"/>
    </xf>
    <xf numFmtId="0" fontId="1" fillId="25" borderId="98" xfId="9" applyFont="1" applyFill="1" applyBorder="1" applyAlignment="1">
      <alignment horizontal="center" vertical="center"/>
    </xf>
    <xf numFmtId="165" fontId="113" fillId="22" borderId="127" xfId="9" applyNumberFormat="1" applyFont="1" applyFill="1" applyBorder="1" applyAlignment="1">
      <alignment horizontal="center" vertical="center"/>
    </xf>
    <xf numFmtId="165" fontId="113" fillId="22" borderId="122" xfId="9" applyNumberFormat="1" applyFont="1" applyFill="1" applyBorder="1" applyAlignment="1">
      <alignment horizontal="center" vertical="center"/>
    </xf>
    <xf numFmtId="0" fontId="1" fillId="26" borderId="127" xfId="9" applyFont="1" applyFill="1" applyBorder="1" applyAlignment="1">
      <alignment horizontal="center"/>
    </xf>
    <xf numFmtId="0" fontId="1" fillId="26" borderId="122" xfId="9" applyFont="1" applyFill="1" applyBorder="1" applyAlignment="1">
      <alignment horizontal="center"/>
    </xf>
    <xf numFmtId="0" fontId="1" fillId="27" borderId="127" xfId="9" applyFont="1" applyFill="1" applyBorder="1" applyAlignment="1">
      <alignment horizontal="center"/>
    </xf>
    <xf numFmtId="0" fontId="1" fillId="27" borderId="122" xfId="9" applyFont="1" applyFill="1" applyBorder="1" applyAlignment="1">
      <alignment horizontal="center"/>
    </xf>
    <xf numFmtId="0" fontId="99" fillId="11" borderId="0" xfId="9" applyFont="1" applyFill="1" applyAlignment="1">
      <alignment horizontal="center"/>
    </xf>
    <xf numFmtId="164" fontId="99" fillId="11" borderId="0" xfId="9" applyNumberFormat="1" applyFont="1" applyFill="1"/>
    <xf numFmtId="1" fontId="99" fillId="11" borderId="0" xfId="9" applyNumberFormat="1" applyFont="1" applyFill="1"/>
    <xf numFmtId="0" fontId="12" fillId="0" borderId="0" xfId="0" applyFont="1" applyAlignment="1">
      <alignment horizontal="centerContinuous"/>
    </xf>
    <xf numFmtId="0" fontId="12" fillId="0" borderId="0" xfId="7" applyFont="1" applyAlignment="1">
      <alignment horizontal="centerContinuous"/>
    </xf>
    <xf numFmtId="0" fontId="6" fillId="0" borderId="11" xfId="7" applyFont="1" applyBorder="1"/>
    <xf numFmtId="0" fontId="6" fillId="0" borderId="65" xfId="7" applyFont="1" applyBorder="1" applyAlignment="1">
      <alignment vertical="center"/>
    </xf>
    <xf numFmtId="165" fontId="6" fillId="0" borderId="11" xfId="7" applyNumberFormat="1" applyFont="1" applyBorder="1" applyAlignment="1">
      <alignment horizontal="center"/>
    </xf>
    <xf numFmtId="165" fontId="6" fillId="0" borderId="35" xfId="7" applyNumberFormat="1" applyFont="1" applyBorder="1" applyAlignment="1">
      <alignment horizontal="center"/>
    </xf>
    <xf numFmtId="0" fontId="6" fillId="0" borderId="36" xfId="7" applyFont="1" applyBorder="1"/>
    <xf numFmtId="0" fontId="6" fillId="0" borderId="47" xfId="7" applyFont="1" applyBorder="1"/>
    <xf numFmtId="0" fontId="6" fillId="0" borderId="69" xfId="7" applyFont="1" applyBorder="1"/>
    <xf numFmtId="0" fontId="6" fillId="0" borderId="14" xfId="0" applyFont="1" applyBorder="1"/>
    <xf numFmtId="0" fontId="6" fillId="0" borderId="3" xfId="0" applyFont="1" applyBorder="1"/>
    <xf numFmtId="0" fontId="100" fillId="23" borderId="85" xfId="0" applyFont="1" applyFill="1" applyBorder="1" applyAlignment="1">
      <alignment horizontal="center" vertical="center"/>
    </xf>
    <xf numFmtId="17" fontId="112" fillId="23" borderId="115" xfId="9" quotePrefix="1" applyNumberFormat="1" applyFont="1" applyFill="1" applyBorder="1" applyAlignment="1">
      <alignment horizontal="right" vertical="center"/>
    </xf>
    <xf numFmtId="0" fontId="105" fillId="24" borderId="82" xfId="9" applyFont="1" applyFill="1" applyBorder="1" applyAlignment="1">
      <alignment horizontal="right" vertical="center"/>
    </xf>
    <xf numFmtId="0" fontId="107" fillId="25" borderId="85" xfId="9" applyFont="1" applyFill="1" applyBorder="1" applyAlignment="1">
      <alignment vertical="center"/>
    </xf>
    <xf numFmtId="0" fontId="107" fillId="25" borderId="87" xfId="9" applyFont="1" applyFill="1" applyBorder="1"/>
    <xf numFmtId="0" fontId="2" fillId="26" borderId="63" xfId="9" applyFill="1" applyBorder="1" applyAlignment="1">
      <alignment horizontal="center" vertical="center"/>
    </xf>
    <xf numFmtId="0" fontId="10" fillId="28" borderId="118" xfId="9" applyFont="1" applyFill="1" applyBorder="1" applyAlignment="1">
      <alignment horizontal="center"/>
    </xf>
    <xf numFmtId="165" fontId="110" fillId="28" borderId="121" xfId="9" applyNumberFormat="1" applyFont="1" applyFill="1" applyBorder="1" applyAlignment="1">
      <alignment horizontal="center" vertical="center"/>
    </xf>
    <xf numFmtId="0" fontId="2" fillId="26" borderId="102" xfId="9" applyFill="1" applyBorder="1" applyAlignment="1">
      <alignment horizontal="right" vertical="center"/>
    </xf>
    <xf numFmtId="0" fontId="10" fillId="28" borderId="120" xfId="9" applyFont="1" applyFill="1" applyBorder="1" applyAlignment="1">
      <alignment horizontal="center"/>
    </xf>
    <xf numFmtId="165" fontId="110" fillId="28" borderId="122" xfId="9" applyNumberFormat="1" applyFont="1" applyFill="1" applyBorder="1" applyAlignment="1">
      <alignment horizontal="center" vertical="center"/>
    </xf>
    <xf numFmtId="2" fontId="110" fillId="28" borderId="122" xfId="9" applyNumberFormat="1" applyFont="1" applyFill="1" applyBorder="1" applyAlignment="1">
      <alignment horizontal="center" vertical="center"/>
    </xf>
    <xf numFmtId="164" fontId="110" fillId="28" borderId="122" xfId="9" applyNumberFormat="1" applyFont="1" applyFill="1" applyBorder="1" applyAlignment="1">
      <alignment horizontal="center" vertical="center"/>
    </xf>
    <xf numFmtId="0" fontId="10" fillId="28" borderId="80" xfId="9" applyFont="1" applyFill="1" applyBorder="1" applyAlignment="1">
      <alignment horizontal="center" vertical="center"/>
    </xf>
    <xf numFmtId="165" fontId="110" fillId="28" borderId="123" xfId="9" applyNumberFormat="1" applyFont="1" applyFill="1" applyBorder="1" applyAlignment="1">
      <alignment horizontal="center" vertical="center"/>
    </xf>
    <xf numFmtId="49" fontId="111" fillId="25" borderId="121" xfId="9" applyNumberFormat="1" applyFont="1" applyFill="1" applyBorder="1" applyAlignment="1">
      <alignment horizontal="center" vertical="center"/>
    </xf>
    <xf numFmtId="164" fontId="111" fillId="25" borderId="25" xfId="9" applyNumberFormat="1" applyFont="1" applyFill="1" applyBorder="1" applyAlignment="1">
      <alignment horizontal="center" vertical="center"/>
    </xf>
    <xf numFmtId="164" fontId="111" fillId="25" borderId="122" xfId="9" applyNumberFormat="1" applyFont="1" applyFill="1" applyBorder="1" applyAlignment="1">
      <alignment horizontal="center" vertical="center"/>
    </xf>
    <xf numFmtId="174" fontId="111" fillId="25" borderId="122" xfId="10" applyNumberFormat="1" applyFont="1" applyFill="1" applyBorder="1" applyAlignment="1" applyProtection="1">
      <alignment horizontal="center" vertical="center"/>
    </xf>
    <xf numFmtId="164" fontId="111" fillId="25" borderId="131" xfId="9" applyNumberFormat="1" applyFont="1" applyFill="1" applyBorder="1" applyAlignment="1">
      <alignment horizontal="center" vertical="center"/>
    </xf>
    <xf numFmtId="164" fontId="111" fillId="25" borderId="123" xfId="9" applyNumberFormat="1" applyFont="1" applyFill="1" applyBorder="1" applyAlignment="1">
      <alignment horizontal="center" vertical="center"/>
    </xf>
    <xf numFmtId="0" fontId="112" fillId="23" borderId="91" xfId="9" applyFont="1" applyFill="1" applyBorder="1" applyAlignment="1">
      <alignment vertical="center"/>
    </xf>
    <xf numFmtId="0" fontId="112" fillId="23" borderId="115" xfId="9" applyFont="1" applyFill="1" applyBorder="1" applyAlignment="1">
      <alignment vertical="center"/>
    </xf>
    <xf numFmtId="0" fontId="111" fillId="25" borderId="91" xfId="9" applyFont="1" applyFill="1" applyBorder="1" applyAlignment="1">
      <alignment horizontal="center" vertical="center"/>
    </xf>
    <xf numFmtId="0" fontId="111" fillId="25" borderId="115" xfId="9" applyFont="1" applyFill="1" applyBorder="1" applyAlignment="1">
      <alignment horizontal="center" vertical="center"/>
    </xf>
    <xf numFmtId="0" fontId="113" fillId="28" borderId="125" xfId="9" applyFont="1" applyFill="1" applyBorder="1" applyAlignment="1">
      <alignment horizontal="center" vertical="center"/>
    </xf>
    <xf numFmtId="165" fontId="113" fillId="28" borderId="126" xfId="9" applyNumberFormat="1" applyFont="1" applyFill="1" applyBorder="1" applyAlignment="1">
      <alignment horizontal="center" vertical="center"/>
    </xf>
    <xf numFmtId="165" fontId="79" fillId="4" borderId="127" xfId="9" applyNumberFormat="1" applyFont="1" applyFill="1" applyBorder="1"/>
    <xf numFmtId="175" fontId="79" fillId="4" borderId="122" xfId="9" applyNumberFormat="1" applyFont="1" applyFill="1" applyBorder="1"/>
    <xf numFmtId="165" fontId="79" fillId="29" borderId="127" xfId="9" applyNumberFormat="1" applyFont="1" applyFill="1" applyBorder="1"/>
    <xf numFmtId="175" fontId="79" fillId="29" borderId="122" xfId="9" applyNumberFormat="1" applyFont="1" applyFill="1" applyBorder="1"/>
    <xf numFmtId="164" fontId="99" fillId="11" borderId="0" xfId="9" applyNumberFormat="1" applyFont="1" applyFill="1" applyAlignment="1">
      <alignment horizontal="left"/>
    </xf>
    <xf numFmtId="2" fontId="79" fillId="4" borderId="127" xfId="9" applyNumberFormat="1" applyFont="1" applyFill="1" applyBorder="1"/>
    <xf numFmtId="165" fontId="79" fillId="4" borderId="122" xfId="9" applyNumberFormat="1" applyFont="1" applyFill="1" applyBorder="1"/>
    <xf numFmtId="165" fontId="79" fillId="4" borderId="128" xfId="9" applyNumberFormat="1" applyFont="1" applyFill="1" applyBorder="1"/>
    <xf numFmtId="175" fontId="79" fillId="4" borderId="123" xfId="9" applyNumberFormat="1" applyFont="1" applyFill="1" applyBorder="1"/>
    <xf numFmtId="165" fontId="79" fillId="29" borderId="128" xfId="9" applyNumberFormat="1" applyFont="1" applyFill="1" applyBorder="1"/>
    <xf numFmtId="175" fontId="79" fillId="29" borderId="123" xfId="9" applyNumberFormat="1" applyFont="1" applyFill="1" applyBorder="1"/>
    <xf numFmtId="2" fontId="79" fillId="4" borderId="128" xfId="9" applyNumberFormat="1" applyFont="1" applyFill="1" applyBorder="1"/>
    <xf numFmtId="165" fontId="79" fillId="4" borderId="123" xfId="9" applyNumberFormat="1" applyFont="1" applyFill="1" applyBorder="1"/>
    <xf numFmtId="0" fontId="0" fillId="0" borderId="14" xfId="0" applyBorder="1"/>
    <xf numFmtId="0" fontId="6" fillId="0" borderId="14" xfId="0" applyFont="1" applyBorder="1" applyAlignment="1">
      <alignment horizontal="center"/>
    </xf>
    <xf numFmtId="0" fontId="0" fillId="0" borderId="65" xfId="0" applyBorder="1"/>
    <xf numFmtId="18" fontId="6" fillId="0" borderId="95" xfId="0" applyNumberFormat="1" applyFont="1" applyBorder="1" applyAlignment="1">
      <alignment horizontal="center"/>
    </xf>
    <xf numFmtId="18" fontId="6" fillId="0" borderId="51" xfId="0" applyNumberFormat="1" applyFont="1" applyBorder="1" applyAlignment="1">
      <alignment horizontal="center"/>
    </xf>
    <xf numFmtId="0" fontId="6" fillId="0" borderId="22" xfId="7" applyFont="1" applyBorder="1"/>
    <xf numFmtId="0" fontId="6" fillId="0" borderId="23" xfId="7" applyFont="1" applyBorder="1"/>
    <xf numFmtId="0" fontId="6" fillId="0" borderId="18" xfId="7" applyFont="1" applyBorder="1"/>
    <xf numFmtId="0" fontId="12" fillId="0" borderId="24" xfId="7" applyFont="1" applyBorder="1" applyAlignment="1">
      <alignment horizontal="centerContinuous"/>
    </xf>
    <xf numFmtId="0" fontId="12" fillId="0" borderId="18" xfId="0" applyFont="1" applyBorder="1" applyAlignment="1">
      <alignment horizontal="centerContinuous"/>
    </xf>
    <xf numFmtId="0" fontId="96" fillId="0" borderId="0" xfId="7" applyFont="1" applyAlignment="1">
      <alignment horizontal="center"/>
    </xf>
    <xf numFmtId="1" fontId="6" fillId="0" borderId="117" xfId="7" applyNumberFormat="1" applyFont="1" applyBorder="1" applyAlignment="1">
      <alignment horizontal="center"/>
    </xf>
    <xf numFmtId="1" fontId="6" fillId="0" borderId="83" xfId="7" applyNumberFormat="1" applyFont="1" applyBorder="1" applyAlignment="1">
      <alignment horizontal="center"/>
    </xf>
    <xf numFmtId="1" fontId="6" fillId="0" borderId="21" xfId="7" applyNumberFormat="1" applyFont="1" applyBorder="1" applyAlignment="1">
      <alignment horizontal="center"/>
    </xf>
    <xf numFmtId="18" fontId="6" fillId="3" borderId="90" xfId="0" applyNumberFormat="1" applyFont="1" applyFill="1" applyBorder="1" applyAlignment="1" applyProtection="1">
      <alignment horizontal="center"/>
      <protection locked="0"/>
    </xf>
    <xf numFmtId="18" fontId="6" fillId="3" borderId="53" xfId="0" applyNumberFormat="1" applyFont="1" applyFill="1" applyBorder="1" applyAlignment="1" applyProtection="1">
      <alignment horizontal="center"/>
      <protection locked="0"/>
    </xf>
    <xf numFmtId="14" fontId="6" fillId="3" borderId="90" xfId="0" applyNumberFormat="1" applyFont="1" applyFill="1" applyBorder="1" applyAlignment="1" applyProtection="1">
      <alignment horizontal="center"/>
      <protection locked="0"/>
    </xf>
    <xf numFmtId="14" fontId="6" fillId="3" borderId="53" xfId="0" applyNumberFormat="1" applyFont="1" applyFill="1" applyBorder="1" applyAlignment="1" applyProtection="1">
      <alignment horizontal="center"/>
      <protection locked="0"/>
    </xf>
    <xf numFmtId="164" fontId="6" fillId="22" borderId="30" xfId="7" applyNumberFormat="1" applyFont="1" applyFill="1" applyBorder="1" applyAlignment="1" applyProtection="1">
      <alignment horizontal="center"/>
      <protection locked="0"/>
    </xf>
    <xf numFmtId="164" fontId="6" fillId="22" borderId="51" xfId="7" applyNumberFormat="1" applyFont="1" applyFill="1" applyBorder="1" applyAlignment="1" applyProtection="1">
      <alignment horizontal="center"/>
      <protection locked="0"/>
    </xf>
    <xf numFmtId="164" fontId="6" fillId="22" borderId="52" xfId="7" applyNumberFormat="1" applyFont="1" applyFill="1" applyBorder="1" applyAlignment="1" applyProtection="1">
      <alignment horizontal="center"/>
      <protection locked="0"/>
    </xf>
    <xf numFmtId="0" fontId="7" fillId="22" borderId="26" xfId="7" applyFont="1" applyFill="1" applyBorder="1" applyProtection="1">
      <protection locked="0"/>
    </xf>
    <xf numFmtId="165" fontId="6" fillId="22" borderId="30" xfId="7" applyNumberFormat="1" applyFont="1" applyFill="1" applyBorder="1" applyAlignment="1" applyProtection="1">
      <alignment horizontal="center"/>
      <protection locked="0"/>
    </xf>
    <xf numFmtId="0" fontId="1" fillId="0" borderId="0" xfId="9" applyFont="1" applyAlignment="1">
      <alignment horizontal="right" vertical="top"/>
    </xf>
    <xf numFmtId="0" fontId="2" fillId="0" borderId="25" xfId="9" applyBorder="1" applyAlignment="1">
      <alignment horizontal="center" vertical="top"/>
    </xf>
    <xf numFmtId="0" fontId="2" fillId="6" borderId="25" xfId="9" applyFill="1" applyBorder="1" applyAlignment="1">
      <alignment horizontal="center" vertical="top"/>
    </xf>
    <xf numFmtId="0" fontId="2" fillId="0" borderId="0" xfId="9"/>
    <xf numFmtId="0" fontId="2" fillId="6" borderId="25" xfId="9" applyFill="1" applyBorder="1" applyAlignment="1">
      <alignment vertical="top"/>
    </xf>
    <xf numFmtId="0" fontId="2" fillId="0" borderId="25" xfId="9" applyBorder="1" applyAlignment="1">
      <alignment vertical="top"/>
    </xf>
    <xf numFmtId="0" fontId="73" fillId="9" borderId="85" xfId="9" quotePrefix="1" applyFont="1" applyFill="1" applyBorder="1" applyAlignment="1">
      <alignment horizontal="left" vertical="top" wrapText="1"/>
    </xf>
    <xf numFmtId="0" fontId="2" fillId="9" borderId="86" xfId="9" applyFill="1" applyBorder="1" applyAlignment="1">
      <alignment vertical="top"/>
    </xf>
    <xf numFmtId="0" fontId="2" fillId="9" borderId="87" xfId="9" applyFill="1" applyBorder="1" applyAlignment="1">
      <alignment vertical="top"/>
    </xf>
    <xf numFmtId="0" fontId="57" fillId="10" borderId="69" xfId="9" quotePrefix="1" applyFont="1" applyFill="1" applyBorder="1" applyAlignment="1">
      <alignment horizontal="left" vertical="top" wrapText="1"/>
    </xf>
    <xf numFmtId="0" fontId="1" fillId="10" borderId="69" xfId="9" quotePrefix="1" applyFont="1" applyFill="1" applyBorder="1" applyAlignment="1">
      <alignment horizontal="left" vertical="top" wrapText="1"/>
    </xf>
    <xf numFmtId="0" fontId="62" fillId="0" borderId="25" xfId="9" applyFont="1" applyBorder="1" applyAlignment="1">
      <alignment vertical="top" wrapText="1"/>
    </xf>
    <xf numFmtId="0" fontId="2" fillId="0" borderId="25" xfId="9" applyBorder="1" applyAlignment="1">
      <alignment vertical="top" wrapText="1"/>
    </xf>
    <xf numFmtId="0" fontId="76" fillId="0" borderId="25" xfId="9" quotePrefix="1" applyFont="1" applyBorder="1" applyAlignment="1">
      <alignment horizontal="left" vertical="top" wrapText="1"/>
    </xf>
    <xf numFmtId="0" fontId="2" fillId="6" borderId="25" xfId="9" applyFill="1" applyBorder="1" applyAlignment="1">
      <alignment vertical="top" wrapText="1"/>
    </xf>
    <xf numFmtId="0" fontId="1" fillId="0" borderId="83" xfId="9" applyFont="1" applyBorder="1" applyAlignment="1">
      <alignment horizontal="right" vertical="top"/>
    </xf>
    <xf numFmtId="0" fontId="1" fillId="11" borderId="92" xfId="9" applyFont="1" applyFill="1" applyBorder="1" applyAlignment="1">
      <alignment horizontal="center" wrapText="1"/>
    </xf>
    <xf numFmtId="0" fontId="1" fillId="6" borderId="92" xfId="9" applyFont="1" applyFill="1" applyBorder="1" applyAlignment="1">
      <alignment horizontal="center" wrapText="1"/>
    </xf>
    <xf numFmtId="0" fontId="1" fillId="11" borderId="92" xfId="9" quotePrefix="1" applyFont="1" applyFill="1" applyBorder="1" applyAlignment="1">
      <alignment horizontal="center" wrapText="1"/>
    </xf>
    <xf numFmtId="0" fontId="1" fillId="6" borderId="92" xfId="9" quotePrefix="1" applyFont="1" applyFill="1" applyBorder="1" applyAlignment="1">
      <alignment horizontal="center" wrapText="1"/>
    </xf>
    <xf numFmtId="0" fontId="64" fillId="0" borderId="83" xfId="9" quotePrefix="1" applyFont="1" applyBorder="1" applyAlignment="1">
      <alignment horizontal="left" vertical="top" wrapText="1"/>
    </xf>
    <xf numFmtId="49" fontId="1" fillId="0" borderId="96" xfId="9" applyNumberFormat="1" applyFont="1" applyBorder="1" applyAlignment="1">
      <alignment vertical="top"/>
    </xf>
    <xf numFmtId="49" fontId="1" fillId="0" borderId="97" xfId="9" applyNumberFormat="1" applyFont="1" applyBorder="1" applyAlignment="1">
      <alignment vertical="top"/>
    </xf>
    <xf numFmtId="49" fontId="1" fillId="0" borderId="97" xfId="9" quotePrefix="1" applyNumberFormat="1" applyFont="1" applyBorder="1" applyAlignment="1">
      <alignment horizontal="left" vertical="top"/>
    </xf>
    <xf numFmtId="49" fontId="1" fillId="0" borderId="98" xfId="9" applyNumberFormat="1" applyFont="1" applyBorder="1" applyAlignment="1">
      <alignment vertical="top"/>
    </xf>
    <xf numFmtId="0" fontId="79" fillId="0" borderId="0" xfId="9" quotePrefix="1" applyFont="1" applyAlignment="1">
      <alignment horizontal="left"/>
    </xf>
    <xf numFmtId="49" fontId="2" fillId="11" borderId="1" xfId="9" quotePrefix="1" applyNumberFormat="1" applyFill="1" applyBorder="1" applyAlignment="1">
      <alignment horizontal="left"/>
    </xf>
    <xf numFmtId="49" fontId="2" fillId="6" borderId="64" xfId="9" applyNumberFormat="1" applyFill="1" applyBorder="1"/>
    <xf numFmtId="49" fontId="1" fillId="6" borderId="64" xfId="9" applyNumberFormat="1" applyFont="1" applyFill="1" applyBorder="1" applyAlignment="1">
      <alignment horizontal="right"/>
    </xf>
    <xf numFmtId="49" fontId="2" fillId="11" borderId="64" xfId="9" applyNumberFormat="1" applyFill="1" applyBorder="1" applyAlignment="1">
      <alignment horizontal="left"/>
    </xf>
    <xf numFmtId="49" fontId="2" fillId="6" borderId="64" xfId="9" applyNumberFormat="1" applyFill="1" applyBorder="1" applyAlignment="1">
      <alignment horizontal="right"/>
    </xf>
    <xf numFmtId="49" fontId="2" fillId="11" borderId="64" xfId="9" quotePrefix="1" applyNumberFormat="1" applyFill="1" applyBorder="1" applyAlignment="1">
      <alignment horizontal="right"/>
    </xf>
    <xf numFmtId="14" fontId="2" fillId="6" borderId="66" xfId="9" applyNumberFormat="1" applyFill="1" applyBorder="1"/>
    <xf numFmtId="49" fontId="2" fillId="11" borderId="69" xfId="9" applyNumberFormat="1" applyFill="1" applyBorder="1"/>
    <xf numFmtId="49" fontId="2" fillId="6" borderId="25" xfId="9" applyNumberFormat="1" applyFill="1" applyBorder="1"/>
    <xf numFmtId="49" fontId="1" fillId="6" borderId="25" xfId="9" applyNumberFormat="1" applyFont="1" applyFill="1" applyBorder="1" applyAlignment="1">
      <alignment horizontal="right"/>
    </xf>
    <xf numFmtId="49" fontId="2" fillId="10" borderId="25" xfId="9" applyNumberFormat="1" applyFill="1" applyBorder="1" applyAlignment="1">
      <alignment horizontal="left"/>
    </xf>
    <xf numFmtId="49" fontId="2" fillId="6" borderId="25" xfId="9" applyNumberFormat="1" applyFill="1" applyBorder="1" applyAlignment="1">
      <alignment horizontal="right"/>
    </xf>
    <xf numFmtId="49" fontId="2" fillId="11" borderId="25" xfId="9" applyNumberFormat="1" applyFill="1" applyBorder="1" applyAlignment="1">
      <alignment horizontal="right"/>
    </xf>
    <xf numFmtId="14" fontId="2" fillId="6" borderId="84" xfId="9" applyNumberFormat="1" applyFill="1" applyBorder="1"/>
    <xf numFmtId="49" fontId="2" fillId="11" borderId="25" xfId="9" applyNumberFormat="1" applyFill="1" applyBorder="1" applyAlignment="1">
      <alignment horizontal="left"/>
    </xf>
    <xf numFmtId="49" fontId="2" fillId="6" borderId="25" xfId="9" quotePrefix="1" applyNumberFormat="1" applyFill="1" applyBorder="1" applyAlignment="1">
      <alignment horizontal="left"/>
    </xf>
    <xf numFmtId="0" fontId="2" fillId="0" borderId="0" xfId="9" quotePrefix="1" applyAlignment="1">
      <alignment horizontal="left"/>
    </xf>
    <xf numFmtId="49" fontId="2" fillId="6" borderId="25" xfId="9" applyNumberFormat="1" applyFill="1" applyBorder="1" applyAlignment="1">
      <alignment horizontal="left"/>
    </xf>
    <xf numFmtId="0" fontId="79" fillId="0" borderId="0" xfId="9" applyFont="1"/>
    <xf numFmtId="49" fontId="2" fillId="11" borderId="25" xfId="9" quotePrefix="1" applyNumberFormat="1" applyFill="1" applyBorder="1" applyAlignment="1">
      <alignment horizontal="right"/>
    </xf>
    <xf numFmtId="49" fontId="2" fillId="11" borderId="25" xfId="9" applyNumberFormat="1" applyFill="1" applyBorder="1" applyAlignment="1">
      <alignment horizontal="left" wrapText="1"/>
    </xf>
    <xf numFmtId="49" fontId="2" fillId="9" borderId="25" xfId="9" applyNumberFormat="1" applyFill="1" applyBorder="1" applyAlignment="1">
      <alignment horizontal="right"/>
    </xf>
    <xf numFmtId="172" fontId="2" fillId="11" borderId="25" xfId="9" applyNumberFormat="1" applyFill="1" applyBorder="1" applyAlignment="1">
      <alignment horizontal="right"/>
    </xf>
    <xf numFmtId="14" fontId="2" fillId="11" borderId="25" xfId="9" applyNumberFormat="1" applyFill="1" applyBorder="1" applyAlignment="1">
      <alignment horizontal="left"/>
    </xf>
    <xf numFmtId="49" fontId="2" fillId="11" borderId="25" xfId="9" quotePrefix="1" applyNumberFormat="1" applyFill="1" applyBorder="1" applyAlignment="1">
      <alignment horizontal="left"/>
    </xf>
    <xf numFmtId="49" fontId="2" fillId="11" borderId="51" xfId="9" applyNumberFormat="1" applyFill="1" applyBorder="1"/>
    <xf numFmtId="49" fontId="2" fillId="6" borderId="71" xfId="9" applyNumberFormat="1" applyFill="1" applyBorder="1"/>
    <xf numFmtId="49" fontId="1" fillId="6" borderId="71" xfId="9" applyNumberFormat="1" applyFont="1" applyFill="1" applyBorder="1" applyAlignment="1">
      <alignment horizontal="right"/>
    </xf>
    <xf numFmtId="49" fontId="2" fillId="6" borderId="71" xfId="9" applyNumberFormat="1" applyFill="1" applyBorder="1" applyAlignment="1">
      <alignment horizontal="left"/>
    </xf>
    <xf numFmtId="49" fontId="2" fillId="11" borderId="71" xfId="9" applyNumberFormat="1" applyFill="1" applyBorder="1" applyAlignment="1">
      <alignment horizontal="right"/>
    </xf>
    <xf numFmtId="14" fontId="2" fillId="6" borderId="95" xfId="9" applyNumberFormat="1" applyFill="1" applyBorder="1"/>
    <xf numFmtId="49" fontId="2" fillId="0" borderId="0" xfId="9" applyNumberFormat="1"/>
    <xf numFmtId="0" fontId="1" fillId="0" borderId="18" xfId="0" applyFont="1" applyBorder="1" applyAlignment="1">
      <alignment horizontal="center" vertical="center" wrapText="1"/>
    </xf>
    <xf numFmtId="0" fontId="1" fillId="0" borderId="31" xfId="0" applyFont="1" applyBorder="1" applyAlignment="1">
      <alignment horizontal="center" vertical="center" wrapText="1"/>
    </xf>
    <xf numFmtId="0" fontId="7" fillId="0" borderId="29" xfId="0" applyFont="1" applyBorder="1" applyAlignment="1">
      <alignment horizontal="center" vertical="center" wrapText="1"/>
    </xf>
    <xf numFmtId="0" fontId="7" fillId="0" borderId="7" xfId="0" applyFont="1" applyBorder="1" applyAlignment="1">
      <alignment horizontal="center" vertical="center" wrapText="1"/>
    </xf>
    <xf numFmtId="14" fontId="7" fillId="0" borderId="0" xfId="0" applyNumberFormat="1" applyFont="1"/>
    <xf numFmtId="0" fontId="1" fillId="0" borderId="0" xfId="0" applyFont="1" applyAlignment="1">
      <alignment horizontal="center" vertical="center" wrapText="1"/>
    </xf>
    <xf numFmtId="0" fontId="2" fillId="0" borderId="0" xfId="0" applyFont="1" applyAlignment="1">
      <alignment vertical="center" wrapText="1"/>
    </xf>
    <xf numFmtId="0" fontId="1" fillId="0" borderId="0" xfId="0" applyFont="1" applyAlignment="1"/>
    <xf numFmtId="0" fontId="25" fillId="0" borderId="0" xfId="0" quotePrefix="1" applyFont="1" applyAlignment="1"/>
    <xf numFmtId="0" fontId="12" fillId="0" borderId="59" xfId="8" applyFont="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1" fillId="0" borderId="42" xfId="0" applyFont="1" applyBorder="1" applyAlignment="1">
      <alignment horizontal="center"/>
    </xf>
    <xf numFmtId="0" fontId="95" fillId="0" borderId="0" xfId="0" quotePrefix="1" applyFont="1" applyAlignment="1"/>
    <xf numFmtId="0" fontId="7" fillId="22" borderId="35" xfId="0" applyFont="1" applyFill="1" applyBorder="1" applyAlignment="1" applyProtection="1">
      <alignment horizontal="center" vertical="center"/>
      <protection locked="0"/>
    </xf>
    <xf numFmtId="0" fontId="7" fillId="22" borderId="10" xfId="0" applyFont="1" applyFill="1" applyBorder="1" applyAlignment="1" applyProtection="1">
      <alignment horizontal="center" vertical="center"/>
      <protection locked="0"/>
    </xf>
    <xf numFmtId="164" fontId="25" fillId="22" borderId="18" xfId="0" applyNumberFormat="1" applyFont="1" applyFill="1" applyBorder="1" applyAlignment="1" applyProtection="1">
      <alignment horizontal="center"/>
      <protection locked="0"/>
    </xf>
    <xf numFmtId="165" fontId="6" fillId="0" borderId="0" xfId="8" applyNumberFormat="1" applyFont="1" applyAlignment="1">
      <alignment horizontal="left"/>
    </xf>
    <xf numFmtId="0" fontId="7" fillId="0" borderId="0" xfId="8" applyFont="1" applyAlignment="1">
      <alignment horizontal="left"/>
    </xf>
    <xf numFmtId="0" fontId="0" fillId="0" borderId="0" xfId="0" applyAlignment="1">
      <alignment horizontal="left"/>
    </xf>
    <xf numFmtId="0" fontId="7" fillId="4" borderId="84" xfId="8" applyFont="1" applyFill="1" applyBorder="1" applyAlignment="1" applyProtection="1">
      <alignment horizontal="center"/>
      <protection locked="0"/>
    </xf>
    <xf numFmtId="0" fontId="7" fillId="4" borderId="47" xfId="8" applyFont="1" applyFill="1" applyBorder="1" applyAlignment="1" applyProtection="1">
      <alignment horizontal="center"/>
      <protection locked="0"/>
    </xf>
    <xf numFmtId="0" fontId="7" fillId="4" borderId="68" xfId="8" applyFont="1" applyFill="1" applyBorder="1" applyAlignment="1" applyProtection="1">
      <alignment horizontal="center"/>
      <protection locked="0"/>
    </xf>
    <xf numFmtId="0" fontId="9" fillId="0" borderId="22" xfId="0" applyFont="1" applyBorder="1" applyAlignment="1">
      <alignment horizontal="center"/>
    </xf>
    <xf numFmtId="0" fontId="9" fillId="0" borderId="24" xfId="0" applyFont="1" applyBorder="1" applyAlignment="1">
      <alignment horizontal="center"/>
    </xf>
    <xf numFmtId="0" fontId="9" fillId="0" borderId="18" xfId="0" applyFont="1" applyBorder="1" applyAlignment="1">
      <alignment horizontal="center"/>
    </xf>
    <xf numFmtId="0" fontId="7" fillId="3" borderId="84" xfId="8" applyFont="1" applyFill="1" applyBorder="1" applyAlignment="1" applyProtection="1">
      <alignment horizontal="center"/>
      <protection locked="0"/>
    </xf>
    <xf numFmtId="0" fontId="0" fillId="0" borderId="47" xfId="0" applyBorder="1" applyProtection="1">
      <protection locked="0"/>
    </xf>
    <xf numFmtId="0" fontId="0" fillId="0" borderId="69" xfId="0" applyBorder="1" applyProtection="1">
      <protection locked="0"/>
    </xf>
    <xf numFmtId="0" fontId="7" fillId="0" borderId="36" xfId="0" applyFont="1" applyBorder="1" applyAlignment="1" applyProtection="1">
      <alignment horizontal="center"/>
      <protection locked="0"/>
    </xf>
    <xf numFmtId="0" fontId="7" fillId="0" borderId="69" xfId="0" applyFont="1" applyBorder="1" applyAlignment="1" applyProtection="1">
      <alignment horizontal="center"/>
      <protection locked="0"/>
    </xf>
    <xf numFmtId="164" fontId="6" fillId="3" borderId="65" xfId="8" applyNumberFormat="1" applyFont="1" applyFill="1" applyBorder="1" applyAlignment="1" applyProtection="1">
      <alignment horizontal="center"/>
      <protection locked="0"/>
    </xf>
    <xf numFmtId="164" fontId="6" fillId="3" borderId="35" xfId="8" applyNumberFormat="1" applyFont="1" applyFill="1" applyBorder="1" applyAlignment="1" applyProtection="1">
      <alignment horizontal="center"/>
      <protection locked="0"/>
    </xf>
    <xf numFmtId="49" fontId="6" fillId="0" borderId="66" xfId="8" applyNumberFormat="1" applyFont="1" applyBorder="1" applyAlignment="1" applyProtection="1">
      <alignment horizontal="center"/>
      <protection locked="0"/>
    </xf>
    <xf numFmtId="49" fontId="6" fillId="0" borderId="26" xfId="8" applyNumberFormat="1" applyFont="1" applyBorder="1" applyAlignment="1" applyProtection="1">
      <alignment horizontal="center"/>
      <protection locked="0"/>
    </xf>
    <xf numFmtId="49" fontId="6" fillId="0" borderId="28" xfId="8" applyNumberFormat="1" applyFont="1" applyBorder="1" applyAlignment="1" applyProtection="1">
      <alignment horizontal="center"/>
      <protection locked="0"/>
    </xf>
    <xf numFmtId="0" fontId="6" fillId="0" borderId="36" xfId="0" applyFont="1" applyBorder="1" applyAlignment="1">
      <alignment horizontal="center"/>
    </xf>
    <xf numFmtId="0" fontId="6" fillId="0" borderId="47" xfId="0" applyFont="1" applyBorder="1" applyAlignment="1">
      <alignment horizontal="center"/>
    </xf>
    <xf numFmtId="0" fontId="6" fillId="0" borderId="69" xfId="0" applyFont="1" applyBorder="1" applyAlignment="1">
      <alignment horizontal="center"/>
    </xf>
    <xf numFmtId="49" fontId="6" fillId="0" borderId="84" xfId="8" applyNumberFormat="1" applyFont="1" applyBorder="1" applyAlignment="1" applyProtection="1">
      <alignment horizontal="center"/>
      <protection locked="0"/>
    </xf>
    <xf numFmtId="49" fontId="6" fillId="0" borderId="47" xfId="8" applyNumberFormat="1" applyFont="1" applyBorder="1" applyAlignment="1" applyProtection="1">
      <alignment horizontal="center"/>
      <protection locked="0"/>
    </xf>
    <xf numFmtId="49" fontId="6" fillId="0" borderId="68" xfId="8" applyNumberFormat="1" applyFont="1" applyBorder="1" applyAlignment="1" applyProtection="1">
      <alignment horizontal="center"/>
      <protection locked="0"/>
    </xf>
    <xf numFmtId="0" fontId="6" fillId="0" borderId="101" xfId="0" applyFont="1" applyBorder="1" applyAlignment="1">
      <alignment horizontal="center"/>
    </xf>
    <xf numFmtId="0" fontId="6" fillId="0" borderId="74" xfId="0" applyFont="1" applyBorder="1" applyAlignment="1">
      <alignment horizontal="center"/>
    </xf>
    <xf numFmtId="0" fontId="6" fillId="0" borderId="53" xfId="0" applyFont="1" applyBorder="1" applyAlignment="1">
      <alignment horizontal="center"/>
    </xf>
    <xf numFmtId="49" fontId="16" fillId="0" borderId="90" xfId="8" applyNumberFormat="1" applyFont="1" applyBorder="1" applyAlignment="1" applyProtection="1">
      <alignment horizontal="center"/>
      <protection locked="0"/>
    </xf>
    <xf numFmtId="49" fontId="16" fillId="0" borderId="74" xfId="8" applyNumberFormat="1" applyFont="1" applyBorder="1" applyAlignment="1" applyProtection="1">
      <alignment horizontal="center"/>
      <protection locked="0"/>
    </xf>
    <xf numFmtId="49" fontId="16" fillId="0" borderId="54" xfId="8" applyNumberFormat="1" applyFont="1" applyBorder="1" applyAlignment="1" applyProtection="1">
      <alignment horizontal="center"/>
      <protection locked="0"/>
    </xf>
    <xf numFmtId="0" fontId="12" fillId="0" borderId="24" xfId="8" applyFont="1" applyBorder="1" applyAlignment="1">
      <alignment horizontal="center"/>
    </xf>
    <xf numFmtId="0" fontId="12" fillId="0" borderId="18" xfId="8" applyFont="1" applyBorder="1" applyAlignment="1">
      <alignment horizontal="center"/>
    </xf>
    <xf numFmtId="0" fontId="7" fillId="4" borderId="65" xfId="8" applyFont="1" applyFill="1" applyBorder="1" applyAlignment="1" applyProtection="1">
      <alignment horizontal="center"/>
      <protection locked="0"/>
    </xf>
    <xf numFmtId="0" fontId="7" fillId="4" borderId="11" xfId="8" applyFont="1" applyFill="1" applyBorder="1" applyAlignment="1" applyProtection="1">
      <alignment horizontal="center"/>
      <protection locked="0"/>
    </xf>
    <xf numFmtId="0" fontId="7" fillId="4" borderId="35" xfId="8" applyFont="1" applyFill="1" applyBorder="1" applyAlignment="1" applyProtection="1">
      <alignment horizontal="center"/>
      <protection locked="0"/>
    </xf>
    <xf numFmtId="0" fontId="0" fillId="0" borderId="84" xfId="0" applyBorder="1" applyAlignment="1" applyProtection="1">
      <alignment horizontal="center"/>
      <protection locked="0"/>
    </xf>
    <xf numFmtId="0" fontId="0" fillId="0" borderId="69" xfId="0" applyBorder="1" applyAlignment="1" applyProtection="1">
      <alignment horizontal="center"/>
      <protection locked="0"/>
    </xf>
    <xf numFmtId="164" fontId="6" fillId="3" borderId="84" xfId="8" applyNumberFormat="1" applyFont="1" applyFill="1" applyBorder="1" applyAlignment="1" applyProtection="1">
      <alignment horizontal="center"/>
      <protection locked="0"/>
    </xf>
    <xf numFmtId="164" fontId="6" fillId="3" borderId="69" xfId="8" applyNumberFormat="1" applyFont="1" applyFill="1" applyBorder="1" applyAlignment="1" applyProtection="1">
      <alignment horizontal="center"/>
      <protection locked="0"/>
    </xf>
    <xf numFmtId="164" fontId="6" fillId="3" borderId="68" xfId="8" applyNumberFormat="1" applyFont="1" applyFill="1" applyBorder="1" applyAlignment="1" applyProtection="1">
      <alignment horizontal="center"/>
      <protection locked="0"/>
    </xf>
    <xf numFmtId="164" fontId="6" fillId="3" borderId="5" xfId="8" applyNumberFormat="1" applyFont="1" applyFill="1" applyBorder="1" applyAlignment="1" applyProtection="1">
      <alignment horizontal="center"/>
      <protection locked="0"/>
    </xf>
    <xf numFmtId="0" fontId="7" fillId="4" borderId="90" xfId="8" applyFont="1" applyFill="1" applyBorder="1" applyAlignment="1" applyProtection="1">
      <alignment horizontal="center"/>
      <protection locked="0"/>
    </xf>
    <xf numFmtId="0" fontId="7" fillId="4" borderId="74" xfId="8" applyFont="1" applyFill="1" applyBorder="1" applyAlignment="1" applyProtection="1">
      <alignment horizontal="center"/>
      <protection locked="0"/>
    </xf>
    <xf numFmtId="0" fontId="7" fillId="4" borderId="54" xfId="8" applyFont="1" applyFill="1" applyBorder="1" applyAlignment="1" applyProtection="1">
      <alignment horizontal="center"/>
      <protection locked="0"/>
    </xf>
    <xf numFmtId="0" fontId="9" fillId="0" borderId="22" xfId="8" applyFont="1" applyBorder="1" applyAlignment="1">
      <alignment horizontal="center"/>
    </xf>
    <xf numFmtId="0" fontId="9" fillId="0" borderId="24" xfId="8" applyFont="1" applyBorder="1" applyAlignment="1">
      <alignment horizontal="center"/>
    </xf>
    <xf numFmtId="0" fontId="9" fillId="0" borderId="18" xfId="8" applyFont="1" applyBorder="1" applyAlignment="1">
      <alignment horizontal="center"/>
    </xf>
    <xf numFmtId="0" fontId="12" fillId="0" borderId="22" xfId="8" applyFont="1" applyBorder="1" applyAlignment="1">
      <alignment horizontal="center"/>
    </xf>
    <xf numFmtId="0" fontId="12" fillId="0" borderId="23" xfId="8" applyFont="1" applyBorder="1" applyAlignment="1">
      <alignment horizontal="center"/>
    </xf>
    <xf numFmtId="0" fontId="0" fillId="4" borderId="36" xfId="0" applyFill="1" applyBorder="1" applyAlignment="1" applyProtection="1">
      <alignment horizontal="center"/>
      <protection locked="0"/>
    </xf>
    <xf numFmtId="0" fontId="0" fillId="4" borderId="47" xfId="0" applyFill="1" applyBorder="1" applyAlignment="1" applyProtection="1">
      <alignment horizontal="center"/>
      <protection locked="0"/>
    </xf>
    <xf numFmtId="0" fontId="0" fillId="4" borderId="69" xfId="0" applyFill="1" applyBorder="1" applyAlignment="1" applyProtection="1">
      <alignment horizontal="center"/>
      <protection locked="0"/>
    </xf>
    <xf numFmtId="0" fontId="0" fillId="4" borderId="101" xfId="0" applyFill="1" applyBorder="1" applyAlignment="1" applyProtection="1">
      <alignment horizontal="center"/>
      <protection locked="0"/>
    </xf>
    <xf numFmtId="0" fontId="0" fillId="4" borderId="74" xfId="0" applyFill="1" applyBorder="1" applyAlignment="1" applyProtection="1">
      <alignment horizontal="center"/>
      <protection locked="0"/>
    </xf>
    <xf numFmtId="0" fontId="0" fillId="4" borderId="53" xfId="0" applyFill="1" applyBorder="1" applyAlignment="1" applyProtection="1">
      <alignment horizontal="center"/>
      <protection locked="0"/>
    </xf>
    <xf numFmtId="0" fontId="0" fillId="4" borderId="34" xfId="0" applyFill="1" applyBorder="1" applyAlignment="1" applyProtection="1">
      <alignment horizontal="center"/>
      <protection locked="0"/>
    </xf>
    <xf numFmtId="0" fontId="0" fillId="4" borderId="11" xfId="0" applyFill="1" applyBorder="1" applyAlignment="1" applyProtection="1">
      <alignment horizontal="center"/>
      <protection locked="0"/>
    </xf>
    <xf numFmtId="0" fontId="0" fillId="4" borderId="5" xfId="0" applyFill="1" applyBorder="1" applyAlignment="1" applyProtection="1">
      <alignment horizontal="center"/>
      <protection locked="0"/>
    </xf>
    <xf numFmtId="0" fontId="0" fillId="0" borderId="90" xfId="0" applyBorder="1" applyAlignment="1" applyProtection="1">
      <alignment horizontal="center"/>
      <protection locked="0"/>
    </xf>
    <xf numFmtId="0" fontId="0" fillId="0" borderId="53" xfId="0" applyBorder="1" applyAlignment="1" applyProtection="1">
      <alignment horizontal="center"/>
      <protection locked="0"/>
    </xf>
    <xf numFmtId="0" fontId="7" fillId="0" borderId="84" xfId="8" applyFont="1" applyBorder="1" applyAlignment="1" applyProtection="1">
      <alignment horizontal="center"/>
      <protection locked="0"/>
    </xf>
    <xf numFmtId="0" fontId="7" fillId="0" borderId="47" xfId="8" applyFont="1" applyBorder="1" applyAlignment="1" applyProtection="1">
      <alignment horizontal="center"/>
      <protection locked="0"/>
    </xf>
    <xf numFmtId="0" fontId="7" fillId="0" borderId="69" xfId="8" applyFont="1" applyBorder="1" applyAlignment="1" applyProtection="1">
      <alignment horizontal="center"/>
      <protection locked="0"/>
    </xf>
    <xf numFmtId="0" fontId="7" fillId="0" borderId="101" xfId="0" applyFont="1" applyBorder="1" applyAlignment="1" applyProtection="1">
      <alignment horizontal="center"/>
      <protection locked="0"/>
    </xf>
    <xf numFmtId="0" fontId="7" fillId="0" borderId="53" xfId="0" applyFont="1" applyBorder="1" applyAlignment="1" applyProtection="1">
      <alignment horizontal="center"/>
      <protection locked="0"/>
    </xf>
    <xf numFmtId="0" fontId="7" fillId="0" borderId="90" xfId="8" applyFont="1" applyBorder="1" applyAlignment="1" applyProtection="1">
      <alignment horizontal="center"/>
      <protection locked="0"/>
    </xf>
    <xf numFmtId="0" fontId="7" fillId="0" borderId="74" xfId="8" applyFont="1" applyBorder="1" applyAlignment="1" applyProtection="1">
      <alignment horizontal="center"/>
      <protection locked="0"/>
    </xf>
    <xf numFmtId="0" fontId="7" fillId="0" borderId="53" xfId="8" applyFont="1" applyBorder="1" applyAlignment="1" applyProtection="1">
      <alignment horizontal="center"/>
      <protection locked="0"/>
    </xf>
    <xf numFmtId="0" fontId="1" fillId="0" borderId="22" xfId="0" applyFont="1" applyBorder="1" applyAlignment="1">
      <alignment horizontal="center"/>
    </xf>
    <xf numFmtId="0" fontId="1" fillId="0" borderId="24" xfId="0" applyFont="1" applyBorder="1" applyAlignment="1">
      <alignment horizontal="center"/>
    </xf>
    <xf numFmtId="0" fontId="1" fillId="0" borderId="18" xfId="0" applyFont="1" applyBorder="1" applyAlignment="1">
      <alignment horizontal="center"/>
    </xf>
    <xf numFmtId="0" fontId="6" fillId="0" borderId="15" xfId="0" applyFont="1" applyBorder="1" applyAlignment="1">
      <alignment horizontal="center"/>
    </xf>
    <xf numFmtId="0" fontId="6" fillId="0" borderId="26" xfId="0" applyFont="1" applyBorder="1" applyAlignment="1">
      <alignment horizontal="center"/>
    </xf>
    <xf numFmtId="0" fontId="6" fillId="0" borderId="1" xfId="0" applyFont="1" applyBorder="1" applyAlignment="1">
      <alignment horizontal="center"/>
    </xf>
    <xf numFmtId="0" fontId="7" fillId="0" borderId="12" xfId="8" applyFont="1" applyFill="1" applyBorder="1"/>
    <xf numFmtId="0" fontId="7" fillId="0" borderId="12" xfId="8" applyFont="1" applyBorder="1"/>
    <xf numFmtId="0" fontId="0" fillId="3" borderId="84" xfId="0" applyFill="1" applyBorder="1" applyAlignment="1">
      <alignment horizontal="center"/>
    </xf>
    <xf numFmtId="0" fontId="0" fillId="0" borderId="69" xfId="0" applyBorder="1"/>
    <xf numFmtId="14" fontId="6" fillId="0" borderId="24" xfId="8" applyNumberFormat="1" applyFont="1" applyBorder="1" applyAlignment="1">
      <alignment horizontal="center"/>
    </xf>
    <xf numFmtId="14" fontId="6" fillId="0" borderId="23" xfId="8" applyNumberFormat="1" applyFont="1" applyBorder="1" applyAlignment="1">
      <alignment horizontal="center"/>
    </xf>
    <xf numFmtId="0" fontId="0" fillId="3" borderId="65" xfId="0" applyFill="1" applyBorder="1" applyAlignment="1">
      <alignment horizontal="center"/>
    </xf>
    <xf numFmtId="0" fontId="0" fillId="0" borderId="5" xfId="0" applyBorder="1"/>
    <xf numFmtId="0" fontId="18" fillId="3" borderId="0" xfId="8" applyFont="1" applyFill="1" applyAlignment="1" applyProtection="1">
      <alignment horizontal="left"/>
      <protection locked="0"/>
    </xf>
    <xf numFmtId="0" fontId="6" fillId="3" borderId="0" xfId="8" applyFont="1" applyFill="1" applyAlignment="1" applyProtection="1">
      <alignment horizontal="left"/>
      <protection locked="0"/>
    </xf>
    <xf numFmtId="0" fontId="6" fillId="3" borderId="0" xfId="0" applyFont="1" applyFill="1" applyAlignment="1" applyProtection="1">
      <alignment horizontal="left"/>
      <protection locked="0"/>
    </xf>
    <xf numFmtId="0" fontId="7" fillId="3" borderId="68" xfId="8" applyFont="1" applyFill="1" applyBorder="1" applyAlignment="1" applyProtection="1">
      <alignment horizontal="center"/>
      <protection locked="0"/>
    </xf>
    <xf numFmtId="0" fontId="7" fillId="3" borderId="101" xfId="8" applyFont="1" applyFill="1" applyBorder="1" applyAlignment="1" applyProtection="1">
      <alignment horizontal="center"/>
      <protection locked="0"/>
    </xf>
    <xf numFmtId="0" fontId="7" fillId="3" borderId="74" xfId="8" applyFont="1" applyFill="1" applyBorder="1" applyAlignment="1" applyProtection="1">
      <alignment horizontal="center"/>
      <protection locked="0"/>
    </xf>
    <xf numFmtId="0" fontId="7" fillId="3" borderId="54" xfId="8" applyFont="1" applyFill="1" applyBorder="1" applyAlignment="1" applyProtection="1">
      <alignment horizontal="center"/>
      <protection locked="0"/>
    </xf>
    <xf numFmtId="0" fontId="7" fillId="0" borderId="102" xfId="8" applyFont="1" applyBorder="1" applyAlignment="1">
      <alignment horizontal="center"/>
    </xf>
    <xf numFmtId="0" fontId="7" fillId="0" borderId="68" xfId="8" applyFont="1" applyBorder="1" applyAlignment="1">
      <alignment horizontal="center"/>
    </xf>
    <xf numFmtId="0" fontId="7" fillId="4" borderId="103" xfId="8" applyFont="1" applyFill="1" applyBorder="1" applyAlignment="1" applyProtection="1">
      <alignment vertical="top" wrapText="1"/>
      <protection locked="0"/>
    </xf>
    <xf numFmtId="0" fontId="0" fillId="0" borderId="104" xfId="0" applyBorder="1" applyAlignment="1" applyProtection="1">
      <alignment vertical="top" wrapText="1"/>
      <protection locked="0"/>
    </xf>
    <xf numFmtId="0" fontId="0" fillId="0" borderId="52" xfId="0" applyBorder="1" applyAlignment="1" applyProtection="1">
      <alignment vertical="top" wrapText="1"/>
      <protection locked="0"/>
    </xf>
    <xf numFmtId="0" fontId="0" fillId="0" borderId="13" xfId="0" applyBorder="1" applyAlignment="1" applyProtection="1">
      <alignment vertical="top" wrapText="1"/>
      <protection locked="0"/>
    </xf>
    <xf numFmtId="0" fontId="0" fillId="0" borderId="0" xfId="0" applyAlignment="1" applyProtection="1">
      <alignment vertical="top" wrapText="1"/>
      <protection locked="0"/>
    </xf>
    <xf numFmtId="0" fontId="0" fillId="0" borderId="21" xfId="0" applyBorder="1" applyAlignment="1" applyProtection="1">
      <alignment vertical="top" wrapText="1"/>
      <protection locked="0"/>
    </xf>
    <xf numFmtId="0" fontId="0" fillId="0" borderId="19" xfId="0" applyBorder="1" applyAlignment="1" applyProtection="1">
      <alignment vertical="top" wrapText="1"/>
      <protection locked="0"/>
    </xf>
    <xf numFmtId="0" fontId="0" fillId="0" borderId="14" xfId="0" applyBorder="1" applyAlignment="1" applyProtection="1">
      <alignment vertical="top" wrapText="1"/>
      <protection locked="0"/>
    </xf>
    <xf numFmtId="0" fontId="0" fillId="0" borderId="10" xfId="0" applyBorder="1" applyAlignment="1" applyProtection="1">
      <alignment vertical="top" wrapText="1"/>
      <protection locked="0"/>
    </xf>
    <xf numFmtId="0" fontId="12" fillId="0" borderId="34" xfId="8" applyFont="1" applyBorder="1"/>
    <xf numFmtId="0" fontId="0" fillId="0" borderId="11" xfId="0" applyBorder="1"/>
    <xf numFmtId="0" fontId="0" fillId="0" borderId="35" xfId="0" applyBorder="1"/>
    <xf numFmtId="0" fontId="9" fillId="4" borderId="105" xfId="8" applyFont="1" applyFill="1" applyBorder="1" applyAlignment="1" applyProtection="1">
      <alignment horizontal="center"/>
      <protection locked="0"/>
    </xf>
    <xf numFmtId="0" fontId="9" fillId="4" borderId="106" xfId="8" applyFont="1" applyFill="1" applyBorder="1" applyAlignment="1" applyProtection="1">
      <alignment horizontal="center"/>
      <protection locked="0"/>
    </xf>
    <xf numFmtId="0" fontId="9" fillId="4" borderId="107" xfId="8" applyFont="1" applyFill="1" applyBorder="1" applyAlignment="1" applyProtection="1">
      <alignment horizontal="center"/>
      <protection locked="0"/>
    </xf>
    <xf numFmtId="0" fontId="25" fillId="3" borderId="73" xfId="0" applyFont="1" applyFill="1" applyBorder="1" applyAlignment="1" applyProtection="1">
      <alignment horizontal="center"/>
      <protection locked="0"/>
    </xf>
    <xf numFmtId="0" fontId="25" fillId="3" borderId="74" xfId="0" applyFont="1" applyFill="1" applyBorder="1" applyAlignment="1" applyProtection="1">
      <alignment horizontal="center"/>
      <protection locked="0"/>
    </xf>
    <xf numFmtId="0" fontId="25" fillId="3" borderId="54" xfId="0" applyFont="1" applyFill="1" applyBorder="1" applyAlignment="1" applyProtection="1">
      <alignment horizontal="center"/>
      <protection locked="0"/>
    </xf>
    <xf numFmtId="0" fontId="7" fillId="0" borderId="34" xfId="0" applyFont="1" applyBorder="1" applyAlignment="1" applyProtection="1">
      <alignment horizontal="center"/>
      <protection locked="0"/>
    </xf>
    <xf numFmtId="0" fontId="7" fillId="0" borderId="5" xfId="0" applyFont="1" applyBorder="1" applyAlignment="1" applyProtection="1">
      <alignment horizontal="center"/>
      <protection locked="0"/>
    </xf>
    <xf numFmtId="0" fontId="7" fillId="3" borderId="65" xfId="8" applyFont="1" applyFill="1" applyBorder="1" applyAlignment="1" applyProtection="1">
      <alignment horizontal="center"/>
      <protection locked="0"/>
    </xf>
    <xf numFmtId="0" fontId="7" fillId="3" borderId="35" xfId="8" applyFont="1" applyFill="1" applyBorder="1" applyAlignment="1" applyProtection="1">
      <alignment horizontal="center"/>
      <protection locked="0"/>
    </xf>
    <xf numFmtId="0" fontId="6" fillId="4" borderId="0" xfId="8" applyFont="1" applyFill="1" applyAlignment="1" applyProtection="1">
      <alignment horizontal="left"/>
      <protection locked="0"/>
    </xf>
    <xf numFmtId="0" fontId="0" fillId="0" borderId="0" xfId="0" applyAlignment="1" applyProtection="1">
      <alignment horizontal="left"/>
      <protection locked="0"/>
    </xf>
    <xf numFmtId="0" fontId="7" fillId="3" borderId="34" xfId="0" applyFont="1" applyFill="1" applyBorder="1" applyAlignment="1" applyProtection="1">
      <alignment horizontal="center"/>
      <protection locked="0"/>
    </xf>
    <xf numFmtId="0" fontId="7" fillId="3" borderId="5" xfId="0" applyFont="1" applyFill="1" applyBorder="1" applyAlignment="1" applyProtection="1">
      <alignment horizontal="center"/>
      <protection locked="0"/>
    </xf>
    <xf numFmtId="0" fontId="6" fillId="3" borderId="12" xfId="0" applyFont="1" applyFill="1" applyBorder="1" applyAlignment="1" applyProtection="1">
      <alignment vertical="top" wrapText="1"/>
      <protection locked="0"/>
    </xf>
    <xf numFmtId="0" fontId="6" fillId="3" borderId="9" xfId="0" applyFont="1" applyFill="1" applyBorder="1" applyAlignment="1" applyProtection="1">
      <alignment vertical="top" wrapText="1"/>
      <protection locked="0"/>
    </xf>
    <xf numFmtId="0" fontId="6" fillId="3" borderId="14" xfId="0" applyFont="1" applyFill="1" applyBorder="1" applyAlignment="1" applyProtection="1">
      <alignment vertical="top" wrapText="1"/>
      <protection locked="0"/>
    </xf>
    <xf numFmtId="0" fontId="6" fillId="3" borderId="10" xfId="0" applyFont="1" applyFill="1" applyBorder="1" applyAlignment="1" applyProtection="1">
      <alignment vertical="top" wrapText="1"/>
      <protection locked="0"/>
    </xf>
    <xf numFmtId="0" fontId="7" fillId="3" borderId="36" xfId="0" applyFont="1" applyFill="1" applyBorder="1" applyAlignment="1" applyProtection="1">
      <alignment horizontal="center"/>
      <protection locked="0"/>
    </xf>
    <xf numFmtId="0" fontId="7" fillId="3" borderId="69" xfId="0" applyFont="1" applyFill="1" applyBorder="1" applyAlignment="1" applyProtection="1">
      <alignment horizontal="center"/>
      <protection locked="0"/>
    </xf>
    <xf numFmtId="0" fontId="2" fillId="3" borderId="36" xfId="0" applyFont="1" applyFill="1" applyBorder="1" applyAlignment="1" applyProtection="1">
      <alignment horizontal="center"/>
      <protection locked="0"/>
    </xf>
    <xf numFmtId="0" fontId="6" fillId="0" borderId="0" xfId="0" applyFont="1" applyAlignment="1">
      <alignment horizontal="left"/>
    </xf>
    <xf numFmtId="0" fontId="6" fillId="3" borderId="0" xfId="8" applyFont="1" applyFill="1" applyAlignment="1" applyProtection="1">
      <alignment horizontal="left" wrapText="1"/>
      <protection locked="0"/>
    </xf>
    <xf numFmtId="0" fontId="0" fillId="0" borderId="11" xfId="0" applyBorder="1" applyProtection="1">
      <protection locked="0"/>
    </xf>
    <xf numFmtId="0" fontId="0" fillId="0" borderId="5" xfId="0" applyBorder="1" applyProtection="1">
      <protection locked="0"/>
    </xf>
    <xf numFmtId="0" fontId="0" fillId="0" borderId="65" xfId="0" applyBorder="1" applyAlignment="1" applyProtection="1">
      <alignment horizontal="center"/>
      <protection locked="0"/>
    </xf>
    <xf numFmtId="0" fontId="0" fillId="0" borderId="5" xfId="0" applyBorder="1" applyAlignment="1" applyProtection="1">
      <alignment horizontal="center"/>
      <protection locked="0"/>
    </xf>
    <xf numFmtId="0" fontId="7" fillId="0" borderId="65" xfId="8" applyFont="1" applyBorder="1" applyAlignment="1" applyProtection="1">
      <alignment horizontal="center"/>
      <protection locked="0"/>
    </xf>
    <xf numFmtId="0" fontId="7" fillId="0" borderId="11" xfId="8" applyFont="1" applyBorder="1" applyAlignment="1" applyProtection="1">
      <alignment horizontal="center"/>
      <protection locked="0"/>
    </xf>
    <xf numFmtId="0" fontId="7" fillId="0" borderId="5" xfId="8" applyFont="1" applyBorder="1" applyAlignment="1" applyProtection="1">
      <alignment horizontal="center"/>
      <protection locked="0"/>
    </xf>
    <xf numFmtId="0" fontId="7" fillId="3" borderId="101" xfId="0" applyFont="1" applyFill="1" applyBorder="1" applyAlignment="1" applyProtection="1">
      <alignment horizontal="center"/>
      <protection locked="0"/>
    </xf>
    <xf numFmtId="0" fontId="7" fillId="3" borderId="53" xfId="0" applyFont="1" applyFill="1" applyBorder="1" applyAlignment="1" applyProtection="1">
      <alignment horizontal="center"/>
      <protection locked="0"/>
    </xf>
    <xf numFmtId="0" fontId="2" fillId="3" borderId="84" xfId="8" applyFont="1" applyFill="1" applyBorder="1" applyAlignment="1" applyProtection="1">
      <alignment horizontal="center"/>
      <protection locked="0"/>
    </xf>
    <xf numFmtId="0" fontId="0" fillId="3" borderId="84" xfId="0" applyFill="1" applyBorder="1" applyAlignment="1" applyProtection="1">
      <alignment horizontal="center"/>
      <protection locked="0"/>
    </xf>
    <xf numFmtId="0" fontId="0" fillId="3" borderId="69" xfId="0" applyFill="1" applyBorder="1" applyAlignment="1" applyProtection="1">
      <alignment horizontal="center"/>
      <protection locked="0"/>
    </xf>
    <xf numFmtId="173" fontId="7" fillId="3" borderId="84" xfId="8" applyNumberFormat="1" applyFont="1" applyFill="1" applyBorder="1" applyAlignment="1" applyProtection="1">
      <alignment horizontal="center"/>
      <protection locked="0"/>
    </xf>
    <xf numFmtId="173" fontId="7" fillId="3" borderId="68" xfId="8" applyNumberFormat="1" applyFont="1" applyFill="1" applyBorder="1" applyAlignment="1" applyProtection="1">
      <alignment horizontal="center"/>
      <protection locked="0"/>
    </xf>
    <xf numFmtId="169" fontId="12" fillId="0" borderId="0" xfId="0" applyNumberFormat="1" applyFont="1" applyAlignment="1">
      <alignment horizontal="center"/>
    </xf>
    <xf numFmtId="0" fontId="7" fillId="3" borderId="90" xfId="8" applyFont="1" applyFill="1" applyBorder="1" applyAlignment="1" applyProtection="1">
      <alignment horizontal="center"/>
      <protection locked="0"/>
    </xf>
    <xf numFmtId="0" fontId="0" fillId="0" borderId="74" xfId="0" applyBorder="1" applyProtection="1">
      <protection locked="0"/>
    </xf>
    <xf numFmtId="0" fontId="0" fillId="0" borderId="53" xfId="0" applyBorder="1" applyProtection="1">
      <protection locked="0"/>
    </xf>
    <xf numFmtId="0" fontId="12" fillId="0" borderId="24" xfId="8" applyFont="1" applyBorder="1" applyAlignment="1">
      <alignment horizontal="left"/>
    </xf>
    <xf numFmtId="0" fontId="0" fillId="3" borderId="90" xfId="0" applyFill="1" applyBorder="1" applyAlignment="1">
      <alignment horizontal="center"/>
    </xf>
    <xf numFmtId="0" fontId="0" fillId="0" borderId="53" xfId="0" applyBorder="1"/>
    <xf numFmtId="0" fontId="0" fillId="3" borderId="90" xfId="0" applyFill="1" applyBorder="1" applyAlignment="1" applyProtection="1">
      <alignment horizontal="center"/>
      <protection locked="0"/>
    </xf>
    <xf numFmtId="0" fontId="0" fillId="3" borderId="53" xfId="0" applyFill="1" applyBorder="1" applyAlignment="1" applyProtection="1">
      <alignment horizontal="center"/>
      <protection locked="0"/>
    </xf>
    <xf numFmtId="0" fontId="0" fillId="3" borderId="65" xfId="0" applyFill="1" applyBorder="1" applyAlignment="1" applyProtection="1">
      <alignment horizontal="center"/>
      <protection locked="0"/>
    </xf>
    <xf numFmtId="0" fontId="0" fillId="3" borderId="5" xfId="0" applyFill="1" applyBorder="1" applyAlignment="1" applyProtection="1">
      <alignment horizontal="center"/>
      <protection locked="0"/>
    </xf>
    <xf numFmtId="0" fontId="1" fillId="0" borderId="22" xfId="0" applyFont="1" applyBorder="1" applyAlignment="1">
      <alignment horizontal="left" vertical="center"/>
    </xf>
    <xf numFmtId="0" fontId="1" fillId="0" borderId="24" xfId="0" applyFont="1" applyBorder="1" applyAlignment="1">
      <alignment horizontal="left" vertical="center"/>
    </xf>
    <xf numFmtId="0" fontId="1" fillId="0" borderId="18" xfId="0" applyFont="1" applyBorder="1" applyAlignment="1">
      <alignment horizontal="left" vertical="center"/>
    </xf>
    <xf numFmtId="0" fontId="51" fillId="0" borderId="22" xfId="8" applyFont="1" applyBorder="1" applyAlignment="1">
      <alignment horizontal="center"/>
    </xf>
    <xf numFmtId="0" fontId="51" fillId="0" borderId="24" xfId="8" applyFont="1" applyBorder="1" applyAlignment="1">
      <alignment horizontal="center"/>
    </xf>
    <xf numFmtId="0" fontId="51" fillId="0" borderId="18" xfId="8" applyFont="1" applyBorder="1" applyAlignment="1">
      <alignment horizontal="center"/>
    </xf>
    <xf numFmtId="0" fontId="9" fillId="0" borderId="22" xfId="8" applyFont="1" applyBorder="1" applyAlignment="1">
      <alignment horizontal="left" vertical="center" wrapText="1"/>
    </xf>
    <xf numFmtId="0" fontId="9" fillId="0" borderId="24" xfId="8" applyFont="1" applyBorder="1" applyAlignment="1">
      <alignment horizontal="left" vertical="center" wrapText="1"/>
    </xf>
    <xf numFmtId="0" fontId="9" fillId="0" borderId="18" xfId="8" applyFont="1" applyBorder="1" applyAlignment="1">
      <alignment horizontal="left" vertical="center" wrapText="1"/>
    </xf>
    <xf numFmtId="171" fontId="1" fillId="0" borderId="22" xfId="0" applyNumberFormat="1" applyFont="1" applyBorder="1" applyAlignment="1">
      <alignment horizontal="center" vertical="center"/>
    </xf>
    <xf numFmtId="171" fontId="1" fillId="0" borderId="24" xfId="0" applyNumberFormat="1" applyFont="1" applyBorder="1" applyAlignment="1">
      <alignment horizontal="center" vertical="center"/>
    </xf>
    <xf numFmtId="171" fontId="1" fillId="0" borderId="18" xfId="0" applyNumberFormat="1" applyFont="1" applyBorder="1" applyAlignment="1">
      <alignment horizontal="center" vertical="center"/>
    </xf>
    <xf numFmtId="0" fontId="1" fillId="0" borderId="22" xfId="0" applyFont="1" applyBorder="1" applyAlignment="1">
      <alignment horizontal="center" vertical="center"/>
    </xf>
    <xf numFmtId="0" fontId="1" fillId="0" borderId="24" xfId="0" applyFont="1" applyBorder="1" applyAlignment="1">
      <alignment horizontal="center" vertical="center"/>
    </xf>
    <xf numFmtId="0" fontId="1" fillId="0" borderId="18" xfId="0" applyFont="1" applyBorder="1" applyAlignment="1">
      <alignment horizontal="center" vertical="center"/>
    </xf>
    <xf numFmtId="0" fontId="27" fillId="0" borderId="0" xfId="6" applyFont="1" applyAlignment="1">
      <alignment horizontal="left" vertical="top" wrapText="1"/>
    </xf>
    <xf numFmtId="164" fontId="1" fillId="0" borderId="65" xfId="0" applyNumberFormat="1" applyFont="1" applyBorder="1" applyAlignment="1">
      <alignment horizontal="center"/>
    </xf>
    <xf numFmtId="164" fontId="1" fillId="0" borderId="35" xfId="0" applyNumberFormat="1" applyFont="1" applyBorder="1" applyAlignment="1">
      <alignment horizontal="center"/>
    </xf>
    <xf numFmtId="164" fontId="1" fillId="0" borderId="90" xfId="0" applyNumberFormat="1" applyFont="1" applyBorder="1" applyAlignment="1">
      <alignment horizontal="center"/>
    </xf>
    <xf numFmtId="164" fontId="1" fillId="0" borderId="54" xfId="0" applyNumberFormat="1" applyFont="1" applyBorder="1" applyAlignment="1">
      <alignment horizontal="center"/>
    </xf>
    <xf numFmtId="0" fontId="1" fillId="0" borderId="16" xfId="0" applyFont="1" applyBorder="1" applyAlignment="1">
      <alignment horizontal="center"/>
    </xf>
    <xf numFmtId="0" fontId="8" fillId="0" borderId="0" xfId="0" applyFont="1" applyAlignment="1">
      <alignment horizontal="center"/>
    </xf>
    <xf numFmtId="0" fontId="1" fillId="0" borderId="133" xfId="0" applyFont="1" applyBorder="1" applyAlignment="1">
      <alignment horizontal="center" vertical="center"/>
    </xf>
    <xf numFmtId="0" fontId="1" fillId="0" borderId="106" xfId="0" applyFont="1" applyBorder="1" applyAlignment="1">
      <alignment horizontal="center" vertical="center"/>
    </xf>
    <xf numFmtId="0" fontId="1" fillId="0" borderId="134" xfId="0" applyFont="1" applyBorder="1" applyAlignment="1">
      <alignment horizontal="center" vertical="center"/>
    </xf>
    <xf numFmtId="0" fontId="118" fillId="0" borderId="140" xfId="0" applyFont="1" applyBorder="1" applyAlignment="1">
      <alignment horizontal="center" vertical="center"/>
    </xf>
    <xf numFmtId="0" fontId="118" fillId="0" borderId="141" xfId="0" applyFont="1" applyBorder="1" applyAlignment="1">
      <alignment horizontal="center" vertical="center"/>
    </xf>
    <xf numFmtId="0" fontId="14" fillId="0" borderId="0" xfId="0" applyFont="1" applyAlignment="1">
      <alignment horizontal="center" vertical="center"/>
    </xf>
    <xf numFmtId="0" fontId="12" fillId="0" borderId="16" xfId="8" applyFont="1" applyBorder="1" applyAlignment="1">
      <alignment horizontal="center"/>
    </xf>
    <xf numFmtId="0" fontId="2" fillId="0" borderId="101" xfId="0" applyFont="1" applyBorder="1" applyAlignment="1">
      <alignment horizontal="center"/>
    </xf>
    <xf numFmtId="0" fontId="2" fillId="0" borderId="53" xfId="0" applyFont="1" applyBorder="1" applyAlignment="1">
      <alignment horizontal="center"/>
    </xf>
    <xf numFmtId="0" fontId="0" fillId="0" borderId="90" xfId="0" applyBorder="1" applyAlignment="1">
      <alignment horizontal="center"/>
    </xf>
    <xf numFmtId="0" fontId="0" fillId="0" borderId="53" xfId="0" applyBorder="1" applyAlignment="1">
      <alignment horizontal="center"/>
    </xf>
    <xf numFmtId="0" fontId="12" fillId="0" borderId="22" xfId="0" applyFont="1" applyBorder="1" applyAlignment="1">
      <alignment horizontal="center"/>
    </xf>
    <xf numFmtId="0" fontId="12" fillId="0" borderId="23" xfId="0" applyFont="1" applyBorder="1" applyAlignment="1">
      <alignment horizontal="center"/>
    </xf>
    <xf numFmtId="0" fontId="12" fillId="0" borderId="16" xfId="0" applyFont="1" applyBorder="1" applyAlignment="1">
      <alignment horizontal="center"/>
    </xf>
    <xf numFmtId="0" fontId="2" fillId="0" borderId="65" xfId="8" applyFont="1" applyBorder="1" applyAlignment="1">
      <alignment horizontal="center"/>
    </xf>
    <xf numFmtId="0" fontId="2" fillId="0" borderId="11" xfId="8" applyFont="1" applyBorder="1" applyAlignment="1">
      <alignment horizontal="center"/>
    </xf>
    <xf numFmtId="0" fontId="2" fillId="0" borderId="5" xfId="8" applyFont="1" applyBorder="1" applyAlignment="1">
      <alignment horizontal="center"/>
    </xf>
    <xf numFmtId="0" fontId="2" fillId="0" borderId="84" xfId="8" applyFont="1" applyBorder="1" applyAlignment="1">
      <alignment horizontal="center"/>
    </xf>
    <xf numFmtId="0" fontId="2" fillId="0" borderId="47" xfId="8" applyFont="1" applyBorder="1" applyAlignment="1">
      <alignment horizontal="center"/>
    </xf>
    <xf numFmtId="0" fontId="2" fillId="0" borderId="69" xfId="8" applyFont="1" applyBorder="1" applyAlignment="1">
      <alignment horizontal="center"/>
    </xf>
    <xf numFmtId="0" fontId="2" fillId="0" borderId="90" xfId="8" applyFont="1" applyBorder="1" applyAlignment="1">
      <alignment horizontal="center"/>
    </xf>
    <xf numFmtId="0" fontId="2" fillId="0" borderId="74" xfId="8" applyFont="1" applyBorder="1" applyAlignment="1">
      <alignment horizontal="center"/>
    </xf>
    <xf numFmtId="0" fontId="2" fillId="0" borderId="53" xfId="8" applyFont="1" applyBorder="1" applyAlignment="1">
      <alignment horizontal="center"/>
    </xf>
    <xf numFmtId="0" fontId="0" fillId="0" borderId="65" xfId="0" applyBorder="1" applyAlignment="1">
      <alignment horizontal="center"/>
    </xf>
    <xf numFmtId="0" fontId="0" fillId="0" borderId="5" xfId="0" applyBorder="1" applyAlignment="1">
      <alignment horizontal="center"/>
    </xf>
    <xf numFmtId="0" fontId="2" fillId="0" borderId="34" xfId="0" applyFont="1" applyBorder="1" applyAlignment="1">
      <alignment horizontal="center"/>
    </xf>
    <xf numFmtId="0" fontId="2" fillId="0" borderId="5" xfId="0" applyFont="1" applyBorder="1" applyAlignment="1">
      <alignment horizontal="center"/>
    </xf>
    <xf numFmtId="0" fontId="2" fillId="0" borderId="36" xfId="0" applyFont="1" applyBorder="1" applyAlignment="1">
      <alignment horizontal="center"/>
    </xf>
    <xf numFmtId="0" fontId="2" fillId="0" borderId="69" xfId="0" applyFont="1" applyBorder="1" applyAlignment="1">
      <alignment horizontal="center"/>
    </xf>
    <xf numFmtId="0" fontId="0" fillId="0" borderId="84" xfId="0" applyBorder="1" applyAlignment="1">
      <alignment horizontal="center"/>
    </xf>
    <xf numFmtId="0" fontId="0" fillId="0" borderId="69" xfId="0" applyBorder="1" applyAlignment="1">
      <alignment horizontal="center"/>
    </xf>
    <xf numFmtId="0" fontId="2" fillId="0" borderId="84" xfId="0" applyFont="1" applyBorder="1" applyAlignment="1">
      <alignment horizontal="center" vertical="center" wrapText="1"/>
    </xf>
    <xf numFmtId="0" fontId="2" fillId="0" borderId="69" xfId="0" applyFont="1" applyBorder="1" applyAlignment="1">
      <alignment horizontal="center" vertical="center" wrapText="1"/>
    </xf>
    <xf numFmtId="0" fontId="2" fillId="0" borderId="136" xfId="0" applyFont="1" applyBorder="1" applyAlignment="1">
      <alignment horizontal="center" vertical="center" wrapText="1"/>
    </xf>
    <xf numFmtId="0" fontId="2" fillId="0" borderId="135" xfId="0" applyFont="1" applyBorder="1" applyAlignment="1">
      <alignment horizontal="center" vertical="center" wrapText="1"/>
    </xf>
    <xf numFmtId="0" fontId="2" fillId="0" borderId="138" xfId="0" applyFont="1" applyBorder="1" applyAlignment="1">
      <alignment horizontal="center" vertical="center" wrapText="1"/>
    </xf>
    <xf numFmtId="0" fontId="2" fillId="30" borderId="84" xfId="0" applyFont="1" applyFill="1" applyBorder="1" applyAlignment="1">
      <alignment horizontal="center" vertical="center" wrapText="1"/>
    </xf>
    <xf numFmtId="0" fontId="2" fillId="30" borderId="111" xfId="0" applyFont="1" applyFill="1" applyBorder="1" applyAlignment="1">
      <alignment horizontal="center" vertical="center" wrapText="1"/>
    </xf>
    <xf numFmtId="0" fontId="1" fillId="0" borderId="118" xfId="0" applyFont="1" applyBorder="1" applyAlignment="1">
      <alignment horizontal="center" vertical="center" wrapText="1"/>
    </xf>
    <xf numFmtId="0" fontId="1" fillId="0" borderId="139" xfId="0" applyFont="1" applyBorder="1" applyAlignment="1">
      <alignment horizontal="center" vertical="center" wrapText="1"/>
    </xf>
    <xf numFmtId="0" fontId="1" fillId="0" borderId="119" xfId="0" applyFont="1" applyBorder="1" applyAlignment="1">
      <alignment horizontal="center" vertical="center" wrapText="1"/>
    </xf>
    <xf numFmtId="0" fontId="2" fillId="0" borderId="102" xfId="0" applyFont="1" applyBorder="1" applyAlignment="1">
      <alignment horizontal="center" vertical="center" wrapText="1"/>
    </xf>
    <xf numFmtId="0" fontId="2" fillId="0" borderId="111" xfId="0" applyFont="1" applyBorder="1" applyAlignment="1">
      <alignment horizontal="center" vertical="center" wrapText="1"/>
    </xf>
    <xf numFmtId="0" fontId="2" fillId="30" borderId="69" xfId="0" applyFont="1" applyFill="1" applyBorder="1" applyAlignment="1">
      <alignment horizontal="center" vertical="center" wrapText="1"/>
    </xf>
    <xf numFmtId="0" fontId="1" fillId="0" borderId="76" xfId="0" applyFont="1" applyBorder="1" applyAlignment="1">
      <alignment horizontal="center" vertical="center" wrapText="1"/>
    </xf>
    <xf numFmtId="0" fontId="1" fillId="0" borderId="132" xfId="0" applyFont="1" applyBorder="1" applyAlignment="1">
      <alignment horizontal="center" vertical="center" wrapText="1"/>
    </xf>
    <xf numFmtId="0" fontId="1" fillId="0" borderId="80" xfId="0" applyFont="1" applyBorder="1" applyAlignment="1">
      <alignment horizontal="center" vertical="center" wrapText="1"/>
    </xf>
    <xf numFmtId="0" fontId="1" fillId="0" borderId="82" xfId="0" applyFont="1" applyBorder="1" applyAlignment="1">
      <alignment horizontal="center" vertical="center" wrapText="1"/>
    </xf>
    <xf numFmtId="0" fontId="2" fillId="0" borderId="137" xfId="0" applyFont="1" applyBorder="1" applyAlignment="1">
      <alignment horizontal="center" vertical="center" wrapText="1"/>
    </xf>
    <xf numFmtId="0" fontId="104" fillId="0" borderId="22" xfId="0" applyFont="1" applyBorder="1" applyAlignment="1">
      <alignment horizontal="center" vertical="center" wrapText="1"/>
    </xf>
    <xf numFmtId="0" fontId="104" fillId="0" borderId="24" xfId="0" applyFont="1" applyBorder="1" applyAlignment="1">
      <alignment horizontal="center" vertical="center" wrapText="1"/>
    </xf>
    <xf numFmtId="0" fontId="104" fillId="0" borderId="18" xfId="0" applyFont="1" applyBorder="1" applyAlignment="1">
      <alignment horizontal="center" vertical="center" wrapText="1"/>
    </xf>
    <xf numFmtId="0" fontId="118" fillId="0" borderId="77" xfId="0" applyFont="1" applyBorder="1" applyAlignment="1">
      <alignment horizontal="center"/>
    </xf>
    <xf numFmtId="0" fontId="1" fillId="0" borderId="102" xfId="0" applyFont="1" applyBorder="1" applyAlignment="1">
      <alignment horizontal="center" vertical="center" wrapText="1"/>
    </xf>
    <xf numFmtId="0" fontId="1" fillId="0" borderId="47" xfId="0" applyFont="1" applyBorder="1" applyAlignment="1">
      <alignment horizontal="center" vertical="center" wrapText="1"/>
    </xf>
    <xf numFmtId="0" fontId="1" fillId="0" borderId="111" xfId="0" applyFont="1" applyBorder="1" applyAlignment="1">
      <alignment horizontal="center" vertical="center" wrapText="1"/>
    </xf>
    <xf numFmtId="0" fontId="2" fillId="30" borderId="102" xfId="0" applyFont="1" applyFill="1" applyBorder="1" applyAlignment="1">
      <alignment horizontal="center" vertical="center" wrapText="1"/>
    </xf>
    <xf numFmtId="0" fontId="118" fillId="0" borderId="84" xfId="0" applyFont="1" applyBorder="1" applyAlignment="1">
      <alignment horizontal="center" vertical="center"/>
    </xf>
    <xf numFmtId="0" fontId="118" fillId="0" borderId="69" xfId="0" applyFont="1" applyBorder="1" applyAlignment="1">
      <alignment horizontal="center" vertical="center"/>
    </xf>
    <xf numFmtId="0" fontId="118" fillId="0" borderId="111" xfId="0" applyFont="1" applyBorder="1" applyAlignment="1">
      <alignment horizontal="center" vertical="center"/>
    </xf>
    <xf numFmtId="0" fontId="3" fillId="4" borderId="47" xfId="1" applyFill="1" applyBorder="1" applyAlignment="1" applyProtection="1">
      <alignment horizontal="center"/>
      <protection locked="0"/>
    </xf>
    <xf numFmtId="0" fontId="3" fillId="4" borderId="47" xfId="1" quotePrefix="1" applyFill="1" applyBorder="1" applyAlignment="1" applyProtection="1">
      <alignment horizontal="center"/>
      <protection locked="0"/>
    </xf>
    <xf numFmtId="0" fontId="3" fillId="0" borderId="0" xfId="1" applyAlignment="1" applyProtection="1">
      <alignment horizontal="left" vertical="top" wrapText="1"/>
      <protection locked="0"/>
    </xf>
    <xf numFmtId="0" fontId="3" fillId="0" borderId="26" xfId="1" applyBorder="1" applyAlignment="1" applyProtection="1">
      <alignment horizontal="left" vertical="top" wrapText="1"/>
      <protection locked="0"/>
    </xf>
    <xf numFmtId="0" fontId="36" fillId="0" borderId="0" xfId="6" applyFont="1" applyAlignment="1" applyProtection="1">
      <alignment horizontal="left"/>
      <protection locked="0"/>
    </xf>
    <xf numFmtId="0" fontId="6" fillId="0" borderId="0" xfId="7" applyFont="1" applyAlignment="1">
      <alignment horizontal="left" vertical="top" wrapText="1"/>
    </xf>
    <xf numFmtId="0" fontId="6" fillId="3" borderId="101" xfId="7" applyFont="1" applyFill="1" applyBorder="1" applyAlignment="1" applyProtection="1">
      <alignment horizontal="center"/>
      <protection locked="0"/>
    </xf>
    <xf numFmtId="0" fontId="6" fillId="3" borderId="54" xfId="7" applyFont="1" applyFill="1" applyBorder="1" applyAlignment="1" applyProtection="1">
      <alignment horizontal="center"/>
      <protection locked="0"/>
    </xf>
    <xf numFmtId="0" fontId="6" fillId="3" borderId="74" xfId="7" applyFont="1" applyFill="1" applyBorder="1" applyAlignment="1" applyProtection="1">
      <alignment horizontal="center"/>
      <protection locked="0"/>
    </xf>
    <xf numFmtId="0" fontId="6" fillId="3" borderId="65" xfId="0" applyFont="1" applyFill="1" applyBorder="1" applyAlignment="1" applyProtection="1">
      <alignment horizontal="center"/>
      <protection locked="0"/>
    </xf>
    <xf numFmtId="0" fontId="6" fillId="3" borderId="11" xfId="0" applyFont="1" applyFill="1" applyBorder="1" applyAlignment="1" applyProtection="1">
      <alignment horizontal="center"/>
      <protection locked="0"/>
    </xf>
    <xf numFmtId="0" fontId="6" fillId="3" borderId="35" xfId="0" applyFont="1" applyFill="1" applyBorder="1" applyAlignment="1" applyProtection="1">
      <alignment horizontal="center"/>
      <protection locked="0"/>
    </xf>
    <xf numFmtId="0" fontId="6" fillId="3" borderId="90" xfId="0" applyFont="1" applyFill="1" applyBorder="1" applyAlignment="1" applyProtection="1">
      <alignment horizontal="center"/>
      <protection locked="0"/>
    </xf>
    <xf numFmtId="0" fontId="6" fillId="3" borderId="74" xfId="0" applyFont="1" applyFill="1" applyBorder="1" applyAlignment="1" applyProtection="1">
      <alignment horizontal="center"/>
      <protection locked="0"/>
    </xf>
    <xf numFmtId="0" fontId="6" fillId="3" borderId="54" xfId="0" applyFont="1" applyFill="1" applyBorder="1" applyAlignment="1" applyProtection="1">
      <alignment horizontal="center"/>
      <protection locked="0"/>
    </xf>
    <xf numFmtId="18" fontId="6" fillId="3" borderId="65" xfId="0" applyNumberFormat="1" applyFont="1" applyFill="1" applyBorder="1" applyAlignment="1" applyProtection="1">
      <alignment horizontal="center"/>
      <protection locked="0"/>
    </xf>
    <xf numFmtId="18" fontId="6" fillId="3" borderId="5" xfId="0" applyNumberFormat="1" applyFont="1" applyFill="1" applyBorder="1" applyAlignment="1" applyProtection="1">
      <alignment horizontal="center"/>
      <protection locked="0"/>
    </xf>
    <xf numFmtId="18" fontId="6" fillId="3" borderId="84" xfId="0" applyNumberFormat="1" applyFont="1" applyFill="1" applyBorder="1" applyAlignment="1" applyProtection="1">
      <alignment horizontal="center"/>
      <protection locked="0"/>
    </xf>
    <xf numFmtId="18" fontId="6" fillId="3" borderId="69" xfId="0" applyNumberFormat="1" applyFont="1" applyFill="1" applyBorder="1" applyAlignment="1" applyProtection="1">
      <alignment horizontal="center"/>
      <protection locked="0"/>
    </xf>
    <xf numFmtId="0" fontId="6" fillId="3" borderId="84" xfId="0" applyFont="1" applyFill="1" applyBorder="1" applyAlignment="1" applyProtection="1">
      <alignment horizontal="center"/>
      <protection locked="0"/>
    </xf>
    <xf numFmtId="0" fontId="6" fillId="3" borderId="47" xfId="0" applyFont="1" applyFill="1" applyBorder="1" applyAlignment="1" applyProtection="1">
      <alignment horizontal="center"/>
      <protection locked="0"/>
    </xf>
    <xf numFmtId="0" fontId="6" fillId="3" borderId="68" xfId="0" applyFont="1" applyFill="1" applyBorder="1" applyAlignment="1" applyProtection="1">
      <alignment horizontal="center"/>
      <protection locked="0"/>
    </xf>
    <xf numFmtId="18" fontId="6" fillId="3" borderId="90" xfId="0" applyNumberFormat="1" applyFont="1" applyFill="1" applyBorder="1" applyAlignment="1" applyProtection="1">
      <alignment horizontal="center"/>
      <protection locked="0"/>
    </xf>
    <xf numFmtId="18" fontId="6" fillId="3" borderId="53" xfId="0" applyNumberFormat="1" applyFont="1" applyFill="1" applyBorder="1" applyAlignment="1" applyProtection="1">
      <alignment horizontal="center"/>
      <protection locked="0"/>
    </xf>
    <xf numFmtId="14" fontId="6" fillId="3" borderId="84" xfId="0" applyNumberFormat="1" applyFont="1" applyFill="1" applyBorder="1" applyAlignment="1" applyProtection="1">
      <alignment horizontal="center"/>
      <protection locked="0"/>
    </xf>
    <xf numFmtId="14" fontId="6" fillId="3" borderId="69" xfId="0" applyNumberFormat="1" applyFont="1" applyFill="1" applyBorder="1" applyAlignment="1" applyProtection="1">
      <alignment horizontal="center"/>
      <protection locked="0"/>
    </xf>
    <xf numFmtId="14" fontId="6" fillId="3" borderId="90" xfId="0" applyNumberFormat="1" applyFont="1" applyFill="1" applyBorder="1" applyAlignment="1" applyProtection="1">
      <alignment horizontal="center"/>
      <protection locked="0"/>
    </xf>
    <xf numFmtId="14" fontId="6" fillId="3" borderId="53" xfId="0" applyNumberFormat="1" applyFont="1" applyFill="1" applyBorder="1" applyAlignment="1" applyProtection="1">
      <alignment horizontal="center"/>
      <protection locked="0"/>
    </xf>
    <xf numFmtId="14" fontId="6" fillId="3" borderId="65" xfId="0" applyNumberFormat="1" applyFont="1" applyFill="1" applyBorder="1" applyAlignment="1" applyProtection="1">
      <alignment horizontal="center"/>
      <protection locked="0"/>
    </xf>
    <xf numFmtId="14" fontId="6" fillId="3" borderId="5" xfId="0" applyNumberFormat="1" applyFont="1" applyFill="1" applyBorder="1" applyAlignment="1" applyProtection="1">
      <alignment horizontal="center"/>
      <protection locked="0"/>
    </xf>
    <xf numFmtId="14" fontId="10" fillId="0" borderId="24" xfId="0" applyNumberFormat="1" applyFont="1" applyBorder="1" applyAlignment="1">
      <alignment horizontal="center" vertical="center" wrapText="1"/>
    </xf>
    <xf numFmtId="14" fontId="10" fillId="0" borderId="18" xfId="0" applyNumberFormat="1" applyFont="1" applyBorder="1" applyAlignment="1">
      <alignment horizontal="center" vertical="center" wrapText="1"/>
    </xf>
    <xf numFmtId="0" fontId="1" fillId="0" borderId="23" xfId="0" applyFont="1" applyBorder="1" applyAlignment="1">
      <alignment horizontal="center" vertical="center"/>
    </xf>
    <xf numFmtId="0" fontId="7" fillId="0" borderId="0" xfId="0" applyFont="1" applyAlignment="1">
      <alignment horizontal="center"/>
    </xf>
    <xf numFmtId="0" fontId="1" fillId="0" borderId="18" xfId="0" applyFont="1" applyBorder="1" applyAlignment="1">
      <alignment horizontal="center" vertical="center" wrapText="1"/>
    </xf>
    <xf numFmtId="0" fontId="1" fillId="0" borderId="31" xfId="0" applyFont="1" applyBorder="1" applyAlignment="1">
      <alignment horizontal="center" vertical="center" wrapText="1"/>
    </xf>
    <xf numFmtId="0" fontId="1" fillId="0" borderId="59" xfId="0" applyFont="1" applyBorder="1" applyAlignment="1">
      <alignment horizontal="center" vertical="center" wrapText="1"/>
    </xf>
    <xf numFmtId="14" fontId="7" fillId="22" borderId="35" xfId="0" applyNumberFormat="1" applyFont="1" applyFill="1" applyBorder="1" applyAlignment="1" applyProtection="1">
      <alignment horizontal="center" vertical="center" wrapText="1"/>
      <protection locked="0"/>
    </xf>
    <xf numFmtId="14" fontId="7" fillId="22" borderId="29" xfId="0" applyNumberFormat="1" applyFont="1" applyFill="1" applyBorder="1" applyAlignment="1" applyProtection="1">
      <alignment horizontal="center" vertical="center" wrapText="1"/>
      <protection locked="0"/>
    </xf>
    <xf numFmtId="14" fontId="7" fillId="22" borderId="10" xfId="0" applyNumberFormat="1" applyFont="1" applyFill="1" applyBorder="1" applyAlignment="1" applyProtection="1">
      <alignment horizontal="center" vertical="center" wrapText="1"/>
      <protection locked="0"/>
    </xf>
    <xf numFmtId="0" fontId="7" fillId="22" borderId="7" xfId="0" applyFont="1" applyFill="1" applyBorder="1" applyAlignment="1" applyProtection="1">
      <alignment horizontal="center" vertical="center" wrapText="1"/>
      <protection locked="0"/>
    </xf>
    <xf numFmtId="0" fontId="2" fillId="22" borderId="32" xfId="0" applyFont="1" applyFill="1" applyBorder="1" applyAlignment="1" applyProtection="1">
      <alignment horizontal="center" vertical="center" wrapText="1"/>
      <protection locked="0"/>
    </xf>
    <xf numFmtId="0" fontId="7" fillId="22" borderId="29" xfId="0" applyFont="1" applyFill="1" applyBorder="1" applyAlignment="1" applyProtection="1">
      <alignment horizontal="center" vertical="center" wrapText="1"/>
      <protection locked="0"/>
    </xf>
    <xf numFmtId="0" fontId="7" fillId="22" borderId="42" xfId="0" applyFont="1" applyFill="1" applyBorder="1" applyAlignment="1" applyProtection="1">
      <alignment horizontal="center" vertical="center" wrapText="1"/>
      <protection locked="0"/>
    </xf>
    <xf numFmtId="164" fontId="6" fillId="0" borderId="84" xfId="0" applyNumberFormat="1" applyFont="1" applyBorder="1" applyAlignment="1">
      <alignment horizontal="center"/>
    </xf>
    <xf numFmtId="164" fontId="6" fillId="0" borderId="68" xfId="0" applyNumberFormat="1" applyFont="1" applyBorder="1" applyAlignment="1">
      <alignment horizontal="center"/>
    </xf>
    <xf numFmtId="1" fontId="6" fillId="0" borderId="84" xfId="8" applyNumberFormat="1" applyFont="1" applyBorder="1" applyAlignment="1">
      <alignment horizontal="center"/>
    </xf>
    <xf numFmtId="1" fontId="6" fillId="0" borderId="68" xfId="8" applyNumberFormat="1" applyFont="1" applyBorder="1" applyAlignment="1">
      <alignment horizontal="center"/>
    </xf>
    <xf numFmtId="1" fontId="6" fillId="0" borderId="90" xfId="0" applyNumberFormat="1" applyFont="1" applyBorder="1" applyAlignment="1">
      <alignment horizontal="center"/>
    </xf>
    <xf numFmtId="1" fontId="6" fillId="0" borderId="54" xfId="0" applyNumberFormat="1" applyFont="1" applyBorder="1" applyAlignment="1">
      <alignment horizontal="center"/>
    </xf>
    <xf numFmtId="0" fontId="109" fillId="25" borderId="91" xfId="9" applyFont="1" applyFill="1" applyBorder="1" applyAlignment="1">
      <alignment horizontal="left" vertical="center"/>
    </xf>
    <xf numFmtId="0" fontId="109" fillId="25" borderId="114" xfId="9" applyFont="1" applyFill="1" applyBorder="1" applyAlignment="1">
      <alignment horizontal="left" vertical="center"/>
    </xf>
    <xf numFmtId="0" fontId="109" fillId="25" borderId="115" xfId="9" applyFont="1" applyFill="1" applyBorder="1" applyAlignment="1">
      <alignment horizontal="left" vertical="center"/>
    </xf>
    <xf numFmtId="0" fontId="115" fillId="23" borderId="78" xfId="9" applyFont="1" applyFill="1" applyBorder="1" applyAlignment="1">
      <alignment horizontal="center" vertical="center"/>
    </xf>
    <xf numFmtId="0" fontId="115" fillId="23" borderId="0" xfId="9" applyFont="1" applyFill="1" applyAlignment="1">
      <alignment horizontal="center" vertical="center"/>
    </xf>
    <xf numFmtId="0" fontId="115" fillId="23" borderId="81" xfId="9" applyFont="1" applyFill="1" applyBorder="1" applyAlignment="1">
      <alignment horizontal="center" vertical="center"/>
    </xf>
    <xf numFmtId="0" fontId="115" fillId="23" borderId="82" xfId="9" applyFont="1" applyFill="1" applyBorder="1" applyAlignment="1">
      <alignment horizontal="center" vertical="center"/>
    </xf>
    <xf numFmtId="0" fontId="111" fillId="25" borderId="118" xfId="9" applyFont="1" applyFill="1" applyBorder="1" applyAlignment="1">
      <alignment horizontal="center" vertical="center"/>
    </xf>
    <xf numFmtId="0" fontId="111" fillId="25" borderId="119" xfId="9" applyFont="1" applyFill="1" applyBorder="1" applyAlignment="1">
      <alignment horizontal="center" vertical="center"/>
    </xf>
    <xf numFmtId="165" fontId="0" fillId="22" borderId="90" xfId="0" applyNumberFormat="1" applyFill="1" applyBorder="1" applyAlignment="1" applyProtection="1">
      <alignment horizontal="center"/>
      <protection locked="0"/>
    </xf>
    <xf numFmtId="165" fontId="0" fillId="22" borderId="74" xfId="0" applyNumberFormat="1" applyFill="1" applyBorder="1" applyAlignment="1" applyProtection="1">
      <alignment horizontal="center"/>
      <protection locked="0"/>
    </xf>
    <xf numFmtId="165" fontId="0" fillId="22" borderId="53" xfId="0" applyNumberFormat="1" applyFill="1" applyBorder="1" applyAlignment="1" applyProtection="1">
      <alignment horizontal="center"/>
      <protection locked="0"/>
    </xf>
    <xf numFmtId="165" fontId="0" fillId="22" borderId="84" xfId="0" applyNumberFormat="1" applyFill="1" applyBorder="1" applyAlignment="1" applyProtection="1">
      <alignment horizontal="center"/>
      <protection locked="0"/>
    </xf>
    <xf numFmtId="165" fontId="0" fillId="22" borderId="47" xfId="0" applyNumberFormat="1" applyFill="1" applyBorder="1" applyAlignment="1" applyProtection="1">
      <alignment horizontal="center"/>
      <protection locked="0"/>
    </xf>
    <xf numFmtId="165" fontId="0" fillId="22" borderId="68" xfId="0" applyNumberFormat="1" applyFill="1" applyBorder="1" applyAlignment="1" applyProtection="1">
      <alignment horizontal="center"/>
      <protection locked="0"/>
    </xf>
    <xf numFmtId="165" fontId="0" fillId="22" borderId="54" xfId="0" applyNumberFormat="1" applyFill="1" applyBorder="1" applyAlignment="1" applyProtection="1">
      <alignment horizontal="center"/>
      <protection locked="0"/>
    </xf>
    <xf numFmtId="165" fontId="0" fillId="22" borderId="69" xfId="0" applyNumberFormat="1" applyFill="1" applyBorder="1" applyAlignment="1" applyProtection="1">
      <alignment horizontal="center"/>
      <protection locked="0"/>
    </xf>
    <xf numFmtId="0" fontId="6" fillId="0" borderId="65" xfId="0" applyFont="1" applyBorder="1" applyAlignment="1">
      <alignment horizontal="center"/>
    </xf>
    <xf numFmtId="0" fontId="6" fillId="0" borderId="5" xfId="0" applyFont="1" applyBorder="1" applyAlignment="1">
      <alignment horizontal="center"/>
    </xf>
    <xf numFmtId="0" fontId="6" fillId="0" borderId="11" xfId="0" applyFont="1" applyBorder="1" applyAlignment="1">
      <alignment horizontal="center"/>
    </xf>
    <xf numFmtId="0" fontId="12" fillId="0" borderId="24" xfId="0" applyFont="1" applyBorder="1" applyAlignment="1">
      <alignment horizontal="center"/>
    </xf>
    <xf numFmtId="0" fontId="6" fillId="0" borderId="34" xfId="0" applyFont="1" applyBorder="1" applyAlignment="1">
      <alignment horizontal="left"/>
    </xf>
    <xf numFmtId="0" fontId="6" fillId="0" borderId="11" xfId="0" applyFont="1" applyBorder="1" applyAlignment="1">
      <alignment horizontal="left"/>
    </xf>
    <xf numFmtId="0" fontId="6" fillId="0" borderId="5" xfId="0" applyFont="1" applyBorder="1" applyAlignment="1">
      <alignment horizontal="left"/>
    </xf>
    <xf numFmtId="0" fontId="6" fillId="0" borderId="36" xfId="0" applyFont="1" applyBorder="1" applyAlignment="1">
      <alignment horizontal="left"/>
    </xf>
    <xf numFmtId="0" fontId="6" fillId="0" borderId="47" xfId="0" applyFont="1" applyBorder="1" applyAlignment="1">
      <alignment horizontal="left"/>
    </xf>
    <xf numFmtId="0" fontId="6" fillId="0" borderId="69" xfId="0" applyFont="1" applyBorder="1" applyAlignment="1">
      <alignment horizontal="left"/>
    </xf>
    <xf numFmtId="18" fontId="6" fillId="0" borderId="84" xfId="0" applyNumberFormat="1" applyFont="1" applyBorder="1" applyAlignment="1">
      <alignment horizontal="center"/>
    </xf>
    <xf numFmtId="18" fontId="6" fillId="0" borderId="69" xfId="0" applyNumberFormat="1" applyFont="1" applyBorder="1" applyAlignment="1">
      <alignment horizontal="center"/>
    </xf>
    <xf numFmtId="0" fontId="6" fillId="0" borderId="84" xfId="0" applyFont="1" applyBorder="1" applyAlignment="1">
      <alignment horizontal="center"/>
    </xf>
    <xf numFmtId="0" fontId="6" fillId="0" borderId="16" xfId="7" applyFont="1" applyBorder="1" applyAlignment="1">
      <alignment horizontal="center"/>
    </xf>
    <xf numFmtId="0" fontId="6" fillId="0" borderId="18" xfId="7" applyFont="1" applyBorder="1" applyAlignment="1">
      <alignment horizontal="center"/>
    </xf>
    <xf numFmtId="0" fontId="6" fillId="0" borderId="34" xfId="7" applyFont="1" applyBorder="1" applyAlignment="1">
      <alignment horizontal="center"/>
    </xf>
    <xf numFmtId="0" fontId="6" fillId="0" borderId="11" xfId="7" applyFont="1" applyBorder="1" applyAlignment="1">
      <alignment horizontal="center"/>
    </xf>
    <xf numFmtId="0" fontId="6" fillId="0" borderId="5" xfId="7" applyFont="1" applyBorder="1" applyAlignment="1">
      <alignment horizontal="center"/>
    </xf>
    <xf numFmtId="0" fontId="6" fillId="0" borderId="36" xfId="7" applyFont="1" applyBorder="1" applyAlignment="1">
      <alignment horizontal="center"/>
    </xf>
    <xf numFmtId="0" fontId="6" fillId="0" borderId="47" xfId="7" applyFont="1" applyBorder="1" applyAlignment="1">
      <alignment horizontal="center"/>
    </xf>
    <xf numFmtId="0" fontId="6" fillId="0" borderId="69" xfId="7" applyFont="1" applyBorder="1" applyAlignment="1">
      <alignment horizontal="center"/>
    </xf>
    <xf numFmtId="0" fontId="6" fillId="0" borderId="101" xfId="7" applyFont="1" applyBorder="1" applyAlignment="1">
      <alignment horizontal="center"/>
    </xf>
    <xf numFmtId="0" fontId="6" fillId="0" borderId="74" xfId="7" applyFont="1" applyBorder="1" applyAlignment="1">
      <alignment horizontal="center"/>
    </xf>
    <xf numFmtId="0" fontId="6" fillId="0" borderId="53" xfId="7" applyFont="1" applyBorder="1" applyAlignment="1">
      <alignment horizontal="center"/>
    </xf>
    <xf numFmtId="18" fontId="6" fillId="0" borderId="90" xfId="0" applyNumberFormat="1" applyFont="1" applyBorder="1" applyAlignment="1">
      <alignment horizontal="center"/>
    </xf>
    <xf numFmtId="18" fontId="6" fillId="0" borderId="53" xfId="0" applyNumberFormat="1" applyFont="1" applyBorder="1" applyAlignment="1">
      <alignment horizontal="center"/>
    </xf>
    <xf numFmtId="0" fontId="6" fillId="0" borderId="90" xfId="0" applyFont="1" applyBorder="1" applyAlignment="1">
      <alignment horizontal="center"/>
    </xf>
    <xf numFmtId="165" fontId="0" fillId="22" borderId="65" xfId="0" applyNumberFormat="1" applyFill="1" applyBorder="1" applyAlignment="1" applyProtection="1">
      <alignment horizontal="center"/>
      <protection locked="0"/>
    </xf>
    <xf numFmtId="165" fontId="0" fillId="22" borderId="11" xfId="0" applyNumberFormat="1" applyFill="1" applyBorder="1" applyAlignment="1" applyProtection="1">
      <alignment horizontal="center"/>
      <protection locked="0"/>
    </xf>
    <xf numFmtId="165" fontId="0" fillId="22" borderId="5" xfId="0" applyNumberFormat="1" applyFill="1" applyBorder="1" applyAlignment="1" applyProtection="1">
      <alignment horizontal="center"/>
      <protection locked="0"/>
    </xf>
    <xf numFmtId="0" fontId="0" fillId="22" borderId="84" xfId="0" applyFill="1" applyBorder="1" applyAlignment="1" applyProtection="1">
      <alignment horizontal="center"/>
      <protection locked="0"/>
    </xf>
    <xf numFmtId="0" fontId="0" fillId="22" borderId="47" xfId="0" applyFill="1" applyBorder="1" applyAlignment="1" applyProtection="1">
      <alignment horizontal="center"/>
      <protection locked="0"/>
    </xf>
    <xf numFmtId="0" fontId="0" fillId="22" borderId="69" xfId="0" applyFill="1" applyBorder="1" applyAlignment="1" applyProtection="1">
      <alignment horizontal="center"/>
      <protection locked="0"/>
    </xf>
    <xf numFmtId="0" fontId="0" fillId="22" borderId="90" xfId="0" applyFill="1" applyBorder="1" applyAlignment="1" applyProtection="1">
      <alignment horizontal="center"/>
      <protection locked="0"/>
    </xf>
    <xf numFmtId="0" fontId="0" fillId="22" borderId="74" xfId="0" applyFill="1" applyBorder="1" applyAlignment="1" applyProtection="1">
      <alignment horizontal="center"/>
      <protection locked="0"/>
    </xf>
    <xf numFmtId="0" fontId="0" fillId="22" borderId="53" xfId="0" applyFill="1" applyBorder="1" applyAlignment="1" applyProtection="1">
      <alignment horizontal="center"/>
      <protection locked="0"/>
    </xf>
    <xf numFmtId="165" fontId="0" fillId="22" borderId="35" xfId="0" applyNumberFormat="1" applyFill="1" applyBorder="1" applyAlignment="1" applyProtection="1">
      <alignment horizontal="center"/>
      <protection locked="0"/>
    </xf>
    <xf numFmtId="0" fontId="0" fillId="22" borderId="68" xfId="0" applyFill="1" applyBorder="1" applyAlignment="1" applyProtection="1">
      <alignment horizontal="center"/>
      <protection locked="0"/>
    </xf>
    <xf numFmtId="0" fontId="0" fillId="22" borderId="54" xfId="0" applyFill="1" applyBorder="1" applyAlignment="1" applyProtection="1">
      <alignment horizontal="center"/>
      <protection locked="0"/>
    </xf>
    <xf numFmtId="0" fontId="6" fillId="8" borderId="36" xfId="8" applyFont="1" applyFill="1" applyBorder="1" applyAlignment="1">
      <alignment horizontal="center" vertical="top"/>
    </xf>
    <xf numFmtId="0" fontId="6" fillId="8" borderId="47" xfId="8" applyFont="1" applyFill="1" applyBorder="1" applyAlignment="1">
      <alignment horizontal="center" vertical="top"/>
    </xf>
    <xf numFmtId="0" fontId="6" fillId="8" borderId="111" xfId="8" applyFont="1" applyFill="1" applyBorder="1" applyAlignment="1">
      <alignment horizontal="center" vertical="top"/>
    </xf>
    <xf numFmtId="0" fontId="16" fillId="8" borderId="102" xfId="0" applyFont="1" applyFill="1" applyBorder="1" applyAlignment="1">
      <alignment horizontal="center" vertical="top"/>
    </xf>
    <xf numFmtId="0" fontId="16" fillId="8" borderId="68" xfId="0" applyFont="1" applyFill="1" applyBorder="1" applyAlignment="1">
      <alignment horizontal="center" vertical="top"/>
    </xf>
    <xf numFmtId="0" fontId="12" fillId="8" borderId="109" xfId="0" applyFont="1" applyFill="1" applyBorder="1" applyAlignment="1">
      <alignment horizontal="center" vertical="top"/>
    </xf>
    <xf numFmtId="0" fontId="12" fillId="8" borderId="18" xfId="0" applyFont="1" applyFill="1" applyBorder="1" applyAlignment="1">
      <alignment horizontal="center" vertical="top"/>
    </xf>
    <xf numFmtId="0" fontId="6" fillId="8" borderId="101" xfId="8" applyFont="1" applyFill="1" applyBorder="1" applyAlignment="1">
      <alignment horizontal="center" vertical="top"/>
    </xf>
    <xf numFmtId="0" fontId="6" fillId="8" borderId="74" xfId="8" applyFont="1" applyFill="1" applyBorder="1" applyAlignment="1">
      <alignment horizontal="center" vertical="top"/>
    </xf>
    <xf numFmtId="0" fontId="6" fillId="8" borderId="110" xfId="8" applyFont="1" applyFill="1" applyBorder="1" applyAlignment="1">
      <alignment horizontal="center" vertical="top"/>
    </xf>
    <xf numFmtId="0" fontId="6" fillId="8" borderId="36" xfId="0" applyFont="1" applyFill="1" applyBorder="1" applyAlignment="1">
      <alignment horizontal="center" vertical="top"/>
    </xf>
    <xf numFmtId="0" fontId="6" fillId="8" borderId="47" xfId="0" applyFont="1" applyFill="1" applyBorder="1" applyAlignment="1">
      <alignment horizontal="center" vertical="top"/>
    </xf>
    <xf numFmtId="0" fontId="6" fillId="8" borderId="111" xfId="0" applyFont="1" applyFill="1" applyBorder="1" applyAlignment="1">
      <alignment horizontal="center" vertical="top"/>
    </xf>
    <xf numFmtId="12" fontId="6" fillId="8" borderId="36" xfId="8" applyNumberFormat="1" applyFont="1" applyFill="1" applyBorder="1" applyAlignment="1">
      <alignment horizontal="center" vertical="top"/>
    </xf>
    <xf numFmtId="12" fontId="6" fillId="8" borderId="47" xfId="8" applyNumberFormat="1" applyFont="1" applyFill="1" applyBorder="1" applyAlignment="1">
      <alignment horizontal="center" vertical="top"/>
    </xf>
    <xf numFmtId="12" fontId="6" fillId="8" borderId="111" xfId="8" applyNumberFormat="1" applyFont="1" applyFill="1" applyBorder="1" applyAlignment="1">
      <alignment horizontal="center" vertical="top"/>
    </xf>
    <xf numFmtId="0" fontId="6" fillId="8" borderId="34" xfId="8" applyFont="1" applyFill="1" applyBorder="1" applyAlignment="1">
      <alignment horizontal="center" vertical="top"/>
    </xf>
    <xf numFmtId="0" fontId="6" fillId="8" borderId="11" xfId="8" applyFont="1" applyFill="1" applyBorder="1" applyAlignment="1">
      <alignment horizontal="center" vertical="top"/>
    </xf>
    <xf numFmtId="0" fontId="6" fillId="8" borderId="112" xfId="8" applyFont="1" applyFill="1" applyBorder="1" applyAlignment="1">
      <alignment horizontal="center" vertical="top"/>
    </xf>
    <xf numFmtId="0" fontId="16" fillId="19" borderId="102" xfId="0" applyFont="1" applyFill="1" applyBorder="1" applyAlignment="1">
      <alignment horizontal="center" vertical="top"/>
    </xf>
    <xf numFmtId="0" fontId="16" fillId="19" borderId="68" xfId="0" applyFont="1" applyFill="1" applyBorder="1" applyAlignment="1">
      <alignment horizontal="center" vertical="top"/>
    </xf>
    <xf numFmtId="0" fontId="6" fillId="4" borderId="65" xfId="8" applyFont="1" applyFill="1" applyBorder="1" applyAlignment="1" applyProtection="1">
      <alignment horizontal="center" vertical="top"/>
      <protection locked="0"/>
    </xf>
    <xf numFmtId="0" fontId="6" fillId="4" borderId="11" xfId="8" applyFont="1" applyFill="1" applyBorder="1" applyAlignment="1" applyProtection="1">
      <alignment horizontal="center" vertical="top"/>
      <protection locked="0"/>
    </xf>
    <xf numFmtId="0" fontId="6" fillId="4" borderId="35" xfId="8" applyFont="1" applyFill="1" applyBorder="1" applyAlignment="1" applyProtection="1">
      <alignment horizontal="center" vertical="top"/>
      <protection locked="0"/>
    </xf>
    <xf numFmtId="0" fontId="6" fillId="4" borderId="84" xfId="8" applyFont="1" applyFill="1" applyBorder="1" applyAlignment="1" applyProtection="1">
      <alignment horizontal="center" vertical="top"/>
      <protection locked="0"/>
    </xf>
    <xf numFmtId="0" fontId="6" fillId="4" borderId="47" xfId="8" applyFont="1" applyFill="1" applyBorder="1" applyAlignment="1" applyProtection="1">
      <alignment horizontal="center" vertical="top"/>
      <protection locked="0"/>
    </xf>
    <xf numFmtId="0" fontId="6" fillId="4" borderId="68" xfId="8" applyFont="1" applyFill="1" applyBorder="1" applyAlignment="1" applyProtection="1">
      <alignment horizontal="center" vertical="top"/>
      <protection locked="0"/>
    </xf>
    <xf numFmtId="0" fontId="6" fillId="4" borderId="90" xfId="0" applyFont="1" applyFill="1" applyBorder="1" applyAlignment="1" applyProtection="1">
      <alignment horizontal="center" vertical="top"/>
      <protection locked="0"/>
    </xf>
    <xf numFmtId="0" fontId="6" fillId="4" borderId="53" xfId="0" applyFont="1" applyFill="1" applyBorder="1" applyAlignment="1" applyProtection="1">
      <alignment horizontal="center" vertical="top"/>
      <protection locked="0"/>
    </xf>
    <xf numFmtId="0" fontId="6" fillId="4" borderId="65" xfId="0" applyFont="1" applyFill="1" applyBorder="1" applyAlignment="1" applyProtection="1">
      <alignment horizontal="center" vertical="top"/>
      <protection locked="0"/>
    </xf>
    <xf numFmtId="0" fontId="6" fillId="4" borderId="5" xfId="0" applyFont="1" applyFill="1" applyBorder="1" applyAlignment="1" applyProtection="1">
      <alignment horizontal="center" vertical="top"/>
      <protection locked="0"/>
    </xf>
    <xf numFmtId="0" fontId="6" fillId="4" borderId="84" xfId="0" applyFont="1" applyFill="1" applyBorder="1" applyAlignment="1" applyProtection="1">
      <alignment horizontal="center" vertical="top"/>
      <protection locked="0"/>
    </xf>
    <xf numFmtId="0" fontId="6" fillId="4" borderId="69" xfId="0" applyFont="1" applyFill="1" applyBorder="1" applyAlignment="1" applyProtection="1">
      <alignment horizontal="center" vertical="top"/>
      <protection locked="0"/>
    </xf>
    <xf numFmtId="0" fontId="27" fillId="8" borderId="101" xfId="1" applyFont="1" applyFill="1" applyBorder="1" applyAlignment="1">
      <alignment horizontal="left" vertical="top"/>
    </xf>
    <xf numFmtId="0" fontId="27" fillId="8" borderId="53" xfId="1" applyFont="1" applyFill="1" applyBorder="1" applyAlignment="1">
      <alignment horizontal="left" vertical="top"/>
    </xf>
    <xf numFmtId="0" fontId="16" fillId="4" borderId="36" xfId="0" applyFont="1" applyFill="1" applyBorder="1" applyAlignment="1" applyProtection="1">
      <alignment horizontal="center" vertical="top"/>
      <protection locked="0"/>
    </xf>
    <xf numFmtId="0" fontId="16" fillId="4" borderId="47" xfId="0" applyFont="1" applyFill="1" applyBorder="1" applyAlignment="1" applyProtection="1">
      <alignment horizontal="center" vertical="top"/>
      <protection locked="0"/>
    </xf>
    <xf numFmtId="0" fontId="16" fillId="4" borderId="69" xfId="0" applyFont="1" applyFill="1" applyBorder="1" applyAlignment="1" applyProtection="1">
      <alignment horizontal="center" vertical="top"/>
      <protection locked="0"/>
    </xf>
    <xf numFmtId="0" fontId="12" fillId="8" borderId="22" xfId="8" applyFont="1" applyFill="1" applyBorder="1" applyAlignment="1">
      <alignment horizontal="center" vertical="top"/>
    </xf>
    <xf numFmtId="0" fontId="12" fillId="8" borderId="24" xfId="8" applyFont="1" applyFill="1" applyBorder="1" applyAlignment="1">
      <alignment horizontal="center" vertical="top"/>
    </xf>
    <xf numFmtId="0" fontId="12" fillId="8" borderId="18" xfId="8" applyFont="1" applyFill="1" applyBorder="1" applyAlignment="1">
      <alignment horizontal="center" vertical="top"/>
    </xf>
    <xf numFmtId="0" fontId="12" fillId="8" borderId="23" xfId="8" applyFont="1" applyFill="1" applyBorder="1" applyAlignment="1">
      <alignment horizontal="center" vertical="top"/>
    </xf>
    <xf numFmtId="0" fontId="12" fillId="8" borderId="16" xfId="8" quotePrefix="1" applyFont="1" applyFill="1" applyBorder="1" applyAlignment="1">
      <alignment horizontal="center" vertical="top"/>
    </xf>
    <xf numFmtId="0" fontId="5" fillId="8" borderId="22" xfId="1" applyFont="1" applyFill="1" applyBorder="1" applyAlignment="1">
      <alignment horizontal="center" vertical="top"/>
    </xf>
    <xf numFmtId="0" fontId="5" fillId="8" borderId="24" xfId="1" applyFont="1" applyFill="1" applyBorder="1" applyAlignment="1">
      <alignment horizontal="center" vertical="top"/>
    </xf>
    <xf numFmtId="0" fontId="5" fillId="8" borderId="18" xfId="1" applyFont="1" applyFill="1" applyBorder="1" applyAlignment="1">
      <alignment horizontal="center" vertical="top"/>
    </xf>
    <xf numFmtId="0" fontId="27" fillId="8" borderId="34" xfId="1" applyFont="1" applyFill="1" applyBorder="1" applyAlignment="1">
      <alignment horizontal="left" vertical="top"/>
    </xf>
    <xf numFmtId="0" fontId="27" fillId="8" borderId="5" xfId="1" applyFont="1" applyFill="1" applyBorder="1" applyAlignment="1">
      <alignment horizontal="left" vertical="top"/>
    </xf>
    <xf numFmtId="0" fontId="27" fillId="8" borderId="36" xfId="1" applyFont="1" applyFill="1" applyBorder="1" applyAlignment="1">
      <alignment horizontal="left" vertical="top"/>
    </xf>
    <xf numFmtId="0" fontId="27" fillId="8" borderId="69" xfId="1" applyFont="1" applyFill="1" applyBorder="1" applyAlignment="1">
      <alignment horizontal="left" vertical="top"/>
    </xf>
    <xf numFmtId="0" fontId="27" fillId="8" borderId="34" xfId="8" applyFont="1" applyFill="1" applyBorder="1" applyAlignment="1">
      <alignment horizontal="left" vertical="top"/>
    </xf>
    <xf numFmtId="0" fontId="27" fillId="8" borderId="5" xfId="8" applyFont="1" applyFill="1" applyBorder="1" applyAlignment="1">
      <alignment horizontal="left" vertical="top"/>
    </xf>
    <xf numFmtId="0" fontId="16" fillId="4" borderId="34" xfId="0" applyFont="1" applyFill="1" applyBorder="1" applyAlignment="1" applyProtection="1">
      <alignment horizontal="center" vertical="top"/>
      <protection locked="0"/>
    </xf>
    <xf numFmtId="0" fontId="16" fillId="4" borderId="11" xfId="0" applyFont="1" applyFill="1" applyBorder="1" applyAlignment="1" applyProtection="1">
      <alignment horizontal="center" vertical="top"/>
      <protection locked="0"/>
    </xf>
    <xf numFmtId="0" fontId="16" fillId="4" borderId="5" xfId="0" applyFont="1" applyFill="1" applyBorder="1" applyAlignment="1" applyProtection="1">
      <alignment horizontal="center" vertical="top"/>
      <protection locked="0"/>
    </xf>
    <xf numFmtId="0" fontId="6" fillId="4" borderId="34" xfId="0" applyFont="1" applyFill="1" applyBorder="1" applyAlignment="1" applyProtection="1">
      <alignment horizontal="center" vertical="top"/>
      <protection locked="0"/>
    </xf>
    <xf numFmtId="0" fontId="6" fillId="4" borderId="36" xfId="0" applyFont="1" applyFill="1" applyBorder="1" applyAlignment="1" applyProtection="1">
      <alignment horizontal="center" vertical="top"/>
      <protection locked="0"/>
    </xf>
    <xf numFmtId="0" fontId="6" fillId="4" borderId="90" xfId="8" applyFont="1" applyFill="1" applyBorder="1" applyAlignment="1" applyProtection="1">
      <alignment horizontal="center" vertical="top"/>
      <protection locked="0"/>
    </xf>
    <xf numFmtId="0" fontId="6" fillId="4" borderId="74" xfId="8" applyFont="1" applyFill="1" applyBorder="1" applyAlignment="1" applyProtection="1">
      <alignment horizontal="center" vertical="top"/>
      <protection locked="0"/>
    </xf>
    <xf numFmtId="0" fontId="6" fillId="4" borderId="54" xfId="8" applyFont="1" applyFill="1" applyBorder="1" applyAlignment="1" applyProtection="1">
      <alignment horizontal="center" vertical="top"/>
      <protection locked="0"/>
    </xf>
    <xf numFmtId="0" fontId="16" fillId="4" borderId="101" xfId="0" applyFont="1" applyFill="1" applyBorder="1" applyAlignment="1" applyProtection="1">
      <alignment horizontal="center" vertical="top"/>
      <protection locked="0"/>
    </xf>
    <xf numFmtId="0" fontId="16" fillId="4" borderId="74" xfId="0" applyFont="1" applyFill="1" applyBorder="1" applyAlignment="1" applyProtection="1">
      <alignment horizontal="center" vertical="top"/>
      <protection locked="0"/>
    </xf>
    <xf numFmtId="0" fontId="16" fillId="4" borderId="53" xfId="0" applyFont="1" applyFill="1" applyBorder="1" applyAlignment="1" applyProtection="1">
      <alignment horizontal="center" vertical="top"/>
      <protection locked="0"/>
    </xf>
    <xf numFmtId="0" fontId="6" fillId="8" borderId="37" xfId="0" applyFont="1" applyFill="1" applyBorder="1" applyAlignment="1">
      <alignment horizontal="left" vertical="top" wrapText="1"/>
    </xf>
    <xf numFmtId="0" fontId="6" fillId="8" borderId="25" xfId="0" applyFont="1" applyFill="1" applyBorder="1" applyAlignment="1">
      <alignment horizontal="left" vertical="top" wrapText="1"/>
    </xf>
    <xf numFmtId="0" fontId="6" fillId="4" borderId="69" xfId="8" applyFont="1" applyFill="1" applyBorder="1" applyAlignment="1" applyProtection="1">
      <alignment horizontal="center" vertical="top"/>
      <protection locked="0"/>
    </xf>
    <xf numFmtId="0" fontId="12" fillId="8" borderId="16" xfId="0" applyFont="1" applyFill="1" applyBorder="1" applyAlignment="1">
      <alignment horizontal="center" vertical="top"/>
    </xf>
    <xf numFmtId="0" fontId="12" fillId="8" borderId="23" xfId="0" applyFont="1" applyFill="1" applyBorder="1" applyAlignment="1">
      <alignment horizontal="center" vertical="top"/>
    </xf>
    <xf numFmtId="0" fontId="12" fillId="8" borderId="22" xfId="0" applyFont="1" applyFill="1" applyBorder="1" applyAlignment="1">
      <alignment horizontal="center" vertical="top"/>
    </xf>
    <xf numFmtId="0" fontId="6" fillId="4" borderId="5" xfId="8" applyFont="1" applyFill="1" applyBorder="1" applyAlignment="1" applyProtection="1">
      <alignment horizontal="center" vertical="top"/>
      <protection locked="0"/>
    </xf>
    <xf numFmtId="0" fontId="6" fillId="8" borderId="8" xfId="0" applyFont="1" applyFill="1" applyBorder="1" applyAlignment="1">
      <alignment horizontal="left" vertical="top" wrapText="1"/>
    </xf>
    <xf numFmtId="0" fontId="6" fillId="8" borderId="2" xfId="0" applyFont="1" applyFill="1" applyBorder="1" applyAlignment="1">
      <alignment horizontal="left" vertical="top" wrapText="1"/>
    </xf>
    <xf numFmtId="0" fontId="6" fillId="8" borderId="36" xfId="7" applyFont="1" applyFill="1" applyBorder="1" applyAlignment="1">
      <alignment horizontal="left" vertical="top"/>
    </xf>
    <xf numFmtId="0" fontId="6" fillId="8" borderId="69" xfId="7" applyFont="1" applyFill="1" applyBorder="1" applyAlignment="1">
      <alignment horizontal="left" vertical="top"/>
    </xf>
    <xf numFmtId="0" fontId="6" fillId="4" borderId="101" xfId="0" applyFont="1" applyFill="1" applyBorder="1" applyAlignment="1" applyProtection="1">
      <alignment horizontal="center" vertical="top"/>
      <protection locked="0"/>
    </xf>
    <xf numFmtId="0" fontId="6" fillId="4" borderId="53" xfId="8" applyFont="1" applyFill="1" applyBorder="1" applyAlignment="1" applyProtection="1">
      <alignment horizontal="center" vertical="top"/>
      <protection locked="0"/>
    </xf>
    <xf numFmtId="0" fontId="6" fillId="4" borderId="12" xfId="0" applyFont="1" applyFill="1" applyBorder="1" applyAlignment="1" applyProtection="1">
      <alignment horizontal="center" vertical="top" wrapText="1"/>
      <protection locked="0"/>
    </xf>
    <xf numFmtId="0" fontId="6" fillId="4" borderId="9" xfId="0" applyFont="1" applyFill="1" applyBorder="1" applyAlignment="1" applyProtection="1">
      <alignment horizontal="center" vertical="top" wrapText="1"/>
      <protection locked="0"/>
    </xf>
    <xf numFmtId="0" fontId="6" fillId="4" borderId="14" xfId="0" applyFont="1" applyFill="1" applyBorder="1" applyAlignment="1" applyProtection="1">
      <alignment horizontal="center" vertical="top" wrapText="1"/>
      <protection locked="0"/>
    </xf>
    <xf numFmtId="0" fontId="6" fillId="4" borderId="10" xfId="0" applyFont="1" applyFill="1" applyBorder="1" applyAlignment="1" applyProtection="1">
      <alignment horizontal="center" vertical="top" wrapText="1"/>
      <protection locked="0"/>
    </xf>
    <xf numFmtId="0" fontId="25" fillId="8" borderId="22" xfId="8" applyFont="1" applyFill="1" applyBorder="1" applyAlignment="1">
      <alignment horizontal="center" vertical="top"/>
    </xf>
    <xf numFmtId="0" fontId="25" fillId="8" borderId="24" xfId="8" applyFont="1" applyFill="1" applyBorder="1" applyAlignment="1">
      <alignment horizontal="center" vertical="top"/>
    </xf>
    <xf numFmtId="0" fontId="12" fillId="8" borderId="22" xfId="7" applyFont="1" applyFill="1" applyBorder="1" applyAlignment="1">
      <alignment horizontal="left" vertical="top"/>
    </xf>
    <xf numFmtId="0" fontId="12" fillId="8" borderId="24" xfId="7" applyFont="1" applyFill="1" applyBorder="1" applyAlignment="1">
      <alignment horizontal="left" vertical="top"/>
    </xf>
    <xf numFmtId="0" fontId="6" fillId="8" borderId="101" xfId="7" applyFont="1" applyFill="1" applyBorder="1" applyAlignment="1">
      <alignment horizontal="left" vertical="top"/>
    </xf>
    <xf numFmtId="0" fontId="6" fillId="8" borderId="53" xfId="7" applyFont="1" applyFill="1" applyBorder="1" applyAlignment="1">
      <alignment horizontal="left" vertical="top"/>
    </xf>
    <xf numFmtId="0" fontId="6" fillId="8" borderId="34" xfId="7" applyFont="1" applyFill="1" applyBorder="1" applyAlignment="1">
      <alignment horizontal="center" vertical="top"/>
    </xf>
    <xf numFmtId="0" fontId="6" fillId="8" borderId="35" xfId="7" applyFont="1" applyFill="1" applyBorder="1" applyAlignment="1">
      <alignment horizontal="center" vertical="top"/>
    </xf>
    <xf numFmtId="0" fontId="6" fillId="4" borderId="101" xfId="7" applyFont="1" applyFill="1" applyBorder="1" applyAlignment="1" applyProtection="1">
      <alignment horizontal="center" vertical="top"/>
      <protection locked="0"/>
    </xf>
    <xf numFmtId="0" fontId="6" fillId="4" borderId="54" xfId="7" applyFont="1" applyFill="1" applyBorder="1" applyAlignment="1" applyProtection="1">
      <alignment horizontal="center" vertical="top"/>
      <protection locked="0"/>
    </xf>
    <xf numFmtId="0" fontId="6" fillId="8" borderId="34" xfId="7" applyFont="1" applyFill="1" applyBorder="1" applyAlignment="1">
      <alignment horizontal="left" vertical="top"/>
    </xf>
    <xf numFmtId="0" fontId="6" fillId="8" borderId="5" xfId="7" applyFont="1" applyFill="1" applyBorder="1" applyAlignment="1">
      <alignment horizontal="left" vertical="top"/>
    </xf>
    <xf numFmtId="0" fontId="6" fillId="8" borderId="11" xfId="7" applyFont="1" applyFill="1" applyBorder="1" applyAlignment="1">
      <alignment horizontal="center" vertical="top"/>
    </xf>
    <xf numFmtId="0" fontId="6" fillId="4" borderId="74" xfId="7" applyFont="1" applyFill="1" applyBorder="1" applyAlignment="1" applyProtection="1">
      <alignment horizontal="center" vertical="top"/>
      <protection locked="0"/>
    </xf>
    <xf numFmtId="0" fontId="12" fillId="8" borderId="16" xfId="8" applyFont="1" applyFill="1" applyBorder="1" applyAlignment="1">
      <alignment horizontal="center" vertical="top"/>
    </xf>
    <xf numFmtId="0" fontId="12" fillId="8" borderId="24" xfId="0" applyFont="1" applyFill="1" applyBorder="1" applyAlignment="1">
      <alignment horizontal="center" vertical="top"/>
    </xf>
    <xf numFmtId="0" fontId="12" fillId="8" borderId="60" xfId="8" applyFont="1" applyFill="1" applyBorder="1" applyAlignment="1">
      <alignment horizontal="center" vertical="top"/>
    </xf>
    <xf numFmtId="0" fontId="12" fillId="8" borderId="61" xfId="8" applyFont="1" applyFill="1" applyBorder="1" applyAlignment="1">
      <alignment horizontal="center" vertical="top"/>
    </xf>
    <xf numFmtId="0" fontId="12" fillId="8" borderId="62" xfId="8" applyFont="1" applyFill="1" applyBorder="1" applyAlignment="1">
      <alignment horizontal="center" vertical="top"/>
    </xf>
    <xf numFmtId="0" fontId="12" fillId="8" borderId="105" xfId="8" applyFont="1" applyFill="1" applyBorder="1" applyAlignment="1" applyProtection="1">
      <alignment horizontal="center" vertical="top"/>
      <protection locked="0"/>
    </xf>
    <xf numFmtId="0" fontId="12" fillId="8" borderId="106" xfId="8" applyFont="1" applyFill="1" applyBorder="1" applyAlignment="1" applyProtection="1">
      <alignment horizontal="center" vertical="top"/>
      <protection locked="0"/>
    </xf>
    <xf numFmtId="0" fontId="12" fillId="8" borderId="107" xfId="8" applyFont="1" applyFill="1" applyBorder="1" applyAlignment="1" applyProtection="1">
      <alignment horizontal="center" vertical="top"/>
      <protection locked="0"/>
    </xf>
    <xf numFmtId="0" fontId="6" fillId="8" borderId="29" xfId="0" applyFont="1" applyFill="1" applyBorder="1" applyAlignment="1">
      <alignment horizontal="left" vertical="top" wrapText="1"/>
    </xf>
    <xf numFmtId="0" fontId="6" fillId="8" borderId="72" xfId="0" applyFont="1" applyFill="1" applyBorder="1" applyAlignment="1">
      <alignment horizontal="left" vertical="top" wrapText="1"/>
    </xf>
    <xf numFmtId="0" fontId="6" fillId="4" borderId="101" xfId="8" applyFont="1" applyFill="1" applyBorder="1" applyAlignment="1" applyProtection="1">
      <alignment horizontal="center" vertical="top"/>
      <protection locked="0"/>
    </xf>
    <xf numFmtId="0" fontId="6" fillId="4" borderId="47" xfId="0" applyFont="1" applyFill="1" applyBorder="1" applyAlignment="1" applyProtection="1">
      <alignment horizontal="center" vertical="top"/>
      <protection locked="0"/>
    </xf>
    <xf numFmtId="0" fontId="6" fillId="4" borderId="68" xfId="0" applyFont="1" applyFill="1" applyBorder="1" applyAlignment="1" applyProtection="1">
      <alignment horizontal="center" vertical="top"/>
      <protection locked="0"/>
    </xf>
    <xf numFmtId="0" fontId="6" fillId="8" borderId="69" xfId="8" applyFont="1" applyFill="1" applyBorder="1" applyAlignment="1">
      <alignment horizontal="center" vertical="top"/>
    </xf>
    <xf numFmtId="0" fontId="6" fillId="8" borderId="22" xfId="0" quotePrefix="1" applyFont="1" applyFill="1" applyBorder="1" applyAlignment="1">
      <alignment horizontal="center" vertical="top"/>
    </xf>
    <xf numFmtId="0" fontId="6" fillId="8" borderId="23" xfId="0" quotePrefix="1" applyFont="1" applyFill="1" applyBorder="1" applyAlignment="1">
      <alignment horizontal="center" vertical="top"/>
    </xf>
    <xf numFmtId="0" fontId="6" fillId="8" borderId="22" xfId="0" applyFont="1" applyFill="1" applyBorder="1" applyAlignment="1">
      <alignment horizontal="center" vertical="top"/>
    </xf>
    <xf numFmtId="0" fontId="6" fillId="8" borderId="23" xfId="0" applyFont="1" applyFill="1" applyBorder="1" applyAlignment="1">
      <alignment horizontal="center" vertical="top"/>
    </xf>
    <xf numFmtId="1" fontId="6" fillId="8" borderId="84" xfId="8" applyNumberFormat="1" applyFont="1" applyFill="1" applyBorder="1" applyAlignment="1" applyProtection="1">
      <alignment horizontal="center" vertical="top"/>
      <protection locked="0"/>
    </xf>
    <xf numFmtId="1" fontId="6" fillId="8" borderId="47" xfId="8" applyNumberFormat="1" applyFont="1" applyFill="1" applyBorder="1" applyAlignment="1" applyProtection="1">
      <alignment horizontal="center" vertical="top"/>
      <protection locked="0"/>
    </xf>
    <xf numFmtId="1" fontId="6" fillId="8" borderId="68" xfId="8" applyNumberFormat="1" applyFont="1" applyFill="1" applyBorder="1" applyAlignment="1" applyProtection="1">
      <alignment horizontal="center" vertical="top"/>
      <protection locked="0"/>
    </xf>
    <xf numFmtId="0" fontId="36" fillId="8" borderId="84" xfId="2" applyFont="1" applyFill="1" applyBorder="1" applyAlignment="1">
      <alignment horizontal="center" vertical="top"/>
    </xf>
    <xf numFmtId="0" fontId="36" fillId="8" borderId="47" xfId="2" applyFont="1" applyFill="1" applyBorder="1" applyAlignment="1">
      <alignment horizontal="center" vertical="top"/>
    </xf>
    <xf numFmtId="0" fontId="36" fillId="8" borderId="68" xfId="2" applyFont="1" applyFill="1" applyBorder="1" applyAlignment="1">
      <alignment horizontal="center" vertical="top"/>
    </xf>
    <xf numFmtId="0" fontId="16" fillId="8" borderId="108" xfId="0" applyFont="1" applyFill="1" applyBorder="1" applyAlignment="1">
      <alignment horizontal="center" vertical="top"/>
    </xf>
    <xf numFmtId="0" fontId="16" fillId="8" borderId="35" xfId="0" applyFont="1" applyFill="1" applyBorder="1" applyAlignment="1">
      <alignment horizontal="center" vertical="top"/>
    </xf>
    <xf numFmtId="0" fontId="6" fillId="8" borderId="84" xfId="8" applyFont="1" applyFill="1" applyBorder="1" applyAlignment="1">
      <alignment horizontal="center" vertical="top"/>
    </xf>
    <xf numFmtId="0" fontId="6" fillId="8" borderId="68" xfId="8" applyFont="1" applyFill="1" applyBorder="1" applyAlignment="1">
      <alignment horizontal="center" vertical="top"/>
    </xf>
    <xf numFmtId="0" fontId="12" fillId="8" borderId="101" xfId="0" applyFont="1" applyFill="1" applyBorder="1" applyAlignment="1">
      <alignment horizontal="center" vertical="top"/>
    </xf>
    <xf numFmtId="0" fontId="12" fillId="8" borderId="74" xfId="0" applyFont="1" applyFill="1" applyBorder="1" applyAlignment="1">
      <alignment horizontal="center" vertical="top"/>
    </xf>
    <xf numFmtId="0" fontId="12" fillId="8" borderId="54" xfId="0" applyFont="1" applyFill="1" applyBorder="1" applyAlignment="1">
      <alignment horizontal="center" vertical="top"/>
    </xf>
    <xf numFmtId="0" fontId="25" fillId="8" borderId="22" xfId="0" applyFont="1" applyFill="1" applyBorder="1" applyAlignment="1">
      <alignment horizontal="center" vertical="top"/>
    </xf>
    <xf numFmtId="0" fontId="25" fillId="8" borderId="24" xfId="0" applyFont="1" applyFill="1" applyBorder="1" applyAlignment="1">
      <alignment horizontal="center" vertical="top"/>
    </xf>
    <xf numFmtId="0" fontId="25" fillId="8" borderId="18" xfId="0" applyFont="1" applyFill="1" applyBorder="1" applyAlignment="1">
      <alignment horizontal="center" vertical="top"/>
    </xf>
    <xf numFmtId="0" fontId="57" fillId="9" borderId="113" xfId="0" quotePrefix="1" applyFont="1" applyFill="1" applyBorder="1" applyAlignment="1">
      <alignment horizontal="center" vertical="center" wrapText="1"/>
    </xf>
    <xf numFmtId="0" fontId="0" fillId="9" borderId="114" xfId="0" applyFill="1" applyBorder="1" applyAlignment="1">
      <alignment horizontal="center" vertical="center"/>
    </xf>
    <xf numFmtId="0" fontId="0" fillId="9" borderId="115" xfId="0" applyFill="1" applyBorder="1" applyAlignment="1">
      <alignment horizontal="center" vertical="center"/>
    </xf>
  </cellXfs>
  <cellStyles count="11">
    <cellStyle name="Normal" xfId="0" builtinId="0"/>
    <cellStyle name="Normal 2" xfId="9" xr:uid="{00000000-0005-0000-0000-000001000000}"/>
    <cellStyle name="Normal_1-PTCHK" xfId="1" xr:uid="{00000000-0005-0000-0000-000002000000}"/>
    <cellStyle name="Normal_AKSURF" xfId="2" xr:uid="{00000000-0005-0000-0000-000003000000}"/>
    <cellStyle name="Normal_CONCPVMT_VER12_20060927" xfId="3" xr:uid="{00000000-0005-0000-0000-000004000000}"/>
    <cellStyle name="Normal_GRAD" xfId="4" xr:uid="{00000000-0005-0000-0000-000005000000}"/>
    <cellStyle name="Normal_MIX" xfId="5" xr:uid="{00000000-0005-0000-0000-000006000000}"/>
    <cellStyle name="Normal_SURFACE" xfId="6" xr:uid="{00000000-0005-0000-0000-000007000000}"/>
    <cellStyle name="Normal_TSR" xfId="7" xr:uid="{00000000-0005-0000-0000-000008000000}"/>
    <cellStyle name="Normal_WRKSHEET.XLS_1" xfId="8" xr:uid="{00000000-0005-0000-0000-000009000000}"/>
    <cellStyle name="Percent 2" xfId="10" xr:uid="{00000000-0005-0000-0000-00000A000000}"/>
  </cellStyles>
  <dxfs count="206">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11"/>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top style="medium">
          <color indexed="64"/>
        </top>
      </border>
    </dxf>
    <dxf>
      <font>
        <b val="0"/>
        <i val="0"/>
        <strike val="0"/>
        <condense val="0"/>
        <extend val="0"/>
        <outline val="0"/>
        <shadow val="0"/>
        <u val="none"/>
        <vertAlign val="baseline"/>
        <sz val="10"/>
        <color auto="1"/>
        <name val="Arial"/>
        <scheme val="none"/>
      </font>
      <fill>
        <patternFill patternType="solid">
          <fgColor indexed="64"/>
          <bgColor indexed="44"/>
        </patternFill>
      </fill>
    </dxf>
    <dxf>
      <border outline="0">
        <bottom style="medium">
          <color indexed="64"/>
        </bottom>
      </border>
    </dxf>
    <dxf>
      <font>
        <b/>
        <i val="0"/>
        <strike val="0"/>
        <condense val="0"/>
        <extend val="0"/>
        <outline val="0"/>
        <shadow val="0"/>
        <u val="none"/>
        <vertAlign val="baseline"/>
        <sz val="9"/>
        <color auto="1"/>
        <name val="Arial"/>
        <scheme val="none"/>
      </font>
      <numFmt numFmtId="30" formatCode="@"/>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172" formatCode="mm/dd/yy;@"/>
      <fill>
        <patternFill patternType="solid">
          <fgColor indexed="64"/>
          <bgColor indexed="11"/>
        </patternFill>
      </fill>
      <alignment horizontal="center" vertical="bottom" textRotation="0" wrapText="0"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172" formatCode="mm/dd/yy;@"/>
      <fill>
        <patternFill patternType="solid">
          <fgColor indexed="64"/>
          <bgColor indexed="11"/>
        </patternFill>
      </fill>
      <alignment horizontal="center" vertical="bottom" textRotation="0" wrapText="0"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bottom" textRotation="0" wrapText="0"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bottom" textRotation="0" wrapText="0"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bottom" textRotation="0" wrapText="0"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bottom" textRotation="0" wrapText="0" indent="0" justifyLastLine="0" shrinkToFit="0" readingOrder="0"/>
      <border diagonalUp="0" diagonalDown="0">
        <left/>
        <right style="thin">
          <color indexed="64"/>
        </right>
        <top style="medium">
          <color indexed="64"/>
        </top>
        <bottom/>
      </border>
    </dxf>
    <dxf>
      <border outline="0">
        <top style="medium">
          <color indexed="64"/>
        </top>
      </border>
    </dxf>
    <dxf>
      <border outline="0">
        <top style="medium">
          <color indexed="64"/>
        </top>
      </border>
    </dxf>
    <dxf>
      <font>
        <b val="0"/>
        <i val="0"/>
        <strike val="0"/>
        <condense val="0"/>
        <extend val="0"/>
        <outline val="0"/>
        <shadow val="0"/>
        <u val="none"/>
        <vertAlign val="baseline"/>
        <sz val="10"/>
        <color auto="1"/>
        <name val="Arial"/>
        <scheme val="none"/>
      </font>
      <fill>
        <patternFill patternType="solid">
          <fgColor indexed="64"/>
          <bgColor indexed="22"/>
        </patternFill>
      </fill>
    </dxf>
    <dxf>
      <border outline="0">
        <bottom style="thin">
          <color indexed="64"/>
        </bottom>
      </border>
    </dxf>
    <dxf>
      <font>
        <b/>
        <i val="0"/>
        <strike val="0"/>
        <condense val="0"/>
        <extend val="0"/>
        <outline val="0"/>
        <shadow val="0"/>
        <u val="none"/>
        <vertAlign val="baseline"/>
        <sz val="9"/>
        <color auto="1"/>
        <name val="Arial"/>
        <scheme val="none"/>
      </font>
      <numFmt numFmtId="30" formatCode="@"/>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auto="1"/>
        <name val="Arial"/>
        <scheme val="none"/>
      </font>
      <numFmt numFmtId="30" formatCode="@"/>
      <fill>
        <patternFill patternType="solid">
          <fgColor indexed="64"/>
          <bgColor indexed="22"/>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right style="thin">
          <color indexed="64"/>
        </right>
        <top style="thin">
          <color indexed="64"/>
        </top>
        <bottom style="thin">
          <color indexed="64"/>
        </bottom>
      </border>
    </dxf>
    <dxf>
      <border outline="0">
        <top style="medium">
          <color indexed="64"/>
        </top>
      </border>
    </dxf>
    <dxf>
      <border outline="0">
        <bottom style="medium">
          <color indexed="64"/>
        </bottom>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right" vertical="bottom" textRotation="0" wrapText="0" indent="0" justifyLastLine="0" shrinkToFit="0" readingOrder="0"/>
      <border diagonalUp="0" diagonalDown="0">
        <left style="thin">
          <color indexed="64"/>
        </left>
        <right/>
        <top style="medium">
          <color indexed="64"/>
        </top>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bottom" textRotation="0" wrapText="0"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right style="thin">
          <color indexed="64"/>
        </right>
        <top style="medium">
          <color indexed="64"/>
        </top>
        <bottom/>
      </border>
    </dxf>
    <dxf>
      <border outline="0">
        <top style="medium">
          <color indexed="64"/>
        </top>
      </border>
    </dxf>
    <dxf>
      <border outline="0">
        <top style="medium">
          <color indexed="64"/>
        </top>
      </border>
    </dxf>
    <dxf>
      <font>
        <b val="0"/>
        <i val="0"/>
        <strike val="0"/>
        <condense val="0"/>
        <extend val="0"/>
        <outline val="0"/>
        <shadow val="0"/>
        <u val="none"/>
        <vertAlign val="baseline"/>
        <sz val="10"/>
        <color auto="1"/>
        <name val="Arial"/>
        <scheme val="none"/>
      </font>
      <fill>
        <patternFill patternType="solid">
          <fgColor indexed="64"/>
          <bgColor indexed="22"/>
        </patternFill>
      </fill>
    </dxf>
    <dxf>
      <border outline="0">
        <bottom style="thin">
          <color indexed="64"/>
        </bottom>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border diagonalUp="0" diagonalDown="0">
        <left style="thin">
          <color indexed="64"/>
        </left>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right" vertical="bottom" textRotation="0" wrapText="0"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bottom" textRotation="0" wrapText="0"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right style="thin">
          <color indexed="64"/>
        </right>
        <top style="medium">
          <color indexed="64"/>
        </top>
        <bottom/>
      </border>
    </dxf>
    <dxf>
      <border outline="0">
        <top style="medium">
          <color indexed="64"/>
        </top>
      </border>
    </dxf>
    <dxf>
      <border outline="0">
        <top style="medium">
          <color indexed="64"/>
        </top>
      </border>
    </dxf>
    <dxf>
      <border outline="0">
        <bottom style="thin">
          <color indexed="64"/>
        </bottom>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border diagonalUp="0" diagonalDown="0">
        <left style="thin">
          <color indexed="64"/>
        </left>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172" formatCode="mm/dd/yy;@"/>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172" formatCode="mm/dd/yy;@"/>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bottom" textRotation="0" wrapText="0"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right style="thin">
          <color indexed="64"/>
        </right>
        <top style="medium">
          <color indexed="64"/>
        </top>
        <bottom/>
      </border>
    </dxf>
    <dxf>
      <border outline="0">
        <top style="medium">
          <color indexed="64"/>
        </top>
      </border>
    </dxf>
    <dxf>
      <border outline="0">
        <top style="medium">
          <color indexed="64"/>
        </top>
      </border>
    </dxf>
    <dxf>
      <font>
        <b val="0"/>
        <i val="0"/>
        <strike val="0"/>
        <condense val="0"/>
        <extend val="0"/>
        <outline val="0"/>
        <shadow val="0"/>
        <u val="none"/>
        <vertAlign val="baseline"/>
        <sz val="10"/>
        <color auto="1"/>
        <name val="Arial"/>
        <scheme val="none"/>
      </font>
      <fill>
        <patternFill patternType="solid">
          <fgColor indexed="64"/>
          <bgColor indexed="44"/>
        </patternFill>
      </fill>
    </dxf>
    <dxf>
      <border outline="0">
        <bottom style="thin">
          <color indexed="64"/>
        </bottom>
      </border>
    </dxf>
    <dxf>
      <font>
        <b/>
        <i val="0"/>
        <strike val="0"/>
        <condense val="0"/>
        <extend val="0"/>
        <outline val="0"/>
        <shadow val="0"/>
        <u val="none"/>
        <vertAlign val="baseline"/>
        <sz val="9"/>
        <color auto="1"/>
        <name val="Arial"/>
        <scheme val="none"/>
      </font>
      <numFmt numFmtId="30" formatCode="@"/>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border diagonalUp="0" diagonalDown="0">
        <left style="thin">
          <color indexed="64"/>
        </left>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right" vertical="bottom" textRotation="0" wrapText="0" indent="0" justifyLastLine="0" shrinkToFit="0" readingOrder="0"/>
      <border diagonalUp="0" diagonalDown="0">
        <left style="thin">
          <color indexed="64"/>
        </left>
        <right style="thin">
          <color indexed="64"/>
        </right>
        <top style="medium">
          <color indexed="64"/>
        </top>
        <bottom/>
      </border>
    </dxf>
    <dxf>
      <numFmt numFmtId="30" formatCode="@"/>
      <fill>
        <patternFill patternType="solid">
          <fgColor indexed="64"/>
          <bgColor indexed="44"/>
        </patternFill>
      </fill>
      <alignment horizontal="right" vertical="bottom" textRotation="0" wrapText="0"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right style="thin">
          <color indexed="64"/>
        </right>
        <top style="medium">
          <color indexed="64"/>
        </top>
        <bottom/>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bottom/>
      </border>
    </dxf>
    <dxf>
      <numFmt numFmtId="19" formatCode="m/d/yyyy"/>
      <fill>
        <patternFill patternType="solid">
          <fgColor indexed="64"/>
          <bgColor indexed="22"/>
        </patternFill>
      </fill>
      <alignment horizontal="general" vertical="top" textRotation="0" wrapText="0" indent="0" justifyLastLine="0" shrinkToFit="0" readingOrder="0"/>
      <border diagonalUp="0" diagonalDown="0">
        <left style="thin">
          <color indexed="64"/>
        </left>
        <right/>
        <top style="thin">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top" textRotation="0" wrapText="0" indent="0" justifyLastLine="0" shrinkToFit="0" readingOrder="0"/>
      <border diagonalUp="0" diagonalDown="0">
        <left style="thin">
          <color indexed="64"/>
        </left>
        <right style="thin">
          <color indexed="64"/>
        </right>
        <top style="thin">
          <color indexed="64"/>
        </top>
        <bottom/>
      </border>
    </dxf>
    <dxf>
      <font>
        <b/>
        <i val="0"/>
        <strike val="0"/>
        <condense val="0"/>
        <extend val="0"/>
        <outline val="0"/>
        <shadow val="0"/>
        <u val="none"/>
        <vertAlign val="baseline"/>
        <sz val="10"/>
        <color indexed="12"/>
        <name val="Arial"/>
        <scheme val="none"/>
      </font>
      <numFmt numFmtId="30" formatCode="@"/>
      <fill>
        <patternFill patternType="solid">
          <fgColor indexed="64"/>
          <bgColor indexed="45"/>
        </patternFill>
      </fill>
      <border diagonalUp="0" diagonalDown="0">
        <left style="thin">
          <color indexed="64"/>
        </left>
        <right style="thin">
          <color indexed="64"/>
        </right>
        <top/>
        <bottom/>
      </border>
    </dxf>
    <dxf>
      <font>
        <b/>
        <i val="0"/>
        <strike val="0"/>
        <condense val="0"/>
        <extend val="0"/>
        <outline val="0"/>
        <shadow val="0"/>
        <u val="none"/>
        <vertAlign val="baseline"/>
        <sz val="10"/>
        <color indexed="12"/>
        <name val="Arial"/>
        <scheme val="none"/>
      </font>
      <numFmt numFmtId="30" formatCode="@"/>
      <fill>
        <patternFill patternType="solid">
          <fgColor indexed="64"/>
          <bgColor indexed="45"/>
        </patternFill>
      </fill>
      <border diagonalUp="0" diagonalDown="0">
        <left style="thin">
          <color indexed="64"/>
        </left>
        <right style="thin">
          <color indexed="64"/>
        </right>
        <top/>
        <bottom/>
      </border>
    </dxf>
    <dxf>
      <font>
        <b/>
        <i val="0"/>
        <strike val="0"/>
        <condense val="0"/>
        <extend val="0"/>
        <outline val="0"/>
        <shadow val="0"/>
        <u val="none"/>
        <vertAlign val="baseline"/>
        <sz val="10"/>
        <color indexed="12"/>
        <name val="Arial"/>
        <scheme val="none"/>
      </font>
      <numFmt numFmtId="30" formatCode="@"/>
      <fill>
        <patternFill patternType="solid">
          <fgColor indexed="64"/>
          <bgColor indexed="45"/>
        </patternFill>
      </fill>
      <border diagonalUp="0" diagonalDown="0">
        <left style="thin">
          <color indexed="64"/>
        </left>
        <right style="thin">
          <color indexed="64"/>
        </right>
        <top/>
        <bottom/>
      </border>
    </dxf>
    <dxf>
      <numFmt numFmtId="30" formatCode="@"/>
      <fill>
        <patternFill patternType="solid">
          <fgColor indexed="64"/>
          <bgColor indexed="44"/>
        </patternFill>
      </fill>
      <border diagonalUp="0" diagonalDown="0">
        <left style="thin">
          <color indexed="64"/>
        </left>
        <right style="thin">
          <color indexed="64"/>
        </right>
        <top/>
        <bottom/>
      </border>
    </dxf>
    <dxf>
      <numFmt numFmtId="30" formatCode="@"/>
      <fill>
        <patternFill patternType="solid">
          <fgColor indexed="64"/>
          <bgColor indexed="44"/>
        </patternFill>
      </fill>
      <border diagonalUp="0" diagonalDown="0">
        <left/>
        <right style="thin">
          <color indexed="64"/>
        </right>
        <top style="medium">
          <color indexed="64"/>
        </top>
        <bottom/>
      </border>
    </dxf>
    <dxf>
      <font>
        <b/>
        <i val="0"/>
        <strike val="0"/>
        <condense val="0"/>
        <extend val="0"/>
        <outline val="0"/>
        <shadow val="0"/>
        <u val="none"/>
        <vertAlign val="baseline"/>
        <sz val="10"/>
        <color indexed="12"/>
        <name val="Arial"/>
        <scheme val="none"/>
      </font>
      <fill>
        <patternFill patternType="solid">
          <fgColor indexed="64"/>
          <bgColor indexed="45"/>
        </patternFill>
      </fill>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alignment horizontal="center" vertical="bottom" textRotation="0" wrapText="1"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center" vertical="bottom" textRotation="0" wrapText="0"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numFmt numFmtId="30" formatCode="@"/>
      <fill>
        <patternFill patternType="solid">
          <fgColor indexed="64"/>
          <bgColor indexed="44"/>
        </patternFill>
      </fill>
      <alignment horizontal="center" vertical="bottom" textRotation="0" wrapText="0"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numFmt numFmtId="19" formatCode="m/d/yyyy"/>
      <fill>
        <patternFill patternType="solid">
          <fgColor indexed="64"/>
          <bgColor indexed="44"/>
        </patternFill>
      </fill>
      <alignment horizontal="center" vertical="bottom" textRotation="0" wrapText="0"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alignment horizontal="left" vertical="bottom" textRotation="0" wrapText="0"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44"/>
        </patternFill>
      </fill>
      <alignment horizontal="center" vertical="bottom" textRotation="0" wrapText="0" indent="0" justifyLastLine="0" shrinkToFit="0" readingOrder="0"/>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19" formatCode="m/d/yyyy"/>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172" formatCode="mm/dd/yy;@"/>
      <fill>
        <patternFill patternType="solid">
          <fgColor indexed="64"/>
          <bgColor indexed="22"/>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font>
        <b val="0"/>
        <i val="0"/>
        <strike val="0"/>
        <condense val="0"/>
        <extend val="0"/>
        <outline val="0"/>
        <shadow val="0"/>
        <u val="none"/>
        <vertAlign val="baseline"/>
        <sz val="10"/>
        <color auto="1"/>
        <name val="Arial"/>
        <scheme val="none"/>
      </font>
      <numFmt numFmtId="30" formatCode="@"/>
      <fill>
        <patternFill patternType="solid">
          <fgColor indexed="64"/>
          <bgColor indexed="44"/>
        </patternFill>
      </fill>
      <border diagonalUp="0" diagonalDown="0">
        <left style="thin">
          <color indexed="64"/>
        </left>
        <right style="thin">
          <color indexed="64"/>
        </right>
        <top style="medium">
          <color indexed="64"/>
        </top>
        <bottom/>
      </border>
    </dxf>
    <dxf>
      <numFmt numFmtId="30" formatCode="@"/>
      <fill>
        <patternFill patternType="solid">
          <fgColor indexed="64"/>
          <bgColor indexed="44"/>
        </patternFill>
      </fill>
      <border diagonalUp="0" diagonalDown="0">
        <left/>
        <right style="thin">
          <color indexed="64"/>
        </right>
        <top style="medium">
          <color indexed="64"/>
        </top>
        <bottom/>
      </border>
    </dxf>
    <dxf>
      <border outline="0">
        <top style="medium">
          <color indexed="64"/>
        </top>
      </border>
    </dxf>
    <dxf>
      <font>
        <b val="0"/>
        <i val="0"/>
        <strike val="0"/>
        <condense val="0"/>
        <extend val="0"/>
        <outline val="0"/>
        <shadow val="0"/>
        <u val="none"/>
        <vertAlign val="baseline"/>
        <sz val="10"/>
        <color auto="1"/>
        <name val="Arial"/>
        <scheme val="none"/>
      </font>
      <fill>
        <patternFill patternType="solid">
          <fgColor indexed="64"/>
          <bgColor indexed="22"/>
        </patternFill>
      </fill>
    </dxf>
    <dxf>
      <border outline="0">
        <bottom style="thin">
          <color indexed="64"/>
        </bottom>
      </border>
    </dxf>
    <dxf>
      <font>
        <b/>
        <i val="0"/>
        <strike val="0"/>
        <condense val="0"/>
        <extend val="0"/>
        <outline val="0"/>
        <shadow val="0"/>
        <u val="none"/>
        <vertAlign val="baseline"/>
        <sz val="9"/>
        <color auto="1"/>
        <name val="Arial"/>
        <scheme val="none"/>
      </font>
      <numFmt numFmtId="30" formatCode="@"/>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bottom/>
      </border>
    </dxf>
    <dxf>
      <font>
        <b/>
        <i val="0"/>
        <condense val="0"/>
        <extend val="0"/>
        <color indexed="10"/>
      </font>
    </dxf>
    <dxf>
      <font>
        <b/>
        <i val="0"/>
        <strike val="0"/>
        <condense val="0"/>
        <extend val="0"/>
        <outline val="0"/>
        <shadow val="0"/>
        <u val="none"/>
        <vertAlign val="baseline"/>
        <sz val="10"/>
        <color auto="1"/>
        <name val="Arial"/>
        <scheme val="none"/>
      </font>
      <numFmt numFmtId="30" formatCode="@"/>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dxf>
    <dxf>
      <font>
        <b/>
        <i val="0"/>
        <strike val="0"/>
        <condense val="0"/>
        <extend val="0"/>
        <outline val="0"/>
        <shadow val="0"/>
        <u val="none"/>
        <vertAlign val="baseline"/>
        <sz val="10"/>
        <color auto="1"/>
        <name val="Arial"/>
        <scheme val="none"/>
      </font>
      <numFmt numFmtId="30" formatCode="@"/>
    </dxf>
    <dxf>
      <font>
        <b/>
        <i val="0"/>
        <strike val="0"/>
        <condense val="0"/>
        <extend val="0"/>
        <outline val="0"/>
        <shadow val="0"/>
        <u val="none"/>
        <vertAlign val="baseline"/>
        <sz val="10"/>
        <color auto="1"/>
        <name val="Arial"/>
        <scheme val="none"/>
      </font>
      <numFmt numFmtId="30" formatCode="@"/>
    </dxf>
    <dxf>
      <font>
        <b/>
        <i val="0"/>
        <strike val="0"/>
        <condense val="0"/>
        <extend val="0"/>
        <outline val="0"/>
        <shadow val="0"/>
        <u val="none"/>
        <vertAlign val="baseline"/>
        <sz val="10"/>
        <color auto="1"/>
        <name val="Arial"/>
        <scheme val="none"/>
      </font>
    </dxf>
    <dxf>
      <font>
        <b/>
        <i val="0"/>
        <strike val="0"/>
        <condense val="0"/>
        <extend val="0"/>
        <outline val="0"/>
        <shadow val="0"/>
        <u val="none"/>
        <vertAlign val="baseline"/>
        <sz val="10"/>
        <color auto="1"/>
        <name val="Arial"/>
        <scheme val="none"/>
      </font>
      <numFmt numFmtId="30" formatCode="@"/>
    </dxf>
    <dxf>
      <font>
        <b val="0"/>
        <i val="0"/>
        <strike val="0"/>
        <condense val="0"/>
        <extend val="0"/>
        <outline val="0"/>
        <shadow val="0"/>
        <u val="none"/>
        <vertAlign val="baseline"/>
        <sz val="10"/>
        <color auto="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1"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dxf>
    <dxf>
      <numFmt numFmtId="30" formatCode="@"/>
      <fill>
        <patternFill patternType="solid">
          <fgColor indexed="64"/>
          <bgColor indexed="26"/>
        </patternFill>
      </fill>
      <alignment horizontal="left" vertical="top" textRotation="0" wrapText="0" indent="0" justifyLastLine="0" shrinkToFit="0" readingOrder="0"/>
      <border diagonalUp="0" diagonalDown="0">
        <left style="thin">
          <color indexed="64"/>
        </left>
        <right/>
        <top style="thin">
          <color indexed="64"/>
        </top>
        <bottom style="thin">
          <color indexed="64"/>
        </bottom>
      </border>
      <protection locked="0" hidden="0"/>
    </dxf>
    <dxf>
      <numFmt numFmtId="30" formatCode="@"/>
      <fill>
        <patternFill patternType="solid">
          <fgColor indexed="64"/>
          <bgColor indexed="26"/>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numFmt numFmtId="30" formatCode="@"/>
      <fill>
        <patternFill patternType="solid">
          <fgColor indexed="64"/>
          <bgColor indexed="26"/>
        </patternFill>
      </fill>
      <alignment horizontal="general" vertical="top" textRotation="0" wrapText="0" indent="0" justifyLastLine="0" shrinkToFit="0" readingOrder="0"/>
      <border diagonalUp="0" diagonalDown="0">
        <left style="thin">
          <color indexed="64"/>
        </left>
        <right style="thin">
          <color indexed="64"/>
        </right>
        <top/>
        <bottom/>
      </border>
      <protection locked="0" hidden="0"/>
    </dxf>
    <dxf>
      <border outline="0">
        <top style="thin">
          <color indexed="64"/>
        </top>
      </border>
    </dxf>
    <dxf>
      <border outline="0">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bottom/>
      </border>
    </dxf>
    <dxf>
      <font>
        <color rgb="FFFF0000"/>
      </font>
    </dxf>
    <dxf>
      <font>
        <color rgb="FFFF0000"/>
      </font>
    </dxf>
    <dxf>
      <font>
        <condense val="0"/>
        <extend val="0"/>
        <color indexed="10"/>
      </font>
    </dxf>
    <dxf>
      <font>
        <strike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tempuri.org/XMLSchema.xsd'">
  <Schema ID="Schema1" Namespace="http://tempuri.org/XMLSchema.xsd">
    <xsd:schema xmlns:xsd="http://www.w3.org/2001/XMLSchema" xmlns="http://tempuri.org/XMLSchema.xsd" targetNamespace="http://tempuri.org/XMLSchema.xsd" elementFormDefault="qualified">
      <xsd:element name="MaterialDisciplines" type="MaterialDisciplinesType"/>
      <xsd:complexType name="MaterialDisciplinesType">
        <xsd:all>
          <xsd:element name="discipline" type="disciplineType" minOccurs="1"/>
          <xsd:element name="t_smpl" type="t_smplType" minOccurs="1"/>
          <xsd:element name="t_cont_smpl" type="t_cont_smplType" minOccurs="1"/>
          <xsd:element name="t_cont_smpl_itm" type="t_cont_smpl_itmType" minOccurs="1"/>
          <xsd:element name="t_rmrks_dtl" type="t_rmrks_dtlType" minOccurs="1"/>
          <xsd:element name="t_smpl_tst" type="t_smpl_tstType" minOccurs="1"/>
          <xsd:element name="t_smpl_tstr" type="t_smpl_tstrType" minOccurs="1"/>
          <xsd:element name="t_tst_rslt_hdr" type="t_tst_rslt_hdrType" minOccurs="1"/>
          <xsd:element name="t_tst_rslt_dtl" type="t_tst_rslt_dtlType" minOccurs="1"/>
          <xsd:element name="t_pcc" type="t_pccType" minOccurs="1"/>
          <xsd:element name="t_pcc_blnd" type="t_pcc_blndType" minOccurs="1"/>
          <xsd:element name="t_mix_dsn_grdn" type="t_mix_dsn_grdnType" minOccurs="1"/>
          <xsd:element name="t_superpave" type="t_superpaveType" minOccurs="1"/>
          <xsd:element name="t_bit_conc_mixblnd" type="t_bit_conc_mixblndType" minOccurs="1"/>
        </xsd:all>
      </xsd:complexType>
      <xsd:complexType name="disciplineType">
        <xsd:sequence>
          <xsd:element name="disciplineTable" minOccurs="1" maxOccurs="unbounded">
            <xsd:complexType>
              <xsd:sequence>
                <xsd:element name="discipline_id" type="xsd:string" minOccurs="1" nillable="false" form="qualified"/>
                <xsd:element name="discipline_version" type="xsd:string" minOccurs="1" nillable="false" form="qualified"/>
                <xsd:element name="replace_allowed_indicator" type="xsd:string" minOccurs="1" nillable="false" form="qualified"/>
                <xsd:element name="district" type="xsd:string" minOccurs="1" nillable="false" form="qualified"/>
                <xsd:element name="Filename" type="xsd:string" minOccurs="1" nillable="false" form="qualified"/>
              </xsd:sequence>
            </xsd:complexType>
          </xsd:element>
        </xsd:sequence>
      </xsd:complexType>
      <xsd:complexType name="t_smplType">
        <xsd:sequence>
          <xsd:element name="t_smplTable" minOccurs="1" maxOccurs="unbounded">
            <xsd:complexType>
              <xsd:sequence>
                <xsd:element name="smpl_id" type="xsd:string" minOccurs="1" nillable="false" form="qualified"/>
                <xsd:element name="acpt_meth_t" type="xsd:string" minOccurs="1" nillable="false" form="qualified"/>
                <xsd:element name="auth_by_cms_uid" type="xsd:string" minOccurs="1" nillable="false" form="qualified"/>
                <xsd:element name="auth_dt" type="xsd:string" minOccurs="1" nillable="false" form="qualified"/>
                <xsd:element name="cms_uid" type="xsd:string" minOccurs="1" nillable="false" form="qualified"/>
                <xsd:element name="cntrl_nbr" type="xsd:string" minOccurs="1" nillable="false" form="qualified"/>
                <xsd:element name="cntrl_t" type="xsd:string" minOccurs="1" nillable="false" form="qualified"/>
                <xsd:element name="geog_area_t" type="xsd:string" minOccurs="1" nillable="false" form="qualified"/>
                <xsd:element name="intd_use_txt" type="xsd:string" minOccurs="1" nillable="false" form="qualified"/>
                <xsd:element name="last_modfd_dt" type="xsd:string" minOccurs="1" nillable="false" form="qualified"/>
                <xsd:element name="last_modfd_uid" type="xsd:string" minOccurs="1" nillable="false" form="qualified"/>
                <xsd:element name="log_dt" type="xsd:string" minOccurs="1" nillable="false" form="qualified"/>
                <xsd:element name="matl_cd" type="xsd:string" minOccurs="1" nillable="false" form="qualified"/>
                <xsd:element name="offst" type="xsd:string" minOccurs="1" nillable="false" form="qualified"/>
                <xsd:element name="plant_id" type="xsd:string" minOccurs="1" nillable="false" form="qualified"/>
                <xsd:element name="prodr_supp_cd" type="xsd:string" minOccurs="1" nillable="false" form="qualified"/>
                <xsd:element name="rel_smpl_id" type="xsd:string" minOccurs="1" nillable="false" form="qualified"/>
                <xsd:element name="rmrks_id" type="xsd:string" minOccurs="1" nillable="false" form="qualified"/>
                <xsd:element name="smpl_dsn_t" type="xsd:string" minOccurs="1" nillable="false" form="qualified"/>
                <xsd:element name="smpl_dt" type="xsd:string" minOccurs="1" nillable="false" form="qualified"/>
                <xsd:element name="smpl_mix_id" type="xsd:string" minOccurs="1" nillable="false" form="qualified"/>
                <xsd:element name="smpl_t" type="xsd:string" minOccurs="1" nillable="false" form="qualified"/>
                <xsd:element name="smpld_by" type="xsd:string" minOccurs="1" nillable="false" form="qualified"/>
                <xsd:element name="sta" type="xsd:string" minOccurs="1" nillable="false" form="qualified"/>
                <xsd:element name="stat_t" type="xsd:string" minOccurs="1" nillable="false" form="qualified"/>
                <xsd:element name="witnes_by_cms_uid" type="xsd:string" minOccurs="1" nillable="false" form="qualified"/>
                <xsd:element name="prod_nm" type="xsd:string" minOccurs="1" nillable="false" form="qualified"/>
                <xsd:element name="plant_t" type="xsd:string" minOccurs="1" nillable="false" form="qualified"/>
                <xsd:element name="revise_smpl_id" type="xsd:string" minOccurs="1" nillable="false" form="qualified"/>
                <xsd:element name="smpl_origin" type="xsd:string" minOccurs="1" nillable="false" form="qualified"/>
                <xsd:element name="smpld_fr_txt" type="xsd:string" minOccurs="1" nillable="false" form="qualified"/>
                <xsd:element name="unt_t" type="xsd:string" minOccurs="1" nillable="false" form="qualified"/>
                <xsd:element name="mnfctr_cd" type="xsd:string" minOccurs="1" nillable="false" form="qualified"/>
                <xsd:element name="twn" type="xsd:string" minOccurs="1" nillable="false" form="qualified"/>
                <xsd:element name="buy_usa_ind" type="xsd:string" minOccurs="1" nillable="false" form="qualified"/>
                <xsd:element name="buy_usa_rqrdmt_t" type="xsd:string" minOccurs="1" nillable="false" form="qualified"/>
                <xsd:element name="repr_qty" type="xsd:string" minOccurs="1" nillable="false" form="qualified"/>
                <xsd:element name="ref" type="xsd:string" minOccurs="1" nillable="false" form="qualified"/>
                <xsd:element name="seal_nbr" type="xsd:string" minOccurs="1" nillable="false" form="qualified"/>
                <xsd:element name="smpl_sz" type="xsd:string" minOccurs="1" nillable="false" form="qualified"/>
                <xsd:element name="reqst_by_nm" type="xsd:string" minOccurs="1" nillable="false" form="qualified"/>
                <xsd:element name="std_rmrks_ind" type="xsd:string" minOccurs="1" nillable="false" form="qualified"/>
                <xsd:element name="smpl_lock_ind" type="xsd:string" minOccurs="1" nillable="false" form="qualified"/>
                <xsd:element name="dstnc_fnsh_grd" type="xsd:string" minOccurs="1" nillable="false" form="qualified"/>
                <xsd:element name="dstnc_fnsh_grd_unt" type="xsd:string" minOccurs="1" nillable="false" form="qualified"/>
                <xsd:element name="ref_doc" type="xsd:string" minOccurs="1" nillable="false" form="qualified"/>
                <xsd:element name="sz_unt_t" type="xsd:string" minOccurs="1" nillable="false" form="qualified"/>
                <xsd:element name="lock_type" type="xsd:string" minOccurs="1" nillable="false" form="qualified"/>
                <xsd:element name="locked_by" type="xsd:string" minOccurs="1" nillable="false" form="qualified"/>
                <xsd:element name="lock_dt" type="xsd:string" minOccurs="1" nillable="false" form="qualified"/>
                <xsd:element name="lev1_office_ind" type="xsd:string" minOccurs="1" nillable="false" form="qualified"/>
                <xsd:element name="lev2_office_nbr" type="xsd:string" minOccurs="1" nillable="false" form="qualified"/>
                <xsd:element name="lev3_office_nbr" type="xsd:string" minOccurs="1" nillable="false" form="qualified"/>
                <xsd:element name="lev4_office_nbr" type="xsd:string" minOccurs="1" nillable="false" form="qualified"/>
              </xsd:sequence>
            </xsd:complexType>
          </xsd:element>
        </xsd:sequence>
      </xsd:complexType>
      <xsd:complexType name="t_cont_smplType">
        <xsd:sequence>
          <xsd:element name="t_cont_smplTable" minOccurs="1" maxOccurs="unbounded">
            <xsd:complexType>
              <xsd:sequence>
                <xsd:element name="smpl_id" type="xsd:string" minOccurs="1" nillable="false" form="qualified"/>
                <xsd:element name="cont_id" type="xsd:string" minOccurs="1" nillable="false" form="qualified"/>
                <xsd:element name="prj_nbr" type="xsd:string" minOccurs="1" nillable="false" form="qualified"/>
                <xsd:element name="ln_itm_nbr" type="xsd:string" minOccurs="1" nillable="false" form="qualified"/>
                <xsd:element name="repr_qty"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cont_smpl_itmType">
        <xsd:sequence>
          <xsd:element name="t_cont_smpl_itmTable" minOccurs="1" maxOccurs="unbounded">
            <xsd:complexType>
              <xsd:sequence>
                <xsd:element name="prj_nbr" type="xsd:string" minOccurs="1" nillable="false" form="qualified"/>
                <xsd:element name="ln_itm_nbr" type="xsd:string" minOccurs="1" nillable="false" form="qualified"/>
                <xsd:element name="repr_qty" type="xsd:string" minOccurs="1" nillable="false" form="qualified"/>
              </xsd:sequence>
            </xsd:complexType>
          </xsd:element>
        </xsd:sequence>
      </xsd:complexType>
      <xsd:complexType name="t_rmrks_dtlType">
        <xsd:sequence>
          <xsd:element name="t_rmrks_dtlTable" minOccurs="1" maxOccurs="unbounded">
            <xsd:complexType>
              <xsd:sequence>
                <xsd:element name="rmrks_id" type="xsd:string" minOccurs="1" nillable="false" form="qualified"/>
                <xsd:element name="rmrks_t" type="xsd:string" minOccurs="1" nillable="false" form="qualified"/>
                <xsd:element name="rmrks_sn" type="xsd:string" minOccurs="1" nillable="false" form="qualified"/>
                <xsd:element name="rmrks_txt_fld"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smpl_tstType">
        <xsd:sequence>
          <xsd:element name="t_smpl_tstTable" minOccurs="1" maxOccurs="unbounded">
            <xsd:complexType>
              <xsd:sequence>
                <xsd:element name="smpl_id" type="xsd:string" minOccurs="1" nillable="false" form="qualified"/>
                <xsd:element name="tst_meth" type="xsd:string" minOccurs="1" nillable="false" form="qualified"/>
                <xsd:element name="smpl_tst_nbr" type="xsd:string" minOccurs="1" nillable="false" form="qualified"/>
                <xsd:element name="lab_id" type="xsd:string" minOccurs="1" nillable="false" form="qualified"/>
                <xsd:element name="chrg_amt" type="xsd:string" minOccurs="1" nillable="false" form="qualified"/>
                <xsd:element name="strt_dt" type="xsd:string" minOccurs="1" nillable="false" form="qualified"/>
                <xsd:element name="est_cmpl_dt" type="xsd:string" minOccurs="1" nillable="false" form="qualified"/>
                <xsd:element name="actl_cmpl_dt"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smpl_tstrType">
        <xsd:sequence>
          <xsd:element name="t_smpl_tstrTable" minOccurs="1" maxOccurs="unbounded">
            <xsd:complexType>
              <xsd:sequence>
                <xsd:element name="smpl_id" type="xsd:string" minOccurs="1" nillable="false" form="qualified"/>
                <xsd:element name="tst_meth" type="xsd:string" minOccurs="1" nillable="false" form="qualified"/>
                <xsd:element name="smpl_tst_nbr" type="xsd:string" minOccurs="1" nillable="false" form="qualified"/>
                <xsd:element name="tst_id"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tst_rslt_hdrType">
        <xsd:sequence>
          <xsd:element name="t_tst_rslt_hdrTable" minOccurs="1" maxOccurs="unbounded">
            <xsd:complexType>
              <xsd:sequence>
                <xsd:element name="smpl_id" type="xsd:string" minOccurs="1" nillable="false" form="qualified"/>
                <xsd:element name="tst_meth" type="xsd:string" minOccurs="1" nillable="false" form="qualified"/>
                <xsd:element name="smpl_tst_nbr" type="xsd:string" minOccurs="1" nillable="false" form="qualified"/>
                <xsd:element name="rmrks_id" type="xsd:string" minOccurs="1" nillable="false" form="qualified"/>
                <xsd:element name="effdt" type="xsd:string" minOccurs="1" nillable="false" form="qualified"/>
                <xsd:element name="last_modfd_dt" type="xsd:string" minOccurs="1" nillable="false" form="qualified"/>
                <xsd:element name="last_modfd_uid" type="xsd:string" minOccurs="1" nillable="false" form="qualified"/>
              </xsd:sequence>
            </xsd:complexType>
          </xsd:element>
        </xsd:sequence>
      </xsd:complexType>
      <xsd:complexType name="t_tst_rslt_dtlType">
        <xsd:sequence>
          <xsd:element name="t_tst_rslt_dtlTable" minOccurs="1" maxOccurs="unbounded">
            <xsd:complexType>
              <xsd:sequence>
                <xsd:element name="smpl_id" type="xsd:string" minOccurs="1" nillable="false" form="qualified"/>
                <xsd:element name="tst_meth" type="xsd:string" minOccurs="1" nillable="false" form="qualified"/>
                <xsd:element name="smpl_tst_nbr" type="xsd:string" minOccurs="1" nillable="false" form="qualified"/>
                <xsd:element name="tst_fld_sn" type="xsd:string" minOccurs="1" nillable="false" form="qualified"/>
                <xsd:element name="tst_strg_fld_val" type="xsd:string" minOccurs="1" nillable="false" form="qualified"/>
                <xsd:element name="tst_numrc_fld_val"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pccType">
        <xsd:sequence>
          <xsd:element name="t_pccTable" minOccurs="1" maxOccurs="unbounded">
            <xsd:complexType>
              <xsd:sequence>
                <xsd:element name="mix_id" type="xsd:string" minOccurs="1" nillable="false" form="qualified"/>
                <xsd:element name="matl_cd" type="xsd:string" minOccurs="1" nillable="false" form="qualified"/>
                <xsd:element name="dsn_t" type="xsd:string" minOccurs="1" nillable="false" form="qualified"/>
                <xsd:element name="prodr_supp_cd" type="xsd:string" minOccurs="1" nillable="false" form="qualified"/>
                <xsd:element name="dsnr_nm" type="xsd:string" minOccurs="1" nillable="false" form="qualified"/>
                <xsd:element name="conc_clas_t" type="xsd:string" minOccurs="1" nillable="false" form="qualified"/>
                <xsd:element name="effdt" type="xsd:string" minOccurs="1" nillable="false" form="qualified"/>
                <xsd:element name="term_dt" type="xsd:string" minOccurs="1" nillable="false" form="qualified"/>
                <xsd:element name="apprd_dt" type="xsd:string" minOccurs="1" nillable="false" form="qualified"/>
                <xsd:element name="apprd_by_uid" type="xsd:string" minOccurs="1" nillable="false" form="qualified"/>
                <xsd:element name="min_avg_strgh_rqrd" type="xsd:string" minOccurs="1" nillable="false" form="qualified"/>
                <xsd:element name="dsn_strgh_spc" type="xsd:string" minOccurs="1" nillable="false" form="qualified"/>
                <xsd:element name="theo_unt_wt" type="xsd:string" minOccurs="1" nillable="false" form="qualified"/>
                <xsd:element name="theo_unt_wt_unt" type="xsd:string" minOccurs="1" nillable="false" form="qualified"/>
                <xsd:element name="h2o_cem_ratio" type="xsd:string" minOccurs="1" nillable="false" form="qualified"/>
                <xsd:element name="unt_wt_m" type="xsd:string" minOccurs="1" nillable="false" form="qualified"/>
                <xsd:element name="unt_wt_meas_unt" type="xsd:string" minOccurs="1" nillable="false" form="qualified"/>
                <xsd:element name="air_cntnt_m" type="xsd:string" minOccurs="1" nillable="false" form="qualified"/>
                <xsd:element name="slmp_m" type="xsd:string" minOccurs="1" nillable="false" form="qualified"/>
                <xsd:element name="slmp_meas_unt" type="xsd:string" minOccurs="1" nillable="false" form="qualified"/>
                <xsd:element name="rmrks_id"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pcc_blndType">
        <xsd:sequence>
          <xsd:element name="t_pcc_blndTable" minOccurs="1" maxOccurs="unbounded">
            <xsd:complexType>
              <xsd:sequence>
                <xsd:element name="matl_cd" type="xsd:string" minOccurs="1" nillable="false" form="qualified"/>
                <xsd:element name="mix_id" type="xsd:string" minOccurs="1" nillable="false" form="qualified"/>
                <xsd:element name="dsn_t" type="xsd:string" minOccurs="1" nillable="false" form="qualified"/>
                <xsd:element name="prodr_supp_cd" type="xsd:string" minOccurs="1" nillable="false" form="qualified"/>
                <xsd:element name="smpl_id" type="xsd:string" minOccurs="1" nillable="false" form="qualified"/>
                <xsd:element name="brnd_nm" type="xsd:string" minOccurs="1" nillable="false" form="qualified"/>
                <xsd:element name="spc_gr" type="xsd:string" minOccurs="1" nillable="false" form="qualified"/>
                <xsd:element name="bulk_spc_gr_m" type="xsd:string" minOccurs="1" nillable="false" form="qualified"/>
                <xsd:element name="ssd_wt_m" type="xsd:string" minOccurs="1" nillable="false" form="qualified"/>
                <xsd:element name="abs_p" type="xsd:string" minOccurs="1" nillable="false" form="qualified"/>
                <xsd:element name="fine_moduls_m" type="xsd:string" minOccurs="1" nillable="false" form="qualified"/>
                <xsd:element name="mas" type="xsd:string" minOccurs="1" nillable="false" form="qualified"/>
                <xsd:element name="unt_t"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mix_dsn_grdnType">
        <xsd:sequence>
          <xsd:element name="t_mix_dsn_grdnTable" minOccurs="1" maxOccurs="unbounded">
            <xsd:complexType>
              <xsd:sequence>
                <xsd:element name="matl_cd" type="xsd:string" minOccurs="1" nillable="false" form="qualified"/>
                <xsd:element name="matl_grdn_effdt" type="xsd:string" minOccurs="1" nillable="false" form="qualified"/>
                <xsd:element name="matl_grdn_sn" type="xsd:string" minOccurs="1" nillable="false" form="qualified"/>
                <xsd:element name="mix_id" type="xsd:string" minOccurs="1" nillable="false" form="qualified"/>
                <xsd:element name="dsn_t" type="xsd:string" minOccurs="1" nillable="false" form="qualified"/>
                <xsd:element name="sv_val" type="xsd:string" minOccurs="1" nillable="false" form="qualified"/>
                <xsd:element name="min_prod_tolrnc" type="xsd:string" minOccurs="1" nillable="false" form="qualified"/>
                <xsd:element name="max_prod_tolrnc"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complexType name="t_superpaveType">
        <xsd:sequence>
          <xsd:element name="t_superpaveTable" minOccurs="1" maxOccurs="unbounded">
            <xsd:complexType>
              <xsd:sequence>
                <xsd:element name="mix_id" type="xsd:string" minOccurs="1" nillable="false" form="qualified"/>
                <xsd:element name="dsn_t" type="xsd:string" minOccurs="1" nillable="false" form="qualified"/>
                <xsd:element name="matl_cd" type="xsd:string" minOccurs="1" nillable="false" form="qualified"/>
                <xsd:element name="prodr_supp_cd" type="xsd:string" minOccurs="1" nillable="false" form="qualified"/>
                <xsd:element name="dsnr_nm" type="xsd:string" minOccurs="1" nillable="false" form="qualified"/>
                <xsd:element name="asph_cem_t" type="xsd:string" minOccurs="1" nillable="false" form="qualified"/>
                <xsd:element name="mix_dsn_txt_t" type="xsd:string" minOccurs="1" nillable="false" form="qualified"/>
                <xsd:element name="effdt" type="xsd:string" minOccurs="1" nillable="false" form="qualified"/>
                <xsd:element name="term_dt" type="xsd:string" minOccurs="1" nillable="false" form="qualified"/>
                <xsd:element name="apprd_dt" type="xsd:string" minOccurs="1" nillable="false" form="qualified"/>
                <xsd:element name="apprd_by_uid" type="xsd:string" minOccurs="1" nillable="false" form="qualified"/>
                <xsd:element name="init_n_dnsty_m" type="xsd:string" minOccurs="1" nillable="false" form="qualified"/>
                <xsd:element name="max_n_dnsty_m" type="xsd:string" minOccurs="1" nillable="false" form="qualified"/>
                <xsd:element name="dsn_n_dnsty_m" type="xsd:string" minOccurs="1" nillable="false" form="qualified"/>
                <xsd:element name="init_n_gmm_p" type="xsd:string" minOccurs="1" nillable="false" form="qualified"/>
                <xsd:element name="max_n_gmm_p" type="xsd:string" minOccurs="1" nillable="false" form="qualified"/>
                <xsd:element name="esals_nbr" type="xsd:string" minOccurs="1" nillable="false" form="qualified"/>
                <xsd:element name="opt_ac_pct_tot_wt" type="xsd:string" minOccurs="1" nillable="false" form="qualified"/>
                <xsd:element name="dust_proprtn_p" type="xsd:string" minOccurs="1" nillable="false" form="qualified"/>
                <xsd:element name="vma_p" type="xsd:string" minOccurs="1" nillable="false" form="qualified"/>
                <xsd:element name="vfa_p" type="xsd:string" minOccurs="1" nillable="false" form="qualified"/>
                <xsd:element name="lotmn_tsr_m" type="xsd:string" minOccurs="1" nillable="false" form="qualified"/>
                <xsd:element name="sand_equiv_tst" type="xsd:string" minOccurs="1" nillable="false" form="qualified"/>
                <xsd:element name="max_spc_gr" type="xsd:string" minOccurs="1" nillable="false" form="qualified"/>
                <xsd:element name="bulk_spc_gr_m" type="xsd:string" minOccurs="1" nillable="false" form="qualified"/>
                <xsd:element name="mix_temp" type="xsd:string" minOccurs="1" nillable="false" form="qualified"/>
                <xsd:element name="mix_temp_unt" type="xsd:string" minOccurs="1" nillable="false" form="qualified"/>
                <xsd:element name="cmpct_temp" type="xsd:string" minOccurs="1" nillable="false" form="qualified"/>
                <xsd:element name="cmpct_temp_unt" type="xsd:string" minOccurs="1" nillable="false" form="qualified"/>
                <xsd:element name="high_air_temp" type="xsd:string" minOccurs="1" nillable="false" form="qualified"/>
                <xsd:element name="high_air_temp_unt" type="xsd:string" minOccurs="1" nillable="false" form="qualified"/>
                <xsd:element name="rmrks_id" type="xsd:string" minOccurs="1" nillable="false" form="qualified"/>
                <xsd:element name="last_modfd_uid" type="xsd:string" minOccurs="1" nillable="false" form="qualified"/>
                <xsd:element name="last_modfd_dt" type="xsd:string" minOccurs="1" nillable="false" form="qualified"/>
                <xsd:element name="air_voids_p" type="xsd:string" minOccurs="1" nillable="false" form="qualified"/>
              </xsd:sequence>
            </xsd:complexType>
          </xsd:element>
        </xsd:sequence>
      </xsd:complexType>
      <xsd:complexType name="t_bit_conc_mixblndType">
        <xsd:sequence>
          <xsd:element name="t_bit_conc_mixblndTable" minOccurs="1" maxOccurs="unbounded">
            <xsd:complexType>
              <xsd:sequence>
                <xsd:element name="mix_id" type="xsd:string" minOccurs="1" nillable="false" form="qualified"/>
                <xsd:element name="dsn_t" type="xsd:string" minOccurs="1" nillable="false" form="qualified"/>
                <xsd:element name="matl_cd" type="xsd:string" minOccurs="1" nillable="false" form="qualified"/>
                <xsd:element name="prodr_supp_cd" type="xsd:string" minOccurs="1" nillable="false" form="qualified"/>
                <xsd:element name="brnd_nm" type="xsd:string" minOccurs="1" nillable="false" form="qualified"/>
                <xsd:element name="blnd_p" type="xsd:string" minOccurs="1" nillable="false" form="qualified"/>
                <xsd:element name="bulk_spc_gr_m" type="xsd:string" minOccurs="1" nillable="false" form="qualified"/>
                <xsd:element name="aprnt_spc_gr_m" type="xsd:string" minOccurs="1" nillable="false" form="qualified"/>
                <xsd:element name="smpl_id" type="xsd:string" minOccurs="1" nillable="false" form="qualified"/>
                <xsd:element name="last_modfd_uid" type="xsd:string" minOccurs="1" nillable="false" form="qualified"/>
                <xsd:element name="last_modfd_dt" type="xsd:string" minOccurs="1" nillable="false" form="qualified"/>
              </xsd:sequence>
            </xsd:complexType>
          </xsd:element>
        </xsd:sequence>
      </xsd:complexType>
    </xsd:schema>
  </Schema>
  <Map ID="3" Name="MaterialDisciplines_Map" RootElement="MaterialDisciplines"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19.xml"/><Relationship Id="rId34" Type="http://schemas.openxmlformats.org/officeDocument/2006/relationships/theme" Target="theme/theme1.xml"/><Relationship Id="rId42"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externalLink" Target="externalLinks/externalLink6.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worksheet" Target="worksheets/sheet18.xml"/><Relationship Id="rId29" Type="http://schemas.openxmlformats.org/officeDocument/2006/relationships/externalLink" Target="externalLinks/externalLink2.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externalLink" Target="externalLinks/externalLink5.xml"/><Relationship Id="rId37" Type="http://schemas.openxmlformats.org/officeDocument/2006/relationships/sheetMetadata" Target="metadata.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externalLink" Target="externalLinks/externalLink1.xml"/><Relationship Id="rId36" Type="http://schemas.openxmlformats.org/officeDocument/2006/relationships/sharedStrings" Target="sharedStrings.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externalLink" Target="externalLinks/externalLink4.xml"/><Relationship Id="rId44" Type="http://schemas.openxmlformats.org/officeDocument/2006/relationships/xmlMaps" Target="xmlMaps.xml"/><Relationship Id="rId4" Type="http://schemas.openxmlformats.org/officeDocument/2006/relationships/worksheet" Target="worksheets/sheet4.xml"/><Relationship Id="rId9" Type="http://schemas.openxmlformats.org/officeDocument/2006/relationships/chartsheet" Target="chartsheets/sheet2.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externalLink" Target="externalLinks/externalLink3.xml"/><Relationship Id="rId35" Type="http://schemas.openxmlformats.org/officeDocument/2006/relationships/styles" Target="styles.xml"/><Relationship Id="rId43"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charts/_rels/chart10.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sz="1000" b="1" i="0" u="none" strike="noStrike" baseline="0">
                <a:solidFill>
                  <a:srgbClr val="000000"/>
                </a:solidFill>
                <a:latin typeface="MS Sans Serif"/>
              </a:rPr>
              <a:t>% G</a:t>
            </a:r>
            <a:r>
              <a:rPr lang="en-US" sz="1000" b="1" i="0" u="none" strike="noStrike" baseline="-25000">
                <a:solidFill>
                  <a:srgbClr val="000000"/>
                </a:solidFill>
                <a:latin typeface="MS Sans Serif"/>
              </a:rPr>
              <a:t>mm</a:t>
            </a:r>
            <a:r>
              <a:rPr lang="en-US" sz="1000" b="1" i="0" u="none" strike="noStrike" baseline="0">
                <a:solidFill>
                  <a:srgbClr val="000000"/>
                </a:solidFill>
                <a:latin typeface="MS Sans Serif"/>
              </a:rPr>
              <a:t> @ N</a:t>
            </a:r>
            <a:r>
              <a:rPr lang="en-US" sz="1000" b="1" i="0" u="none" strike="noStrike" baseline="-25000">
                <a:solidFill>
                  <a:srgbClr val="000000"/>
                </a:solidFill>
                <a:latin typeface="MS Sans Serif"/>
              </a:rPr>
              <a:t>initial</a:t>
            </a:r>
            <a:r>
              <a:rPr lang="en-US" sz="1000" b="1" i="0" u="none" strike="noStrike" baseline="0">
                <a:solidFill>
                  <a:srgbClr val="000000"/>
                </a:solidFill>
                <a:latin typeface="MS Sans Serif"/>
              </a:rPr>
              <a:t> vs. % AC</a:t>
            </a:r>
          </a:p>
        </c:rich>
      </c:tx>
      <c:layout>
        <c:manualLayout>
          <c:xMode val="edge"/>
          <c:yMode val="edge"/>
          <c:x val="0.29793637333794815"/>
          <c:y val="4.025612183092498E-2"/>
        </c:manualLayout>
      </c:layout>
      <c:overlay val="0"/>
      <c:spPr>
        <a:noFill/>
        <a:ln w="25400">
          <a:noFill/>
        </a:ln>
      </c:spPr>
    </c:title>
    <c:autoTitleDeleted val="0"/>
    <c:plotArea>
      <c:layout>
        <c:manualLayout>
          <c:layoutTarget val="inner"/>
          <c:xMode val="edge"/>
          <c:yMode val="edge"/>
          <c:x val="0.1235883821231049"/>
          <c:y val="0.13687005155166043"/>
          <c:w val="0.84967012709634615"/>
          <c:h val="0.76888764254022568"/>
        </c:manualLayout>
      </c:layout>
      <c:scatterChart>
        <c:scatterStyle val="lineMarker"/>
        <c:varyColors val="0"/>
        <c:ser>
          <c:idx val="1"/>
          <c:order val="0"/>
          <c:spPr>
            <a:ln w="28575">
              <a:noFill/>
            </a:ln>
          </c:spPr>
          <c:marker>
            <c:symbol val="square"/>
            <c:size val="5"/>
            <c:spPr>
              <a:solidFill>
                <a:srgbClr val="FF0000"/>
              </a:solidFill>
              <a:ln>
                <a:solidFill>
                  <a:srgbClr val="000000"/>
                </a:solidFill>
                <a:prstDash val="solid"/>
              </a:ln>
            </c:spPr>
          </c:marker>
          <c:xVal>
            <c:numRef>
              <c:f>Graphs!$C$188:$C$189</c:f>
              <c:numCache>
                <c:formatCode>0.0</c:formatCode>
                <c:ptCount val="2"/>
              </c:numCache>
            </c:numRef>
          </c:xVal>
          <c:yVal>
            <c:numRef>
              <c:f>Graphs!$D$188:$D$189</c:f>
              <c:numCache>
                <c:formatCode>0</c:formatCode>
                <c:ptCount val="2"/>
              </c:numCache>
            </c:numRef>
          </c:yVal>
          <c:smooth val="0"/>
          <c:extLst>
            <c:ext xmlns:c16="http://schemas.microsoft.com/office/drawing/2014/chart" uri="{C3380CC4-5D6E-409C-BE32-E72D297353CC}">
              <c16:uniqueId val="{00000000-AA73-4674-8EF3-BFE34AA93DA6}"/>
            </c:ext>
          </c:extLst>
        </c:ser>
        <c:ser>
          <c:idx val="0"/>
          <c:order val="1"/>
          <c:spPr>
            <a:ln w="28575">
              <a:noFill/>
            </a:ln>
          </c:spPr>
          <c:marker>
            <c:symbol val="circle"/>
            <c:size val="5"/>
            <c:spPr>
              <a:solidFill>
                <a:srgbClr val="FF0000"/>
              </a:solidFill>
              <a:ln>
                <a:solidFill>
                  <a:srgbClr val="000000"/>
                </a:solidFill>
                <a:prstDash val="solid"/>
              </a:ln>
            </c:spPr>
          </c:marker>
          <c:trendline>
            <c:spPr>
              <a:ln w="25400">
                <a:solidFill>
                  <a:srgbClr val="000000"/>
                </a:solidFill>
                <a:prstDash val="solid"/>
              </a:ln>
            </c:spPr>
            <c:trendlineType val="linear"/>
            <c:dispRSqr val="0"/>
            <c:dispEq val="0"/>
          </c:trendline>
          <c:xVal>
            <c:numRef>
              <c:f>'Design Data'!$A$86:$A$89</c:f>
            </c:numRef>
          </c:xVal>
          <c:yVal>
            <c:numRef>
              <c:f>'Design Data'!$B$86:$B$89</c:f>
              <c:numCache>
                <c:formatCode>0.0</c:formatCode>
                <c:ptCount val="4"/>
                <c:pt idx="0">
                  <c:v>0</c:v>
                </c:pt>
                <c:pt idx="1">
                  <c:v>0</c:v>
                </c:pt>
                <c:pt idx="2">
                  <c:v>0</c:v>
                </c:pt>
                <c:pt idx="3">
                  <c:v>0</c:v>
                </c:pt>
              </c:numCache>
            </c:numRef>
          </c:yVal>
          <c:smooth val="0"/>
          <c:extLst>
            <c:ext xmlns:c16="http://schemas.microsoft.com/office/drawing/2014/chart" uri="{C3380CC4-5D6E-409C-BE32-E72D297353CC}">
              <c16:uniqueId val="{00000001-AA73-4674-8EF3-BFE34AA93DA6}"/>
            </c:ext>
          </c:extLst>
        </c:ser>
        <c:ser>
          <c:idx val="2"/>
          <c:order val="2"/>
          <c:spPr>
            <a:ln w="38100">
              <a:solidFill>
                <a:srgbClr val="FF0000"/>
              </a:solidFill>
              <a:prstDash val="sysDash"/>
            </a:ln>
          </c:spPr>
          <c:marker>
            <c:symbol val="none"/>
          </c:marker>
          <c:xVal>
            <c:numRef>
              <c:f>'Design Data'!$A$103:$A$104</c:f>
            </c:numRef>
          </c:xVal>
          <c:yVal>
            <c:numRef>
              <c:f>'Design Data'!$B$103:$B$104</c:f>
              <c:numCache>
                <c:formatCode>0.0</c:formatCode>
                <c:ptCount val="2"/>
                <c:pt idx="0">
                  <c:v>0</c:v>
                </c:pt>
                <c:pt idx="1">
                  <c:v>0</c:v>
                </c:pt>
              </c:numCache>
            </c:numRef>
          </c:yVal>
          <c:smooth val="0"/>
          <c:extLst>
            <c:ext xmlns:c16="http://schemas.microsoft.com/office/drawing/2014/chart" uri="{C3380CC4-5D6E-409C-BE32-E72D297353CC}">
              <c16:uniqueId val="{00000002-AA73-4674-8EF3-BFE34AA93DA6}"/>
            </c:ext>
          </c:extLst>
        </c:ser>
        <c:dLbls>
          <c:showLegendKey val="0"/>
          <c:showVal val="0"/>
          <c:showCatName val="0"/>
          <c:showSerName val="0"/>
          <c:showPercent val="0"/>
          <c:showBubbleSize val="0"/>
        </c:dLbls>
        <c:axId val="425520392"/>
        <c:axId val="1"/>
      </c:scatterChart>
      <c:valAx>
        <c:axId val="425520392"/>
        <c:scaling>
          <c:orientation val="minMax"/>
          <c:max val="5.5"/>
          <c:min val="4"/>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800" b="1" i="0" u="none" strike="noStrike" baseline="0">
                    <a:solidFill>
                      <a:srgbClr val="000000"/>
                    </a:solidFill>
                    <a:latin typeface="MS Sans Serif"/>
                    <a:ea typeface="MS Sans Serif"/>
                    <a:cs typeface="MS Sans Serif"/>
                  </a:defRPr>
                </a:pPr>
                <a:r>
                  <a:rPr lang="en-US"/>
                  <a:t>% AC</a:t>
                </a:r>
              </a:p>
            </c:rich>
          </c:tx>
          <c:layout>
            <c:manualLayout>
              <c:xMode val="edge"/>
              <c:yMode val="edge"/>
              <c:x val="0.50980219780219782"/>
              <c:y val="0.90978320017690095"/>
            </c:manualLayout>
          </c:layout>
          <c:overlay val="0"/>
          <c:spPr>
            <a:noFill/>
            <a:ln w="25400">
              <a:noFill/>
            </a:ln>
          </c:spPr>
        </c:title>
        <c:numFmt formatCode="0.0" sourceLinked="0"/>
        <c:majorTickMark val="cross"/>
        <c:minorTickMark val="none"/>
        <c:tickLblPos val="nextTo"/>
        <c:spPr>
          <a:ln w="12700">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1"/>
        <c:crossesAt val="50"/>
        <c:crossBetween val="midCat"/>
        <c:majorUnit val="0.5"/>
        <c:minorUnit val="0.1"/>
      </c:valAx>
      <c:valAx>
        <c:axId val="1"/>
        <c:scaling>
          <c:orientation val="minMax"/>
          <c:max val="92"/>
          <c:min val="84"/>
        </c:scaling>
        <c:delete val="0"/>
        <c:axPos val="l"/>
        <c:majorGridlines>
          <c:spPr>
            <a:ln w="12700">
              <a:solidFill>
                <a:srgbClr val="000000"/>
              </a:solidFill>
              <a:prstDash val="solid"/>
            </a:ln>
          </c:spPr>
        </c:majorGridlines>
        <c:minorGridlines>
          <c:spPr>
            <a:ln w="3175">
              <a:solidFill>
                <a:srgbClr val="000000"/>
              </a:solidFill>
              <a:prstDash val="solid"/>
            </a:ln>
          </c:spPr>
        </c:minorGridlines>
        <c:title>
          <c:tx>
            <c:rich>
              <a:bodyPr/>
              <a:lstStyle/>
              <a:p>
                <a:pPr>
                  <a:defRPr sz="1100" b="0" i="0" u="none" strike="noStrike" baseline="0">
                    <a:solidFill>
                      <a:srgbClr val="000000"/>
                    </a:solidFill>
                    <a:latin typeface="Calibri"/>
                    <a:ea typeface="Calibri"/>
                    <a:cs typeface="Calibri"/>
                  </a:defRPr>
                </a:pPr>
                <a:r>
                  <a:rPr lang="en-US" sz="800" b="1" i="0" u="none" strike="noStrike" baseline="0">
                    <a:solidFill>
                      <a:srgbClr val="000000"/>
                    </a:solidFill>
                    <a:latin typeface="MS Sans Serif"/>
                  </a:rPr>
                  <a:t>% G</a:t>
                </a:r>
                <a:r>
                  <a:rPr lang="en-US" sz="800" b="1" i="0" u="none" strike="noStrike" baseline="-25000">
                    <a:solidFill>
                      <a:srgbClr val="000000"/>
                    </a:solidFill>
                    <a:latin typeface="MS Sans Serif"/>
                  </a:rPr>
                  <a:t>mm</a:t>
                </a:r>
                <a:r>
                  <a:rPr lang="en-US" sz="800" b="1" i="0" u="none" strike="noStrike" baseline="0">
                    <a:solidFill>
                      <a:srgbClr val="000000"/>
                    </a:solidFill>
                    <a:latin typeface="MS Sans Serif"/>
                  </a:rPr>
                  <a:t> @ N</a:t>
                </a:r>
                <a:r>
                  <a:rPr lang="en-US" sz="800" b="1" i="0" u="none" strike="noStrike" baseline="-25000">
                    <a:solidFill>
                      <a:srgbClr val="000000"/>
                    </a:solidFill>
                    <a:latin typeface="MS Sans Serif"/>
                  </a:rPr>
                  <a:t>initial</a:t>
                </a:r>
              </a:p>
            </c:rich>
          </c:tx>
          <c:layout>
            <c:manualLayout>
              <c:xMode val="edge"/>
              <c:yMode val="edge"/>
              <c:x val="1.9862363358426349E-2"/>
              <c:y val="0.30594483381884957"/>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425520392"/>
        <c:crossesAt val="4"/>
        <c:crossBetween val="midCat"/>
        <c:majorUnit val="1"/>
        <c:minorUnit val="0.5"/>
      </c:valAx>
      <c:spPr>
        <a:noFill/>
        <a:ln w="25400">
          <a:noFill/>
        </a:ln>
      </c:spPr>
    </c:plotArea>
    <c:plotVisOnly val="0"/>
    <c:dispBlanksAs val="gap"/>
    <c:showDLblsOverMax val="0"/>
  </c:chart>
  <c:spPr>
    <a:no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1343" r="0.75000000000001343" t="1" header="0.5" footer="0.5"/>
    <c:pageSetup orientation="portrait"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S Sans Serif"/>
                <a:ea typeface="MS Sans Serif"/>
                <a:cs typeface="MS Sans Serif"/>
              </a:defRPr>
            </a:pPr>
            <a:r>
              <a:rPr lang="en-US"/>
              <a:t>% Air Voids vs. % AC</a:t>
            </a:r>
          </a:p>
        </c:rich>
      </c:tx>
      <c:layout>
        <c:manualLayout>
          <c:xMode val="edge"/>
          <c:yMode val="edge"/>
          <c:x val="0.33545406824146978"/>
          <c:y val="3.5692064227265709E-2"/>
        </c:manualLayout>
      </c:layout>
      <c:overlay val="0"/>
      <c:spPr>
        <a:noFill/>
        <a:ln w="25400">
          <a:noFill/>
        </a:ln>
      </c:spPr>
    </c:title>
    <c:autoTitleDeleted val="0"/>
    <c:plotArea>
      <c:layout>
        <c:manualLayout>
          <c:layoutTarget val="inner"/>
          <c:xMode val="edge"/>
          <c:yMode val="edge"/>
          <c:x val="9.0484351197274243E-2"/>
          <c:y val="0.10350653843372119"/>
          <c:w val="0.88277415802217785"/>
          <c:h val="0.81020635256740381"/>
        </c:manualLayout>
      </c:layout>
      <c:scatterChart>
        <c:scatterStyle val="lineMarker"/>
        <c:varyColors val="0"/>
        <c:ser>
          <c:idx val="1"/>
          <c:order val="0"/>
          <c:spPr>
            <a:ln w="28575">
              <a:noFill/>
            </a:ln>
          </c:spPr>
          <c:marker>
            <c:symbol val="square"/>
            <c:size val="5"/>
            <c:spPr>
              <a:solidFill>
                <a:srgbClr val="FF0000"/>
              </a:solidFill>
              <a:ln>
                <a:solidFill>
                  <a:srgbClr val="000000"/>
                </a:solidFill>
                <a:prstDash val="solid"/>
              </a:ln>
            </c:spPr>
          </c:marker>
          <c:xVal>
            <c:numRef>
              <c:f>Graphs!$A$190:$A$191</c:f>
              <c:numCache>
                <c:formatCode>0.0</c:formatCode>
                <c:ptCount val="2"/>
              </c:numCache>
            </c:numRef>
          </c:xVal>
          <c:yVal>
            <c:numRef>
              <c:f>Graphs!$B$190:$B$191</c:f>
              <c:numCache>
                <c:formatCode>0.0</c:formatCode>
                <c:ptCount val="2"/>
              </c:numCache>
            </c:numRef>
          </c:yVal>
          <c:smooth val="0"/>
          <c:extLst>
            <c:ext xmlns:c16="http://schemas.microsoft.com/office/drawing/2014/chart" uri="{C3380CC4-5D6E-409C-BE32-E72D297353CC}">
              <c16:uniqueId val="{00000000-A46F-40DE-AC8C-1157AC2ED8C3}"/>
            </c:ext>
          </c:extLst>
        </c:ser>
        <c:ser>
          <c:idx val="0"/>
          <c:order val="1"/>
          <c:spPr>
            <a:ln w="28575">
              <a:noFill/>
            </a:ln>
          </c:spPr>
          <c:marker>
            <c:symbol val="circle"/>
            <c:size val="5"/>
            <c:spPr>
              <a:solidFill>
                <a:srgbClr val="FF0000"/>
              </a:solidFill>
              <a:ln>
                <a:solidFill>
                  <a:srgbClr val="000000"/>
                </a:solidFill>
                <a:prstDash val="solid"/>
              </a:ln>
            </c:spPr>
          </c:marker>
          <c:trendline>
            <c:spPr>
              <a:ln w="25400">
                <a:solidFill>
                  <a:srgbClr val="000000"/>
                </a:solidFill>
                <a:prstDash val="solid"/>
              </a:ln>
            </c:spPr>
            <c:trendlineType val="power"/>
            <c:dispRSqr val="0"/>
            <c:dispEq val="0"/>
          </c:trendline>
          <c:xVal>
            <c:numRef>
              <c:f>'Design Data'!$C$86:$C$89</c:f>
            </c:numRef>
          </c:xVal>
          <c:yVal>
            <c:numRef>
              <c:f>'Design Data'!$D$86:$D$89</c:f>
              <c:numCache>
                <c:formatCode>0.0</c:formatCode>
                <c:ptCount val="4"/>
                <c:pt idx="0">
                  <c:v>0</c:v>
                </c:pt>
                <c:pt idx="1">
                  <c:v>0</c:v>
                </c:pt>
                <c:pt idx="2">
                  <c:v>0</c:v>
                </c:pt>
                <c:pt idx="3">
                  <c:v>0</c:v>
                </c:pt>
              </c:numCache>
            </c:numRef>
          </c:yVal>
          <c:smooth val="0"/>
          <c:extLst>
            <c:ext xmlns:c16="http://schemas.microsoft.com/office/drawing/2014/chart" uri="{C3380CC4-5D6E-409C-BE32-E72D297353CC}">
              <c16:uniqueId val="{00000001-A46F-40DE-AC8C-1157AC2ED8C3}"/>
            </c:ext>
          </c:extLst>
        </c:ser>
        <c:ser>
          <c:idx val="2"/>
          <c:order val="2"/>
          <c:spPr>
            <a:ln w="38100">
              <a:solidFill>
                <a:srgbClr val="FF0000"/>
              </a:solidFill>
              <a:prstDash val="sysDash"/>
            </a:ln>
          </c:spPr>
          <c:marker>
            <c:symbol val="none"/>
          </c:marker>
          <c:xVal>
            <c:numRef>
              <c:f>'Design Data'!$C$103:$C$104</c:f>
            </c:numRef>
          </c:xVal>
          <c:yVal>
            <c:numRef>
              <c:f>'Design Data'!$D$103:$D$104</c:f>
              <c:numCache>
                <c:formatCode>0.0</c:formatCode>
                <c:ptCount val="2"/>
                <c:pt idx="0">
                  <c:v>0</c:v>
                </c:pt>
                <c:pt idx="1">
                  <c:v>0</c:v>
                </c:pt>
              </c:numCache>
            </c:numRef>
          </c:yVal>
          <c:smooth val="0"/>
          <c:extLst>
            <c:ext xmlns:c16="http://schemas.microsoft.com/office/drawing/2014/chart" uri="{C3380CC4-5D6E-409C-BE32-E72D297353CC}">
              <c16:uniqueId val="{00000002-A46F-40DE-AC8C-1157AC2ED8C3}"/>
            </c:ext>
          </c:extLst>
        </c:ser>
        <c:dLbls>
          <c:showLegendKey val="0"/>
          <c:showVal val="0"/>
          <c:showCatName val="0"/>
          <c:showSerName val="0"/>
          <c:showPercent val="0"/>
          <c:showBubbleSize val="0"/>
        </c:dLbls>
        <c:axId val="425515144"/>
        <c:axId val="1"/>
      </c:scatterChart>
      <c:valAx>
        <c:axId val="425515144"/>
        <c:scaling>
          <c:orientation val="minMax"/>
          <c:max val="5.5"/>
          <c:min val="4"/>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800" b="1" i="0" u="none" strike="noStrike" baseline="0">
                    <a:solidFill>
                      <a:srgbClr val="000000"/>
                    </a:solidFill>
                    <a:latin typeface="MS Sans Serif"/>
                    <a:ea typeface="MS Sans Serif"/>
                    <a:cs typeface="MS Sans Serif"/>
                  </a:defRPr>
                </a:pPr>
                <a:r>
                  <a:rPr lang="en-US"/>
                  <a:t>% AC</a:t>
                </a:r>
              </a:p>
            </c:rich>
          </c:tx>
          <c:layout>
            <c:manualLayout>
              <c:xMode val="edge"/>
              <c:yMode val="edge"/>
              <c:x val="0.49435343658965708"/>
              <c:y val="0.92085108846688291"/>
            </c:manualLayout>
          </c:layout>
          <c:overlay val="0"/>
          <c:spPr>
            <a:noFill/>
            <a:ln w="25400">
              <a:noFill/>
            </a:ln>
          </c:spPr>
        </c:title>
        <c:numFmt formatCode="0.0" sourceLinked="0"/>
        <c:majorTickMark val="cross"/>
        <c:minorTickMark val="none"/>
        <c:tickLblPos val="nextTo"/>
        <c:spPr>
          <a:ln w="12700">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1"/>
        <c:crossesAt val="1"/>
        <c:crossBetween val="midCat"/>
        <c:majorUnit val="0.5"/>
        <c:minorUnit val="0.1"/>
      </c:valAx>
      <c:valAx>
        <c:axId val="1"/>
        <c:scaling>
          <c:orientation val="minMax"/>
          <c:max val="7"/>
          <c:min val="1"/>
        </c:scaling>
        <c:delete val="0"/>
        <c:axPos val="l"/>
        <c:majorGridlines>
          <c:spPr>
            <a:ln w="12700">
              <a:solidFill>
                <a:srgbClr val="000000"/>
              </a:solidFill>
              <a:prstDash val="solid"/>
            </a:ln>
          </c:spPr>
        </c:majorGridlines>
        <c:minorGridlines>
          <c:spPr>
            <a:ln w="3175">
              <a:solidFill>
                <a:srgbClr val="000000"/>
              </a:solidFill>
              <a:prstDash val="solid"/>
            </a:ln>
          </c:spPr>
        </c:minorGridlines>
        <c:title>
          <c:tx>
            <c:rich>
              <a:bodyPr/>
              <a:lstStyle/>
              <a:p>
                <a:pPr>
                  <a:defRPr sz="800" b="1" i="0" u="none" strike="noStrike" baseline="0">
                    <a:solidFill>
                      <a:srgbClr val="000000"/>
                    </a:solidFill>
                    <a:latin typeface="MS Sans Serif"/>
                    <a:ea typeface="MS Sans Serif"/>
                    <a:cs typeface="MS Sans Serif"/>
                  </a:defRPr>
                </a:pPr>
                <a:r>
                  <a:rPr lang="en-US"/>
                  <a:t>% Air Voids</a:t>
                </a:r>
              </a:p>
            </c:rich>
          </c:tx>
          <c:layout>
            <c:manualLayout>
              <c:xMode val="edge"/>
              <c:yMode val="edge"/>
              <c:x val="1.1034697585878689E-2"/>
              <c:y val="0.38547244094488192"/>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425515144"/>
        <c:crossesAt val="4"/>
        <c:crossBetween val="midCat"/>
        <c:majorUnit val="1"/>
        <c:minorUnit val="0.2"/>
      </c:valAx>
      <c:spPr>
        <a:noFill/>
        <a:ln w="25400">
          <a:noFill/>
        </a:ln>
      </c:spPr>
    </c:plotArea>
    <c:plotVisOnly val="0"/>
    <c:dispBlanksAs val="gap"/>
    <c:showDLblsOverMax val="0"/>
  </c:chart>
  <c:spPr>
    <a:no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1343" r="0.75000000000001343" t="1" header="0.5" footer="0.5"/>
    <c:pageSetup orientation="portrait" horizontalDpi="-4" verticalDpi="-4"/>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S Sans Serif"/>
                <a:ea typeface="MS Sans Serif"/>
                <a:cs typeface="MS Sans Serif"/>
              </a:defRPr>
            </a:pPr>
            <a:r>
              <a:rPr lang="en-US"/>
              <a:t>% VMA vs. % AC</a:t>
            </a:r>
          </a:p>
        </c:rich>
      </c:tx>
      <c:layout>
        <c:manualLayout>
          <c:xMode val="edge"/>
          <c:yMode val="edge"/>
          <c:x val="0.37076519281243692"/>
          <c:y val="3.7921102558809365E-2"/>
        </c:manualLayout>
      </c:layout>
      <c:overlay val="0"/>
      <c:spPr>
        <a:noFill/>
        <a:ln w="25400">
          <a:noFill/>
        </a:ln>
      </c:spPr>
    </c:title>
    <c:autoTitleDeleted val="0"/>
    <c:plotArea>
      <c:layout>
        <c:manualLayout>
          <c:layoutTarget val="inner"/>
          <c:xMode val="edge"/>
          <c:yMode val="edge"/>
          <c:x val="9.0484351197274243E-2"/>
          <c:y val="0.10238682243674196"/>
          <c:w val="0.88277415802217785"/>
          <c:h val="0.81151037042454721"/>
        </c:manualLayout>
      </c:layout>
      <c:scatterChart>
        <c:scatterStyle val="lineMarker"/>
        <c:varyColors val="0"/>
        <c:ser>
          <c:idx val="1"/>
          <c:order val="0"/>
          <c:spPr>
            <a:ln w="25400">
              <a:solidFill>
                <a:srgbClr val="000000"/>
              </a:solidFill>
              <a:prstDash val="solid"/>
            </a:ln>
          </c:spPr>
          <c:marker>
            <c:symbol val="square"/>
            <c:size val="5"/>
            <c:spPr>
              <a:solidFill>
                <a:srgbClr val="FF0000"/>
              </a:solidFill>
              <a:ln>
                <a:solidFill>
                  <a:srgbClr val="000000"/>
                </a:solidFill>
                <a:prstDash val="solid"/>
              </a:ln>
            </c:spPr>
          </c:marker>
          <c:xVal>
            <c:numRef>
              <c:f>Graphs!$C$190:$C$191</c:f>
              <c:numCache>
                <c:formatCode>0.0</c:formatCode>
                <c:ptCount val="2"/>
              </c:numCache>
            </c:numRef>
          </c:xVal>
          <c:yVal>
            <c:numRef>
              <c:f>Graphs!$D$190:$D$191</c:f>
              <c:numCache>
                <c:formatCode>0.000</c:formatCode>
                <c:ptCount val="2"/>
              </c:numCache>
            </c:numRef>
          </c:yVal>
          <c:smooth val="0"/>
          <c:extLst>
            <c:ext xmlns:c16="http://schemas.microsoft.com/office/drawing/2014/chart" uri="{C3380CC4-5D6E-409C-BE32-E72D297353CC}">
              <c16:uniqueId val="{00000000-0CDC-43BD-83EE-59150015B6D3}"/>
            </c:ext>
          </c:extLst>
        </c:ser>
        <c:ser>
          <c:idx val="0"/>
          <c:order val="1"/>
          <c:spPr>
            <a:ln w="28575">
              <a:noFill/>
            </a:ln>
          </c:spPr>
          <c:marker>
            <c:symbol val="circle"/>
            <c:size val="5"/>
            <c:spPr>
              <a:solidFill>
                <a:srgbClr val="FF0000"/>
              </a:solidFill>
              <a:ln>
                <a:solidFill>
                  <a:srgbClr val="000000"/>
                </a:solidFill>
                <a:prstDash val="solid"/>
              </a:ln>
            </c:spPr>
          </c:marker>
          <c:trendline>
            <c:spPr>
              <a:ln w="25400">
                <a:solidFill>
                  <a:srgbClr val="000000"/>
                </a:solidFill>
                <a:prstDash val="solid"/>
              </a:ln>
            </c:spPr>
            <c:trendlineType val="linear"/>
            <c:dispRSqr val="0"/>
            <c:dispEq val="0"/>
          </c:trendline>
          <c:xVal>
            <c:numRef>
              <c:f>'Design Data'!$E$86:$E$89</c:f>
            </c:numRef>
          </c:xVal>
          <c:yVal>
            <c:numRef>
              <c:f>'Design Data'!$F$86:$F$89</c:f>
              <c:numCache>
                <c:formatCode>0.0</c:formatCode>
                <c:ptCount val="4"/>
                <c:pt idx="0">
                  <c:v>0</c:v>
                </c:pt>
                <c:pt idx="1">
                  <c:v>0</c:v>
                </c:pt>
                <c:pt idx="2">
                  <c:v>0</c:v>
                </c:pt>
                <c:pt idx="3">
                  <c:v>0</c:v>
                </c:pt>
              </c:numCache>
            </c:numRef>
          </c:yVal>
          <c:smooth val="0"/>
          <c:extLst>
            <c:ext xmlns:c16="http://schemas.microsoft.com/office/drawing/2014/chart" uri="{C3380CC4-5D6E-409C-BE32-E72D297353CC}">
              <c16:uniqueId val="{00000001-0CDC-43BD-83EE-59150015B6D3}"/>
            </c:ext>
          </c:extLst>
        </c:ser>
        <c:ser>
          <c:idx val="2"/>
          <c:order val="2"/>
          <c:spPr>
            <a:ln w="38100">
              <a:solidFill>
                <a:srgbClr val="FF0000"/>
              </a:solidFill>
              <a:prstDash val="sysDash"/>
            </a:ln>
          </c:spPr>
          <c:marker>
            <c:symbol val="none"/>
          </c:marker>
          <c:xVal>
            <c:numRef>
              <c:f>'Design Data'!$E$103:$E$104</c:f>
            </c:numRef>
          </c:xVal>
          <c:yVal>
            <c:numRef>
              <c:f>'Design Data'!$F$103:$F$104</c:f>
              <c:numCache>
                <c:formatCode>0</c:formatCode>
                <c:ptCount val="2"/>
                <c:pt idx="0">
                  <c:v>0</c:v>
                </c:pt>
                <c:pt idx="1">
                  <c:v>0</c:v>
                </c:pt>
              </c:numCache>
            </c:numRef>
          </c:yVal>
          <c:smooth val="0"/>
          <c:extLst>
            <c:ext xmlns:c16="http://schemas.microsoft.com/office/drawing/2014/chart" uri="{C3380CC4-5D6E-409C-BE32-E72D297353CC}">
              <c16:uniqueId val="{00000002-0CDC-43BD-83EE-59150015B6D3}"/>
            </c:ext>
          </c:extLst>
        </c:ser>
        <c:dLbls>
          <c:showLegendKey val="0"/>
          <c:showVal val="0"/>
          <c:showCatName val="0"/>
          <c:showSerName val="0"/>
          <c:showPercent val="0"/>
          <c:showBubbleSize val="0"/>
        </c:dLbls>
        <c:axId val="425512848"/>
        <c:axId val="1"/>
      </c:scatterChart>
      <c:valAx>
        <c:axId val="425512848"/>
        <c:scaling>
          <c:orientation val="minMax"/>
          <c:max val="5.5"/>
          <c:min val="4"/>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800" b="1" i="0" u="none" strike="noStrike" baseline="0">
                    <a:solidFill>
                      <a:srgbClr val="000000"/>
                    </a:solidFill>
                    <a:latin typeface="MS Sans Serif"/>
                    <a:ea typeface="MS Sans Serif"/>
                    <a:cs typeface="MS Sans Serif"/>
                  </a:defRPr>
                </a:pPr>
                <a:r>
                  <a:rPr lang="en-US"/>
                  <a:t>% AC</a:t>
                </a:r>
              </a:p>
            </c:rich>
          </c:tx>
          <c:layout>
            <c:manualLayout>
              <c:xMode val="edge"/>
              <c:yMode val="edge"/>
              <c:x val="0.49435343658965708"/>
              <c:y val="0.91768910908608325"/>
            </c:manualLayout>
          </c:layout>
          <c:overlay val="0"/>
          <c:spPr>
            <a:noFill/>
            <a:ln w="25400">
              <a:noFill/>
            </a:ln>
          </c:spPr>
        </c:title>
        <c:numFmt formatCode="0.0" sourceLinked="0"/>
        <c:majorTickMark val="cross"/>
        <c:minorTickMark val="none"/>
        <c:tickLblPos val="nextTo"/>
        <c:spPr>
          <a:ln w="12700">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1"/>
        <c:crossesAt val="2"/>
        <c:crossBetween val="midCat"/>
        <c:majorUnit val="0.5"/>
        <c:minorUnit val="0.1"/>
      </c:valAx>
      <c:valAx>
        <c:axId val="1"/>
        <c:scaling>
          <c:orientation val="minMax"/>
          <c:max val="16"/>
          <c:min val="14"/>
        </c:scaling>
        <c:delete val="0"/>
        <c:axPos val="l"/>
        <c:majorGridlines>
          <c:spPr>
            <a:ln w="12700">
              <a:solidFill>
                <a:srgbClr val="000000"/>
              </a:solidFill>
              <a:prstDash val="solid"/>
            </a:ln>
          </c:spPr>
        </c:majorGridlines>
        <c:minorGridlines>
          <c:spPr>
            <a:ln w="3175">
              <a:solidFill>
                <a:srgbClr val="000000"/>
              </a:solidFill>
              <a:prstDash val="solid"/>
            </a:ln>
          </c:spPr>
        </c:minorGridlines>
        <c:title>
          <c:tx>
            <c:rich>
              <a:bodyPr/>
              <a:lstStyle/>
              <a:p>
                <a:pPr>
                  <a:defRPr sz="800" b="1" i="0" u="none" strike="noStrike" baseline="0">
                    <a:solidFill>
                      <a:srgbClr val="000000"/>
                    </a:solidFill>
                    <a:latin typeface="MS Sans Serif"/>
                    <a:ea typeface="MS Sans Serif"/>
                    <a:cs typeface="MS Sans Serif"/>
                  </a:defRPr>
                </a:pPr>
                <a:r>
                  <a:rPr lang="en-US"/>
                  <a:t>% VMA</a:t>
                </a:r>
              </a:p>
            </c:rich>
          </c:tx>
          <c:layout>
            <c:manualLayout>
              <c:xMode val="edge"/>
              <c:yMode val="edge"/>
              <c:x val="1.1034697585878689E-2"/>
              <c:y val="0.42471556224011325"/>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425512848"/>
        <c:crossesAt val="4"/>
        <c:crossBetween val="midCat"/>
        <c:majorUnit val="1"/>
        <c:minorUnit val="0.2"/>
      </c:valAx>
      <c:spPr>
        <a:noFill/>
        <a:ln w="25400">
          <a:noFill/>
        </a:ln>
      </c:spPr>
    </c:plotArea>
    <c:plotVisOnly val="0"/>
    <c:dispBlanksAs val="gap"/>
    <c:showDLblsOverMax val="0"/>
  </c:chart>
  <c:spPr>
    <a:no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1343" r="0.75000000000001343" t="1" header="0.5" footer="0.5"/>
    <c:pageSetup orientation="portrait" horizontalDpi="-4" verticalDpi="-4"/>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S Sans Serif"/>
                <a:ea typeface="MS Sans Serif"/>
                <a:cs typeface="MS Sans Serif"/>
              </a:defRPr>
            </a:pPr>
            <a:r>
              <a:rPr lang="en-US"/>
              <a:t>Unit Weight vs. % AC</a:t>
            </a:r>
          </a:p>
        </c:rich>
      </c:tx>
      <c:layout>
        <c:manualLayout>
          <c:xMode val="edge"/>
          <c:yMode val="edge"/>
          <c:x val="0.33766110005480082"/>
          <c:y val="3.8453654831607585E-2"/>
        </c:manualLayout>
      </c:layout>
      <c:overlay val="0"/>
      <c:spPr>
        <a:noFill/>
        <a:ln w="25400">
          <a:noFill/>
        </a:ln>
      </c:spPr>
    </c:title>
    <c:autoTitleDeleted val="0"/>
    <c:plotArea>
      <c:layout>
        <c:manualLayout>
          <c:layoutTarget val="inner"/>
          <c:xMode val="edge"/>
          <c:yMode val="edge"/>
          <c:x val="0.11034676975277218"/>
          <c:y val="0.10487409646232"/>
          <c:w val="0.86291173946667965"/>
          <c:h val="0.81102634597527357"/>
        </c:manualLayout>
      </c:layout>
      <c:scatterChart>
        <c:scatterStyle val="lineMarker"/>
        <c:varyColors val="0"/>
        <c:ser>
          <c:idx val="1"/>
          <c:order val="0"/>
          <c:spPr>
            <a:ln w="28575">
              <a:noFill/>
            </a:ln>
          </c:spPr>
          <c:marker>
            <c:symbol val="square"/>
            <c:size val="5"/>
            <c:spPr>
              <a:solidFill>
                <a:srgbClr val="FF0000"/>
              </a:solidFill>
              <a:ln>
                <a:solidFill>
                  <a:srgbClr val="000000"/>
                </a:solidFill>
                <a:prstDash val="solid"/>
              </a:ln>
            </c:spPr>
          </c:marker>
          <c:xVal>
            <c:numRef>
              <c:f>Graphs!$A$192:$A$193</c:f>
              <c:numCache>
                <c:formatCode>0.0</c:formatCode>
                <c:ptCount val="2"/>
              </c:numCache>
            </c:numRef>
          </c:xVal>
          <c:yVal>
            <c:numRef>
              <c:f>Graphs!$B$192:$B$193</c:f>
              <c:numCache>
                <c:formatCode>0</c:formatCode>
                <c:ptCount val="2"/>
              </c:numCache>
            </c:numRef>
          </c:yVal>
          <c:smooth val="0"/>
          <c:extLst>
            <c:ext xmlns:c16="http://schemas.microsoft.com/office/drawing/2014/chart" uri="{C3380CC4-5D6E-409C-BE32-E72D297353CC}">
              <c16:uniqueId val="{00000000-7390-48D7-87DA-51B0AE4DC7B5}"/>
            </c:ext>
          </c:extLst>
        </c:ser>
        <c:ser>
          <c:idx val="0"/>
          <c:order val="1"/>
          <c:spPr>
            <a:ln w="28575">
              <a:noFill/>
            </a:ln>
          </c:spPr>
          <c:marker>
            <c:symbol val="circle"/>
            <c:size val="5"/>
            <c:spPr>
              <a:solidFill>
                <a:srgbClr val="FF0000"/>
              </a:solidFill>
              <a:ln>
                <a:solidFill>
                  <a:srgbClr val="000000"/>
                </a:solidFill>
                <a:prstDash val="solid"/>
              </a:ln>
            </c:spPr>
          </c:marker>
          <c:trendline>
            <c:spPr>
              <a:ln w="25400">
                <a:solidFill>
                  <a:srgbClr val="000000"/>
                </a:solidFill>
                <a:prstDash val="solid"/>
              </a:ln>
            </c:spPr>
            <c:trendlineType val="log"/>
            <c:dispRSqr val="0"/>
            <c:dispEq val="0"/>
          </c:trendline>
          <c:xVal>
            <c:numRef>
              <c:f>'Design Data'!$C$91:$C$94</c:f>
            </c:numRef>
          </c:xVal>
          <c:yVal>
            <c:numRef>
              <c:f>'Design Data'!$D$91:$D$94</c:f>
              <c:numCache>
                <c:formatCode>0.0</c:formatCode>
                <c:ptCount val="4"/>
                <c:pt idx="0">
                  <c:v>0</c:v>
                </c:pt>
                <c:pt idx="1">
                  <c:v>0</c:v>
                </c:pt>
                <c:pt idx="2">
                  <c:v>0</c:v>
                </c:pt>
                <c:pt idx="3">
                  <c:v>0</c:v>
                </c:pt>
              </c:numCache>
            </c:numRef>
          </c:yVal>
          <c:smooth val="0"/>
          <c:extLst>
            <c:ext xmlns:c16="http://schemas.microsoft.com/office/drawing/2014/chart" uri="{C3380CC4-5D6E-409C-BE32-E72D297353CC}">
              <c16:uniqueId val="{00000001-7390-48D7-87DA-51B0AE4DC7B5}"/>
            </c:ext>
          </c:extLst>
        </c:ser>
        <c:dLbls>
          <c:showLegendKey val="0"/>
          <c:showVal val="0"/>
          <c:showCatName val="0"/>
          <c:showSerName val="0"/>
          <c:showPercent val="0"/>
          <c:showBubbleSize val="0"/>
        </c:dLbls>
        <c:axId val="426132560"/>
        <c:axId val="1"/>
      </c:scatterChart>
      <c:valAx>
        <c:axId val="426132560"/>
        <c:scaling>
          <c:orientation val="minMax"/>
          <c:max val="5.5"/>
          <c:min val="4"/>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800" b="1" i="0" u="none" strike="noStrike" baseline="0">
                    <a:solidFill>
                      <a:srgbClr val="000000"/>
                    </a:solidFill>
                    <a:latin typeface="MS Sans Serif"/>
                    <a:ea typeface="MS Sans Serif"/>
                    <a:cs typeface="MS Sans Serif"/>
                  </a:defRPr>
                </a:pPr>
                <a:r>
                  <a:rPr lang="en-US"/>
                  <a:t>% AC</a:t>
                </a:r>
              </a:p>
            </c:rich>
          </c:tx>
          <c:layout>
            <c:manualLayout>
              <c:xMode val="edge"/>
              <c:yMode val="edge"/>
              <c:x val="0.50318133310259294"/>
              <c:y val="0.92289194619903281"/>
            </c:manualLayout>
          </c:layout>
          <c:overlay val="0"/>
          <c:spPr>
            <a:noFill/>
            <a:ln w="25400">
              <a:noFill/>
            </a:ln>
          </c:spPr>
        </c:title>
        <c:numFmt formatCode="0.0" sourceLinked="0"/>
        <c:majorTickMark val="cross"/>
        <c:minorTickMark val="none"/>
        <c:tickLblPos val="nextTo"/>
        <c:spPr>
          <a:ln w="12700">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1"/>
        <c:crossesAt val="140"/>
        <c:crossBetween val="midCat"/>
        <c:majorUnit val="0.5"/>
        <c:minorUnit val="0.1"/>
      </c:valAx>
      <c:valAx>
        <c:axId val="1"/>
        <c:scaling>
          <c:orientation val="minMax"/>
          <c:max val="151"/>
          <c:min val="146"/>
        </c:scaling>
        <c:delete val="0"/>
        <c:axPos val="l"/>
        <c:majorGridlines>
          <c:spPr>
            <a:ln w="12700">
              <a:solidFill>
                <a:srgbClr val="000000"/>
              </a:solidFill>
              <a:prstDash val="solid"/>
            </a:ln>
          </c:spPr>
        </c:majorGridlines>
        <c:minorGridlines>
          <c:spPr>
            <a:ln w="3175">
              <a:solidFill>
                <a:srgbClr val="000000"/>
              </a:solidFill>
              <a:prstDash val="solid"/>
            </a:ln>
          </c:spPr>
        </c:minorGridlines>
        <c:title>
          <c:tx>
            <c:rich>
              <a:bodyPr/>
              <a:lstStyle/>
              <a:p>
                <a:pPr>
                  <a:defRPr sz="1100" b="0" i="0" u="none" strike="noStrike" baseline="0">
                    <a:solidFill>
                      <a:srgbClr val="000000"/>
                    </a:solidFill>
                    <a:latin typeface="Calibri"/>
                    <a:ea typeface="Calibri"/>
                    <a:cs typeface="Calibri"/>
                  </a:defRPr>
                </a:pPr>
                <a:r>
                  <a:rPr lang="en-US" sz="800" b="1" i="0" u="none" strike="noStrike" baseline="0">
                    <a:solidFill>
                      <a:srgbClr val="000000"/>
                    </a:solidFill>
                    <a:latin typeface="MS Sans Serif"/>
                  </a:rPr>
                  <a:t>Unit Weight(lb/ft</a:t>
                </a:r>
                <a:r>
                  <a:rPr lang="en-US" sz="800" b="1" i="0" u="none" strike="noStrike" baseline="30000">
                    <a:solidFill>
                      <a:srgbClr val="000000"/>
                    </a:solidFill>
                    <a:latin typeface="MS Sans Serif"/>
                  </a:rPr>
                  <a:t>3</a:t>
                </a:r>
                <a:r>
                  <a:rPr lang="en-US" sz="800" b="1" i="0" u="none" strike="noStrike" baseline="0">
                    <a:solidFill>
                      <a:srgbClr val="000000"/>
                    </a:solidFill>
                    <a:latin typeface="MS Sans Serif"/>
                  </a:rPr>
                  <a:t>)</a:t>
                </a:r>
              </a:p>
            </c:rich>
          </c:tx>
          <c:layout>
            <c:manualLayout>
              <c:xMode val="edge"/>
              <c:yMode val="edge"/>
              <c:x val="1.1034697585878689E-2"/>
              <c:y val="0.31462221068520285"/>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426132560"/>
        <c:crossesAt val="4"/>
        <c:crossBetween val="midCat"/>
        <c:majorUnit val="1"/>
        <c:minorUnit val="0.2"/>
      </c:valAx>
      <c:spPr>
        <a:noFill/>
        <a:ln w="25400">
          <a:noFill/>
        </a:ln>
      </c:spPr>
    </c:plotArea>
    <c:plotVisOnly val="0"/>
    <c:dispBlanksAs val="gap"/>
    <c:showDLblsOverMax val="0"/>
  </c:chart>
  <c:spPr>
    <a:no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1343" r="0.75000000000001343" t="1" header="0.5" footer="0.5"/>
    <c:pageSetup orientation="portrait" horizontalDpi="-4" verticalDpi="-4"/>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sz="1000" b="1" i="0" u="none" strike="noStrike" baseline="0">
                <a:solidFill>
                  <a:srgbClr val="000000"/>
                </a:solidFill>
                <a:latin typeface="MS Sans Serif"/>
              </a:rPr>
              <a:t>G</a:t>
            </a:r>
            <a:r>
              <a:rPr lang="en-US" sz="1000" b="1" i="0" u="none" strike="noStrike" baseline="-25000">
                <a:solidFill>
                  <a:srgbClr val="000000"/>
                </a:solidFill>
                <a:latin typeface="MS Sans Serif"/>
              </a:rPr>
              <a:t>mm</a:t>
            </a:r>
            <a:r>
              <a:rPr lang="en-US" sz="1000" b="1" i="0" u="none" strike="noStrike" baseline="0">
                <a:solidFill>
                  <a:srgbClr val="000000"/>
                </a:solidFill>
                <a:latin typeface="MS Sans Serif"/>
              </a:rPr>
              <a:t> vs. % AC</a:t>
            </a:r>
          </a:p>
        </c:rich>
      </c:tx>
      <c:layout>
        <c:manualLayout>
          <c:xMode val="edge"/>
          <c:yMode val="edge"/>
          <c:x val="0.39062755617086325"/>
          <c:y val="2.510474294802369E-2"/>
        </c:manualLayout>
      </c:layout>
      <c:overlay val="0"/>
      <c:spPr>
        <a:noFill/>
        <a:ln w="25400">
          <a:noFill/>
        </a:ln>
      </c:spPr>
    </c:title>
    <c:autoTitleDeleted val="0"/>
    <c:plotArea>
      <c:layout>
        <c:manualLayout>
          <c:layoutTarget val="inner"/>
          <c:xMode val="edge"/>
          <c:yMode val="edge"/>
          <c:x val="0.10813983435771678"/>
          <c:y val="0.12133891213389095"/>
          <c:w val="0.86511867486173433"/>
          <c:h val="0.77824267782426781"/>
        </c:manualLayout>
      </c:layout>
      <c:scatterChart>
        <c:scatterStyle val="lineMarker"/>
        <c:varyColors val="0"/>
        <c:ser>
          <c:idx val="1"/>
          <c:order val="0"/>
          <c:spPr>
            <a:ln w="28575">
              <a:noFill/>
            </a:ln>
          </c:spPr>
          <c:marker>
            <c:symbol val="square"/>
            <c:size val="5"/>
            <c:spPr>
              <a:solidFill>
                <a:srgbClr val="FF0000"/>
              </a:solidFill>
              <a:ln>
                <a:solidFill>
                  <a:srgbClr val="000000"/>
                </a:solidFill>
                <a:prstDash val="solid"/>
              </a:ln>
            </c:spPr>
          </c:marker>
          <c:xVal>
            <c:numRef>
              <c:f>Graphs!$C$192:$C$193</c:f>
              <c:numCache>
                <c:formatCode>0.0</c:formatCode>
                <c:ptCount val="2"/>
              </c:numCache>
            </c:numRef>
          </c:xVal>
          <c:yVal>
            <c:numRef>
              <c:f>Graphs!$D$192:$D$193</c:f>
              <c:numCache>
                <c:formatCode>0.0</c:formatCode>
                <c:ptCount val="2"/>
              </c:numCache>
            </c:numRef>
          </c:yVal>
          <c:smooth val="0"/>
          <c:extLst>
            <c:ext xmlns:c16="http://schemas.microsoft.com/office/drawing/2014/chart" uri="{C3380CC4-5D6E-409C-BE32-E72D297353CC}">
              <c16:uniqueId val="{00000000-4950-4C2F-B5E6-4011044D25C5}"/>
            </c:ext>
          </c:extLst>
        </c:ser>
        <c:ser>
          <c:idx val="0"/>
          <c:order val="1"/>
          <c:spPr>
            <a:ln w="25400">
              <a:solidFill>
                <a:srgbClr val="000000"/>
              </a:solidFill>
              <a:prstDash val="solid"/>
            </a:ln>
          </c:spPr>
          <c:marker>
            <c:symbol val="circle"/>
            <c:size val="5"/>
            <c:spPr>
              <a:solidFill>
                <a:srgbClr val="FF0000"/>
              </a:solidFill>
              <a:ln>
                <a:solidFill>
                  <a:srgbClr val="000000"/>
                </a:solidFill>
                <a:prstDash val="solid"/>
              </a:ln>
            </c:spPr>
          </c:marker>
          <c:xVal>
            <c:numRef>
              <c:f>'Design Data'!$E$91:$E$94</c:f>
            </c:numRef>
          </c:xVal>
          <c:yVal>
            <c:numRef>
              <c:f>'Design Data'!$F$91:$F$94</c:f>
              <c:numCache>
                <c:formatCode>0.000</c:formatCode>
                <c:ptCount val="4"/>
                <c:pt idx="0">
                  <c:v>0</c:v>
                </c:pt>
                <c:pt idx="1">
                  <c:v>0</c:v>
                </c:pt>
                <c:pt idx="2">
                  <c:v>0</c:v>
                </c:pt>
                <c:pt idx="3">
                  <c:v>0</c:v>
                </c:pt>
              </c:numCache>
            </c:numRef>
          </c:yVal>
          <c:smooth val="0"/>
          <c:extLst>
            <c:ext xmlns:c16="http://schemas.microsoft.com/office/drawing/2014/chart" uri="{C3380CC4-5D6E-409C-BE32-E72D297353CC}">
              <c16:uniqueId val="{00000001-4950-4C2F-B5E6-4011044D25C5}"/>
            </c:ext>
          </c:extLst>
        </c:ser>
        <c:dLbls>
          <c:showLegendKey val="0"/>
          <c:showVal val="0"/>
          <c:showCatName val="0"/>
          <c:showSerName val="0"/>
          <c:showPercent val="0"/>
          <c:showBubbleSize val="0"/>
        </c:dLbls>
        <c:axId val="426131248"/>
        <c:axId val="1"/>
      </c:scatterChart>
      <c:valAx>
        <c:axId val="426131248"/>
        <c:scaling>
          <c:orientation val="minMax"/>
          <c:max val="5.5"/>
          <c:min val="4"/>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800" b="1" i="0" u="none" strike="noStrike" baseline="0">
                    <a:solidFill>
                      <a:srgbClr val="000000"/>
                    </a:solidFill>
                    <a:latin typeface="MS Sans Serif"/>
                    <a:ea typeface="MS Sans Serif"/>
                    <a:cs typeface="MS Sans Serif"/>
                  </a:defRPr>
                </a:pPr>
                <a:r>
                  <a:rPr lang="en-US"/>
                  <a:t>% AC</a:t>
                </a:r>
              </a:p>
            </c:rich>
          </c:tx>
          <c:layout>
            <c:manualLayout>
              <c:xMode val="edge"/>
              <c:yMode val="edge"/>
              <c:x val="0.50538813417553574"/>
              <c:y val="0.90794992633355776"/>
            </c:manualLayout>
          </c:layout>
          <c:overlay val="0"/>
          <c:spPr>
            <a:noFill/>
            <a:ln w="25400">
              <a:noFill/>
            </a:ln>
          </c:spPr>
        </c:title>
        <c:numFmt formatCode="0.0" sourceLinked="0"/>
        <c:majorTickMark val="cross"/>
        <c:minorTickMark val="none"/>
        <c:tickLblPos val="nextTo"/>
        <c:spPr>
          <a:ln w="12700">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1"/>
        <c:crossesAt val="2"/>
        <c:crossBetween val="midCat"/>
        <c:majorUnit val="0.5"/>
        <c:minorUnit val="0.1"/>
      </c:valAx>
      <c:valAx>
        <c:axId val="1"/>
        <c:scaling>
          <c:orientation val="minMax"/>
          <c:max val="2.5099999999999998"/>
          <c:min val="2.44"/>
        </c:scaling>
        <c:delete val="0"/>
        <c:axPos val="l"/>
        <c:majorGridlines>
          <c:spPr>
            <a:ln w="12700">
              <a:solidFill>
                <a:srgbClr val="000000"/>
              </a:solidFill>
              <a:prstDash val="solid"/>
            </a:ln>
          </c:spPr>
        </c:majorGridlines>
        <c:minorGridlines>
          <c:spPr>
            <a:ln w="3175">
              <a:solidFill>
                <a:srgbClr val="000000"/>
              </a:solidFill>
              <a:prstDash val="solid"/>
            </a:ln>
          </c:spPr>
        </c:minorGridlines>
        <c:title>
          <c:tx>
            <c:rich>
              <a:bodyPr/>
              <a:lstStyle/>
              <a:p>
                <a:pPr>
                  <a:defRPr sz="1100" b="0" i="0" u="none" strike="noStrike" baseline="0">
                    <a:solidFill>
                      <a:srgbClr val="000000"/>
                    </a:solidFill>
                    <a:latin typeface="Calibri"/>
                    <a:ea typeface="Calibri"/>
                    <a:cs typeface="Calibri"/>
                  </a:defRPr>
                </a:pPr>
                <a:r>
                  <a:rPr lang="en-US" sz="800" b="1" i="0" u="none" strike="noStrike" baseline="0">
                    <a:solidFill>
                      <a:srgbClr val="000000"/>
                    </a:solidFill>
                    <a:latin typeface="MS Sans Serif"/>
                  </a:rPr>
                  <a:t>G</a:t>
                </a:r>
                <a:r>
                  <a:rPr lang="en-US" sz="800" b="1" i="0" u="none" strike="noStrike" baseline="-25000">
                    <a:solidFill>
                      <a:srgbClr val="000000"/>
                    </a:solidFill>
                    <a:latin typeface="MS Sans Serif"/>
                  </a:rPr>
                  <a:t>mm</a:t>
                </a:r>
              </a:p>
            </c:rich>
          </c:tx>
          <c:layout>
            <c:manualLayout>
              <c:xMode val="edge"/>
              <c:yMode val="edge"/>
              <c:x val="1.1034697585878689E-2"/>
              <c:y val="0.44351452350984011"/>
            </c:manualLayout>
          </c:layout>
          <c:overlay val="0"/>
          <c:spPr>
            <a:noFill/>
            <a:ln w="25400">
              <a:noFill/>
            </a:ln>
          </c:spPr>
        </c:title>
        <c:numFmt formatCode="0.000" sourceLinked="0"/>
        <c:majorTickMark val="cross"/>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426131248"/>
        <c:crossesAt val="4"/>
        <c:crossBetween val="midCat"/>
        <c:majorUnit val="0.01"/>
        <c:minorUnit val="0.01"/>
      </c:valAx>
      <c:spPr>
        <a:noFill/>
        <a:ln w="25400">
          <a:noFill/>
        </a:ln>
      </c:spPr>
    </c:plotArea>
    <c:plotVisOnly val="0"/>
    <c:dispBlanksAs val="gap"/>
    <c:showDLblsOverMax val="0"/>
  </c:chart>
  <c:spPr>
    <a:no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1343" r="0.75000000000001343" t="1" header="0.5" footer="0.5"/>
    <c:pageSetup orientation="portrait" horizontalDpi="-4" verticalDpi="-4"/>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S Sans Serif"/>
                <a:ea typeface="MS Sans Serif"/>
                <a:cs typeface="MS Sans Serif"/>
              </a:defRPr>
            </a:pPr>
            <a:r>
              <a:rPr lang="en-US"/>
              <a:t>% VFA vs. % AC</a:t>
            </a:r>
          </a:p>
        </c:rich>
      </c:tx>
      <c:layout>
        <c:manualLayout>
          <c:xMode val="edge"/>
          <c:yMode val="edge"/>
          <c:x val="0.37297199388537972"/>
          <c:y val="3.7585687818434466E-2"/>
        </c:manualLayout>
      </c:layout>
      <c:overlay val="0"/>
      <c:spPr>
        <a:noFill/>
        <a:ln w="25400">
          <a:noFill/>
        </a:ln>
      </c:spPr>
    </c:title>
    <c:autoTitleDeleted val="0"/>
    <c:plotArea>
      <c:layout>
        <c:manualLayout>
          <c:layoutTarget val="inner"/>
          <c:xMode val="edge"/>
          <c:yMode val="edge"/>
          <c:x val="9.4898221987384165E-2"/>
          <c:y val="0.12779163386170342"/>
          <c:w val="0.87836028723206649"/>
          <c:h val="0.77426695810323976"/>
        </c:manualLayout>
      </c:layout>
      <c:scatterChart>
        <c:scatterStyle val="lineMarker"/>
        <c:varyColors val="0"/>
        <c:ser>
          <c:idx val="1"/>
          <c:order val="0"/>
          <c:spPr>
            <a:ln w="25400">
              <a:solidFill>
                <a:srgbClr val="000000"/>
              </a:solidFill>
              <a:prstDash val="solid"/>
            </a:ln>
          </c:spPr>
          <c:marker>
            <c:symbol val="square"/>
            <c:size val="5"/>
            <c:spPr>
              <a:solidFill>
                <a:srgbClr val="FF0000"/>
              </a:solidFill>
              <a:ln>
                <a:solidFill>
                  <a:srgbClr val="000000"/>
                </a:solidFill>
                <a:prstDash val="solid"/>
              </a:ln>
            </c:spPr>
          </c:marker>
          <c:xVal>
            <c:numRef>
              <c:f>Graphs!$C$190:$C$191</c:f>
              <c:numCache>
                <c:formatCode>0.0</c:formatCode>
                <c:ptCount val="2"/>
              </c:numCache>
            </c:numRef>
          </c:xVal>
          <c:yVal>
            <c:numRef>
              <c:f>Graphs!$D$190:$D$191</c:f>
              <c:numCache>
                <c:formatCode>0.000</c:formatCode>
                <c:ptCount val="2"/>
              </c:numCache>
            </c:numRef>
          </c:yVal>
          <c:smooth val="0"/>
          <c:extLst>
            <c:ext xmlns:c16="http://schemas.microsoft.com/office/drawing/2014/chart" uri="{C3380CC4-5D6E-409C-BE32-E72D297353CC}">
              <c16:uniqueId val="{00000000-39E2-4F75-B0B1-C0EC34261C6D}"/>
            </c:ext>
          </c:extLst>
        </c:ser>
        <c:ser>
          <c:idx val="0"/>
          <c:order val="1"/>
          <c:spPr>
            <a:ln w="28575">
              <a:noFill/>
            </a:ln>
          </c:spPr>
          <c:marker>
            <c:symbol val="circle"/>
            <c:size val="5"/>
            <c:spPr>
              <a:solidFill>
                <a:srgbClr val="FF0000"/>
              </a:solidFill>
              <a:ln>
                <a:solidFill>
                  <a:srgbClr val="000000"/>
                </a:solidFill>
                <a:prstDash val="solid"/>
              </a:ln>
            </c:spPr>
          </c:marker>
          <c:trendline>
            <c:spPr>
              <a:ln w="25400">
                <a:solidFill>
                  <a:srgbClr val="000000"/>
                </a:solidFill>
                <a:prstDash val="solid"/>
              </a:ln>
            </c:spPr>
            <c:trendlineType val="log"/>
            <c:dispRSqr val="0"/>
            <c:dispEq val="0"/>
          </c:trendline>
          <c:xVal>
            <c:numRef>
              <c:f>'Design Data'!$A$91:$A$94</c:f>
            </c:numRef>
          </c:xVal>
          <c:yVal>
            <c:numRef>
              <c:f>'Design Data'!$B$91:$B$94</c:f>
              <c:numCache>
                <c:formatCode>0.0</c:formatCode>
                <c:ptCount val="4"/>
                <c:pt idx="0">
                  <c:v>0</c:v>
                </c:pt>
                <c:pt idx="1">
                  <c:v>0</c:v>
                </c:pt>
                <c:pt idx="2">
                  <c:v>0</c:v>
                </c:pt>
                <c:pt idx="3">
                  <c:v>0</c:v>
                </c:pt>
              </c:numCache>
            </c:numRef>
          </c:yVal>
          <c:smooth val="0"/>
          <c:extLst>
            <c:ext xmlns:c16="http://schemas.microsoft.com/office/drawing/2014/chart" uri="{C3380CC4-5D6E-409C-BE32-E72D297353CC}">
              <c16:uniqueId val="{00000001-39E2-4F75-B0B1-C0EC34261C6D}"/>
            </c:ext>
          </c:extLst>
        </c:ser>
        <c:ser>
          <c:idx val="2"/>
          <c:order val="2"/>
          <c:spPr>
            <a:ln w="38100">
              <a:solidFill>
                <a:srgbClr val="FF0000"/>
              </a:solidFill>
              <a:prstDash val="sysDash"/>
            </a:ln>
          </c:spPr>
          <c:marker>
            <c:symbol val="none"/>
          </c:marker>
          <c:xVal>
            <c:numRef>
              <c:f>'Design Data'!$A$106:$A$107</c:f>
            </c:numRef>
          </c:xVal>
          <c:yVal>
            <c:numRef>
              <c:f>'Design Data'!$B$106:$B$107</c:f>
              <c:numCache>
                <c:formatCode>0</c:formatCode>
                <c:ptCount val="2"/>
                <c:pt idx="0">
                  <c:v>0</c:v>
                </c:pt>
                <c:pt idx="1">
                  <c:v>0</c:v>
                </c:pt>
              </c:numCache>
            </c:numRef>
          </c:yVal>
          <c:smooth val="0"/>
          <c:extLst>
            <c:ext xmlns:c16="http://schemas.microsoft.com/office/drawing/2014/chart" uri="{C3380CC4-5D6E-409C-BE32-E72D297353CC}">
              <c16:uniqueId val="{00000002-39E2-4F75-B0B1-C0EC34261C6D}"/>
            </c:ext>
          </c:extLst>
        </c:ser>
        <c:ser>
          <c:idx val="3"/>
          <c:order val="3"/>
          <c:spPr>
            <a:ln w="38100">
              <a:solidFill>
                <a:srgbClr val="FF0000"/>
              </a:solidFill>
              <a:prstDash val="sysDash"/>
            </a:ln>
          </c:spPr>
          <c:marker>
            <c:symbol val="none"/>
          </c:marker>
          <c:xVal>
            <c:numRef>
              <c:f>'Design Data'!$A$108:$A$109</c:f>
            </c:numRef>
          </c:xVal>
          <c:yVal>
            <c:numRef>
              <c:f>'Design Data'!$B$108:$B$109</c:f>
              <c:numCache>
                <c:formatCode>0</c:formatCode>
                <c:ptCount val="2"/>
                <c:pt idx="0">
                  <c:v>0</c:v>
                </c:pt>
                <c:pt idx="1">
                  <c:v>0</c:v>
                </c:pt>
              </c:numCache>
            </c:numRef>
          </c:yVal>
          <c:smooth val="0"/>
          <c:extLst>
            <c:ext xmlns:c16="http://schemas.microsoft.com/office/drawing/2014/chart" uri="{C3380CC4-5D6E-409C-BE32-E72D297353CC}">
              <c16:uniqueId val="{00000003-39E2-4F75-B0B1-C0EC34261C6D}"/>
            </c:ext>
          </c:extLst>
        </c:ser>
        <c:dLbls>
          <c:showLegendKey val="0"/>
          <c:showVal val="0"/>
          <c:showCatName val="0"/>
          <c:showSerName val="0"/>
          <c:showPercent val="0"/>
          <c:showBubbleSize val="0"/>
        </c:dLbls>
        <c:axId val="426128952"/>
        <c:axId val="1"/>
      </c:scatterChart>
      <c:valAx>
        <c:axId val="426128952"/>
        <c:scaling>
          <c:orientation val="minMax"/>
          <c:max val="5.5"/>
          <c:min val="4"/>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800" b="1" i="0" u="none" strike="noStrike" baseline="0">
                    <a:solidFill>
                      <a:srgbClr val="000000"/>
                    </a:solidFill>
                    <a:latin typeface="MS Sans Serif"/>
                    <a:ea typeface="MS Sans Serif"/>
                    <a:cs typeface="MS Sans Serif"/>
                  </a:defRPr>
                </a:pPr>
                <a:r>
                  <a:rPr lang="en-US"/>
                  <a:t>% AC</a:t>
                </a:r>
              </a:p>
            </c:rich>
          </c:tx>
          <c:layout>
            <c:manualLayout>
              <c:xMode val="edge"/>
              <c:yMode val="edge"/>
              <c:x val="0.49656046840298806"/>
              <c:y val="0.91709278987185427"/>
            </c:manualLayout>
          </c:layout>
          <c:overlay val="0"/>
          <c:spPr>
            <a:noFill/>
            <a:ln w="25400">
              <a:noFill/>
            </a:ln>
          </c:spPr>
        </c:title>
        <c:numFmt formatCode="0.0" sourceLinked="0"/>
        <c:majorTickMark val="cross"/>
        <c:minorTickMark val="none"/>
        <c:tickLblPos val="nextTo"/>
        <c:spPr>
          <a:ln w="12700">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1"/>
        <c:crossesAt val="30"/>
        <c:crossBetween val="midCat"/>
        <c:majorUnit val="0.5"/>
        <c:minorUnit val="0.1"/>
      </c:valAx>
      <c:valAx>
        <c:axId val="1"/>
        <c:scaling>
          <c:orientation val="minMax"/>
          <c:max val="100"/>
          <c:min val="60"/>
        </c:scaling>
        <c:delete val="0"/>
        <c:axPos val="l"/>
        <c:majorGridlines>
          <c:spPr>
            <a:ln w="12700">
              <a:solidFill>
                <a:srgbClr val="000000"/>
              </a:solidFill>
              <a:prstDash val="solid"/>
            </a:ln>
          </c:spPr>
        </c:majorGridlines>
        <c:minorGridlines>
          <c:spPr>
            <a:ln w="3175">
              <a:solidFill>
                <a:srgbClr val="000000"/>
              </a:solidFill>
              <a:prstDash val="solid"/>
            </a:ln>
          </c:spPr>
        </c:minorGridlines>
        <c:title>
          <c:tx>
            <c:rich>
              <a:bodyPr/>
              <a:lstStyle/>
              <a:p>
                <a:pPr>
                  <a:defRPr sz="800" b="1" i="0" u="none" strike="noStrike" baseline="0">
                    <a:solidFill>
                      <a:srgbClr val="000000"/>
                    </a:solidFill>
                    <a:latin typeface="MS Sans Serif"/>
                    <a:ea typeface="MS Sans Serif"/>
                    <a:cs typeface="MS Sans Serif"/>
                  </a:defRPr>
                </a:pPr>
                <a:r>
                  <a:rPr lang="en-US"/>
                  <a:t>% VFA</a:t>
                </a:r>
              </a:p>
            </c:rich>
          </c:tx>
          <c:layout>
            <c:manualLayout>
              <c:xMode val="edge"/>
              <c:yMode val="edge"/>
              <c:x val="1.1034697585878689E-2"/>
              <c:y val="0.439753744017292"/>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426128952"/>
        <c:crossesAt val="4"/>
        <c:crossBetween val="midCat"/>
        <c:majorUnit val="10"/>
        <c:minorUnit val="2"/>
      </c:valAx>
      <c:spPr>
        <a:noFill/>
        <a:ln w="25400">
          <a:noFill/>
        </a:ln>
      </c:spPr>
    </c:plotArea>
    <c:plotVisOnly val="0"/>
    <c:dispBlanksAs val="gap"/>
    <c:showDLblsOverMax val="0"/>
  </c:chart>
  <c:spPr>
    <a:no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&amp;A</c:oddHeader>
      <c:oddFooter>Page &amp;P</c:oddFooter>
    </c:headerFooter>
    <c:pageMargins b="1" l="0.75000000000001343" r="0.75000000000001343"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S Sans Serif"/>
                <a:ea typeface="MS Sans Serif"/>
                <a:cs typeface="MS Sans Serif"/>
              </a:defRPr>
            </a:pPr>
            <a:r>
              <a:rPr lang="en-US"/>
              <a:t>Dust/Asphalt Ratio vs. % AC</a:t>
            </a:r>
          </a:p>
        </c:rich>
      </c:tx>
      <c:layout>
        <c:manualLayout>
          <c:xMode val="edge"/>
          <c:yMode val="edge"/>
          <c:x val="0.28248784286579559"/>
          <c:y val="3.8453971031398852E-2"/>
        </c:manualLayout>
      </c:layout>
      <c:overlay val="0"/>
      <c:spPr>
        <a:noFill/>
        <a:ln w="25400">
          <a:noFill/>
        </a:ln>
      </c:spPr>
    </c:title>
    <c:autoTitleDeleted val="0"/>
    <c:plotArea>
      <c:layout>
        <c:manualLayout>
          <c:layoutTarget val="inner"/>
          <c:xMode val="edge"/>
          <c:yMode val="edge"/>
          <c:x val="9.0484351197274243E-2"/>
          <c:y val="0.12235311253937331"/>
          <c:w val="0.88277415802217785"/>
          <c:h val="0.79354732989820609"/>
        </c:manualLayout>
      </c:layout>
      <c:scatterChart>
        <c:scatterStyle val="lineMarker"/>
        <c:varyColors val="0"/>
        <c:ser>
          <c:idx val="1"/>
          <c:order val="0"/>
          <c:spPr>
            <a:ln w="28575">
              <a:noFill/>
            </a:ln>
          </c:spPr>
          <c:marker>
            <c:symbol val="square"/>
            <c:size val="5"/>
            <c:spPr>
              <a:solidFill>
                <a:srgbClr val="FF0000"/>
              </a:solidFill>
              <a:ln>
                <a:solidFill>
                  <a:srgbClr val="000000"/>
                </a:solidFill>
                <a:prstDash val="solid"/>
              </a:ln>
            </c:spPr>
          </c:marker>
          <c:xVal>
            <c:numRef>
              <c:f>Graphs!$A$192:$A$193</c:f>
              <c:numCache>
                <c:formatCode>0.0</c:formatCode>
                <c:ptCount val="2"/>
              </c:numCache>
            </c:numRef>
          </c:xVal>
          <c:yVal>
            <c:numRef>
              <c:f>Graphs!$B$192:$B$193</c:f>
              <c:numCache>
                <c:formatCode>0</c:formatCode>
                <c:ptCount val="2"/>
              </c:numCache>
            </c:numRef>
          </c:yVal>
          <c:smooth val="0"/>
          <c:extLst>
            <c:ext xmlns:c16="http://schemas.microsoft.com/office/drawing/2014/chart" uri="{C3380CC4-5D6E-409C-BE32-E72D297353CC}">
              <c16:uniqueId val="{00000000-4768-4E6A-AC72-38ECB406F755}"/>
            </c:ext>
          </c:extLst>
        </c:ser>
        <c:ser>
          <c:idx val="0"/>
          <c:order val="1"/>
          <c:spPr>
            <a:ln w="28575">
              <a:noFill/>
            </a:ln>
          </c:spPr>
          <c:marker>
            <c:symbol val="circle"/>
            <c:size val="5"/>
            <c:spPr>
              <a:solidFill>
                <a:srgbClr val="FF0000"/>
              </a:solidFill>
              <a:ln>
                <a:solidFill>
                  <a:srgbClr val="000000"/>
                </a:solidFill>
                <a:prstDash val="solid"/>
              </a:ln>
            </c:spPr>
          </c:marker>
          <c:trendline>
            <c:spPr>
              <a:ln w="25400">
                <a:solidFill>
                  <a:srgbClr val="000000"/>
                </a:solidFill>
                <a:prstDash val="solid"/>
              </a:ln>
            </c:spPr>
            <c:trendlineType val="linear"/>
            <c:dispRSqr val="0"/>
            <c:dispEq val="0"/>
          </c:trendline>
          <c:xVal>
            <c:numRef>
              <c:f>'Design Data'!$E$96:$E$99</c:f>
            </c:numRef>
          </c:xVal>
          <c:yVal>
            <c:numRef>
              <c:f>'Design Data'!$F$96:$F$99</c:f>
              <c:numCache>
                <c:formatCode>0.0</c:formatCode>
                <c:ptCount val="4"/>
                <c:pt idx="0">
                  <c:v>0</c:v>
                </c:pt>
                <c:pt idx="1">
                  <c:v>0</c:v>
                </c:pt>
                <c:pt idx="2">
                  <c:v>0</c:v>
                </c:pt>
                <c:pt idx="3">
                  <c:v>0</c:v>
                </c:pt>
              </c:numCache>
            </c:numRef>
          </c:yVal>
          <c:smooth val="0"/>
          <c:extLst>
            <c:ext xmlns:c16="http://schemas.microsoft.com/office/drawing/2014/chart" uri="{C3380CC4-5D6E-409C-BE32-E72D297353CC}">
              <c16:uniqueId val="{00000001-4768-4E6A-AC72-38ECB406F755}"/>
            </c:ext>
          </c:extLst>
        </c:ser>
        <c:ser>
          <c:idx val="2"/>
          <c:order val="2"/>
          <c:spPr>
            <a:ln w="38100">
              <a:solidFill>
                <a:srgbClr val="FF0000"/>
              </a:solidFill>
              <a:prstDash val="sysDash"/>
            </a:ln>
          </c:spPr>
          <c:marker>
            <c:symbol val="none"/>
          </c:marker>
          <c:xVal>
            <c:numRef>
              <c:f>'Design Data'!$C$106:$C$107</c:f>
            </c:numRef>
          </c:xVal>
          <c:yVal>
            <c:numRef>
              <c:f>'Design Data'!$D$106:$D$107</c:f>
              <c:numCache>
                <c:formatCode>General</c:formatCode>
                <c:ptCount val="2"/>
                <c:pt idx="0">
                  <c:v>0</c:v>
                </c:pt>
                <c:pt idx="1">
                  <c:v>0</c:v>
                </c:pt>
              </c:numCache>
            </c:numRef>
          </c:yVal>
          <c:smooth val="0"/>
          <c:extLst>
            <c:ext xmlns:c16="http://schemas.microsoft.com/office/drawing/2014/chart" uri="{C3380CC4-5D6E-409C-BE32-E72D297353CC}">
              <c16:uniqueId val="{00000002-4768-4E6A-AC72-38ECB406F755}"/>
            </c:ext>
          </c:extLst>
        </c:ser>
        <c:ser>
          <c:idx val="3"/>
          <c:order val="3"/>
          <c:spPr>
            <a:ln w="38100">
              <a:solidFill>
                <a:srgbClr val="FF0000"/>
              </a:solidFill>
              <a:prstDash val="sysDash"/>
            </a:ln>
          </c:spPr>
          <c:marker>
            <c:symbol val="none"/>
          </c:marker>
          <c:xVal>
            <c:numRef>
              <c:f>'Design Data'!$C$108:$C$109</c:f>
            </c:numRef>
          </c:xVal>
          <c:yVal>
            <c:numRef>
              <c:f>'Design Data'!$D$108:$D$109</c:f>
              <c:numCache>
                <c:formatCode>General</c:formatCode>
                <c:ptCount val="2"/>
                <c:pt idx="0">
                  <c:v>0</c:v>
                </c:pt>
                <c:pt idx="1">
                  <c:v>0</c:v>
                </c:pt>
              </c:numCache>
            </c:numRef>
          </c:yVal>
          <c:smooth val="0"/>
          <c:extLst>
            <c:ext xmlns:c16="http://schemas.microsoft.com/office/drawing/2014/chart" uri="{C3380CC4-5D6E-409C-BE32-E72D297353CC}">
              <c16:uniqueId val="{00000003-4768-4E6A-AC72-38ECB406F755}"/>
            </c:ext>
          </c:extLst>
        </c:ser>
        <c:dLbls>
          <c:showLegendKey val="0"/>
          <c:showVal val="0"/>
          <c:showCatName val="0"/>
          <c:showSerName val="0"/>
          <c:showPercent val="0"/>
          <c:showBubbleSize val="0"/>
        </c:dLbls>
        <c:axId val="426130264"/>
        <c:axId val="1"/>
      </c:scatterChart>
      <c:valAx>
        <c:axId val="426130264"/>
        <c:scaling>
          <c:orientation val="minMax"/>
          <c:max val="5.5"/>
          <c:min val="4"/>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800" b="1" i="0" u="none" strike="noStrike" baseline="0">
                    <a:solidFill>
                      <a:srgbClr val="000000"/>
                    </a:solidFill>
                    <a:latin typeface="MS Sans Serif"/>
                    <a:ea typeface="MS Sans Serif"/>
                    <a:cs typeface="MS Sans Serif"/>
                  </a:defRPr>
                </a:pPr>
                <a:r>
                  <a:rPr lang="en-US"/>
                  <a:t>% AC</a:t>
                </a:r>
              </a:p>
            </c:rich>
          </c:tx>
          <c:layout>
            <c:manualLayout>
              <c:xMode val="edge"/>
              <c:yMode val="edge"/>
              <c:x val="0.49435343658965708"/>
              <c:y val="0.92289219403130163"/>
            </c:manualLayout>
          </c:layout>
          <c:overlay val="0"/>
          <c:spPr>
            <a:noFill/>
            <a:ln w="25400">
              <a:noFill/>
            </a:ln>
          </c:spPr>
        </c:title>
        <c:numFmt formatCode="0.0" sourceLinked="0"/>
        <c:majorTickMark val="cross"/>
        <c:minorTickMark val="none"/>
        <c:tickLblPos val="nextTo"/>
        <c:spPr>
          <a:ln w="12700">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1"/>
        <c:crossesAt val="5.3999999999999999E-2"/>
        <c:crossBetween val="midCat"/>
        <c:majorUnit val="0.5"/>
        <c:minorUnit val="0.1"/>
      </c:valAx>
      <c:valAx>
        <c:axId val="1"/>
        <c:scaling>
          <c:orientation val="minMax"/>
          <c:max val="2.2000000000000002"/>
          <c:min val="0.60000000000000064"/>
        </c:scaling>
        <c:delete val="0"/>
        <c:axPos val="l"/>
        <c:majorGridlines>
          <c:spPr>
            <a:ln w="12700">
              <a:solidFill>
                <a:srgbClr val="000000"/>
              </a:solidFill>
              <a:prstDash val="solid"/>
            </a:ln>
          </c:spPr>
        </c:majorGridlines>
        <c:minorGridlines>
          <c:spPr>
            <a:ln w="3175">
              <a:solidFill>
                <a:srgbClr val="000000"/>
              </a:solidFill>
              <a:prstDash val="solid"/>
            </a:ln>
          </c:spPr>
        </c:minorGridlines>
        <c:title>
          <c:tx>
            <c:rich>
              <a:bodyPr/>
              <a:lstStyle/>
              <a:p>
                <a:pPr>
                  <a:defRPr sz="800" b="1" i="0" u="none" strike="noStrike" baseline="0">
                    <a:solidFill>
                      <a:srgbClr val="000000"/>
                    </a:solidFill>
                    <a:latin typeface="MS Sans Serif"/>
                    <a:ea typeface="MS Sans Serif"/>
                    <a:cs typeface="MS Sans Serif"/>
                  </a:defRPr>
                </a:pPr>
                <a:r>
                  <a:rPr lang="en-US"/>
                  <a:t>Dust/Asphalt Ratio</a:t>
                </a:r>
              </a:p>
            </c:rich>
          </c:tx>
          <c:layout>
            <c:manualLayout>
              <c:xMode val="edge"/>
              <c:yMode val="edge"/>
              <c:x val="1.1034697585878689E-2"/>
              <c:y val="0.32161407601827552"/>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426130264"/>
        <c:crossesAt val="4"/>
        <c:crossBetween val="midCat"/>
        <c:majorUnit val="0.2"/>
        <c:minorUnit val="0.1"/>
      </c:valAx>
      <c:spPr>
        <a:noFill/>
        <a:ln w="25400">
          <a:noFill/>
        </a:ln>
      </c:spPr>
    </c:plotArea>
    <c:plotVisOnly val="0"/>
    <c:dispBlanksAs val="gap"/>
    <c:showDLblsOverMax val="0"/>
  </c:chart>
  <c:spPr>
    <a:no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1343" r="0.75000000000001343" t="1" header="0.5" footer="0.5"/>
    <c:pageSetup orientation="portrait" horizontalDpi="-4" verticalDpi="-4"/>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S Sans Serif"/>
                <a:ea typeface="MS Sans Serif"/>
                <a:cs typeface="MS Sans Serif"/>
              </a:defRPr>
            </a:pPr>
            <a:r>
              <a:rPr lang="en-US"/>
              <a:t>% Eff. AC vs. % AC</a:t>
            </a:r>
          </a:p>
        </c:rich>
      </c:tx>
      <c:layout>
        <c:manualLayout>
          <c:xMode val="edge"/>
          <c:yMode val="edge"/>
          <c:x val="0.35531666234028442"/>
          <c:y val="2.4039678863671452E-2"/>
        </c:manualLayout>
      </c:layout>
      <c:overlay val="0"/>
      <c:spPr>
        <a:noFill/>
        <a:ln w="25400">
          <a:noFill/>
        </a:ln>
      </c:spPr>
    </c:title>
    <c:autoTitleDeleted val="0"/>
    <c:plotArea>
      <c:layout>
        <c:manualLayout>
          <c:layoutTarget val="inner"/>
          <c:xMode val="edge"/>
          <c:yMode val="edge"/>
          <c:x val="8.827741580221779E-2"/>
          <c:y val="0.10016508327364128"/>
          <c:w val="0.8849810934172333"/>
          <c:h val="0.80933387285099112"/>
        </c:manualLayout>
      </c:layout>
      <c:scatterChart>
        <c:scatterStyle val="lineMarker"/>
        <c:varyColors val="0"/>
        <c:ser>
          <c:idx val="1"/>
          <c:order val="0"/>
          <c:spPr>
            <a:ln w="28575">
              <a:noFill/>
            </a:ln>
          </c:spPr>
          <c:marker>
            <c:symbol val="square"/>
            <c:size val="5"/>
            <c:spPr>
              <a:solidFill>
                <a:srgbClr val="FF0000"/>
              </a:solidFill>
              <a:ln>
                <a:solidFill>
                  <a:srgbClr val="000000"/>
                </a:solidFill>
                <a:prstDash val="solid"/>
              </a:ln>
            </c:spPr>
          </c:marker>
          <c:xVal>
            <c:numRef>
              <c:f>Graphs!$C$192:$C$193</c:f>
              <c:numCache>
                <c:formatCode>0.0</c:formatCode>
                <c:ptCount val="2"/>
              </c:numCache>
            </c:numRef>
          </c:xVal>
          <c:yVal>
            <c:numRef>
              <c:f>Graphs!$D$192:$D$193</c:f>
              <c:numCache>
                <c:formatCode>0.0</c:formatCode>
                <c:ptCount val="2"/>
              </c:numCache>
            </c:numRef>
          </c:yVal>
          <c:smooth val="0"/>
          <c:extLst>
            <c:ext xmlns:c16="http://schemas.microsoft.com/office/drawing/2014/chart" uri="{C3380CC4-5D6E-409C-BE32-E72D297353CC}">
              <c16:uniqueId val="{00000000-35CC-4B59-AB07-BACFAFA741E1}"/>
            </c:ext>
          </c:extLst>
        </c:ser>
        <c:ser>
          <c:idx val="0"/>
          <c:order val="1"/>
          <c:spPr>
            <a:ln w="25400">
              <a:solidFill>
                <a:srgbClr val="000000"/>
              </a:solidFill>
              <a:prstDash val="solid"/>
            </a:ln>
          </c:spPr>
          <c:marker>
            <c:symbol val="circle"/>
            <c:size val="5"/>
            <c:spPr>
              <a:solidFill>
                <a:srgbClr val="FF0000"/>
              </a:solidFill>
              <a:ln>
                <a:solidFill>
                  <a:srgbClr val="000000"/>
                </a:solidFill>
                <a:prstDash val="solid"/>
              </a:ln>
            </c:spPr>
          </c:marker>
          <c:xVal>
            <c:numRef>
              <c:f>'Design Data'!$A$96:$A$99</c:f>
            </c:numRef>
          </c:xVal>
          <c:yVal>
            <c:numRef>
              <c:f>'Design Data'!$B$96:$B$99</c:f>
              <c:numCache>
                <c:formatCode>0.0</c:formatCode>
                <c:ptCount val="4"/>
                <c:pt idx="0">
                  <c:v>0</c:v>
                </c:pt>
                <c:pt idx="1">
                  <c:v>0</c:v>
                </c:pt>
                <c:pt idx="2">
                  <c:v>0</c:v>
                </c:pt>
                <c:pt idx="3">
                  <c:v>0</c:v>
                </c:pt>
              </c:numCache>
            </c:numRef>
          </c:yVal>
          <c:smooth val="0"/>
          <c:extLst>
            <c:ext xmlns:c16="http://schemas.microsoft.com/office/drawing/2014/chart" uri="{C3380CC4-5D6E-409C-BE32-E72D297353CC}">
              <c16:uniqueId val="{00000001-35CC-4B59-AB07-BACFAFA741E1}"/>
            </c:ext>
          </c:extLst>
        </c:ser>
        <c:dLbls>
          <c:showLegendKey val="0"/>
          <c:showVal val="0"/>
          <c:showCatName val="0"/>
          <c:showSerName val="0"/>
          <c:showPercent val="0"/>
          <c:showBubbleSize val="0"/>
        </c:dLbls>
        <c:axId val="426133872"/>
        <c:axId val="1"/>
      </c:scatterChart>
      <c:valAx>
        <c:axId val="426133872"/>
        <c:scaling>
          <c:orientation val="minMax"/>
          <c:max val="5.5"/>
          <c:min val="4"/>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800" b="1" i="0" u="none" strike="noStrike" baseline="0">
                    <a:solidFill>
                      <a:srgbClr val="000000"/>
                    </a:solidFill>
                    <a:latin typeface="MS Sans Serif"/>
                    <a:ea typeface="MS Sans Serif"/>
                    <a:cs typeface="MS Sans Serif"/>
                  </a:defRPr>
                </a:pPr>
                <a:r>
                  <a:rPr lang="en-US"/>
                  <a:t>% AC</a:t>
                </a:r>
              </a:p>
            </c:rich>
          </c:tx>
          <c:layout>
            <c:manualLayout>
              <c:xMode val="edge"/>
              <c:yMode val="edge"/>
              <c:x val="0.49435343658965708"/>
              <c:y val="0.91350548093253048"/>
            </c:manualLayout>
          </c:layout>
          <c:overlay val="0"/>
          <c:spPr>
            <a:noFill/>
            <a:ln w="25400">
              <a:noFill/>
            </a:ln>
          </c:spPr>
        </c:title>
        <c:numFmt formatCode="0.0" sourceLinked="0"/>
        <c:majorTickMark val="cross"/>
        <c:minorTickMark val="none"/>
        <c:tickLblPos val="nextTo"/>
        <c:spPr>
          <a:ln w="12700">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1"/>
        <c:crossesAt val="2"/>
        <c:crossBetween val="midCat"/>
        <c:majorUnit val="0.5"/>
        <c:minorUnit val="0.1"/>
      </c:valAx>
      <c:valAx>
        <c:axId val="1"/>
        <c:scaling>
          <c:orientation val="minMax"/>
          <c:max val="6"/>
          <c:min val="4"/>
        </c:scaling>
        <c:delete val="0"/>
        <c:axPos val="l"/>
        <c:majorGridlines>
          <c:spPr>
            <a:ln w="12700">
              <a:solidFill>
                <a:srgbClr val="000000"/>
              </a:solidFill>
              <a:prstDash val="solid"/>
            </a:ln>
          </c:spPr>
        </c:majorGridlines>
        <c:minorGridlines>
          <c:spPr>
            <a:ln w="3175">
              <a:solidFill>
                <a:srgbClr val="000000"/>
              </a:solidFill>
              <a:prstDash val="solid"/>
            </a:ln>
          </c:spPr>
        </c:minorGridlines>
        <c:title>
          <c:tx>
            <c:rich>
              <a:bodyPr/>
              <a:lstStyle/>
              <a:p>
                <a:pPr>
                  <a:defRPr sz="800" b="1" i="0" u="none" strike="noStrike" baseline="0">
                    <a:solidFill>
                      <a:srgbClr val="000000"/>
                    </a:solidFill>
                    <a:latin typeface="MS Sans Serif"/>
                    <a:ea typeface="MS Sans Serif"/>
                    <a:cs typeface="MS Sans Serif"/>
                  </a:defRPr>
                </a:pPr>
                <a:r>
                  <a:rPr lang="en-US"/>
                  <a:t>% Eff. AC</a:t>
                </a:r>
              </a:p>
            </c:rich>
          </c:tx>
          <c:layout>
            <c:manualLayout>
              <c:xMode val="edge"/>
              <c:yMode val="edge"/>
              <c:x val="1.1034697585878689E-2"/>
              <c:y val="0.38864057433997218"/>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426133872"/>
        <c:crossesAt val="4"/>
        <c:crossBetween val="midCat"/>
        <c:majorUnit val="1"/>
        <c:minorUnit val="0.2"/>
      </c:valAx>
      <c:spPr>
        <a:noFill/>
        <a:ln w="25400">
          <a:noFill/>
        </a:ln>
      </c:spPr>
    </c:plotArea>
    <c:plotVisOnly val="0"/>
    <c:dispBlanksAs val="gap"/>
    <c:showDLblsOverMax val="0"/>
  </c:chart>
  <c:spPr>
    <a:no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1343" r="0.75000000000001343" t="1" header="0.5" footer="0.5"/>
    <c:pageSetup orientation="portrait" horizontalDpi="-4" verticalDpi="-4"/>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MS Sans Serif"/>
                <a:ea typeface="MS Sans Serif"/>
                <a:cs typeface="MS Sans Serif"/>
              </a:defRPr>
            </a:pPr>
            <a:r>
              <a:rPr lang="en-US"/>
              <a:t>Film Thickness vs. % AC</a:t>
            </a:r>
          </a:p>
        </c:rich>
      </c:tx>
      <c:layout>
        <c:manualLayout>
          <c:xMode val="edge"/>
          <c:yMode val="edge"/>
          <c:x val="0.30897084018343862"/>
          <c:y val="1.9662266481395706E-2"/>
        </c:manualLayout>
      </c:layout>
      <c:overlay val="0"/>
      <c:spPr>
        <a:noFill/>
        <a:ln w="25400">
          <a:noFill/>
        </a:ln>
      </c:spPr>
    </c:title>
    <c:autoTitleDeleted val="0"/>
    <c:plotArea>
      <c:layout>
        <c:manualLayout>
          <c:layoutTarget val="inner"/>
          <c:xMode val="edge"/>
          <c:yMode val="edge"/>
          <c:x val="9.269128659232867E-2"/>
          <c:y val="0.10224427410559322"/>
          <c:w val="0.88056722262712239"/>
          <c:h val="0.80222430452080673"/>
        </c:manualLayout>
      </c:layout>
      <c:scatterChart>
        <c:scatterStyle val="lineMarker"/>
        <c:varyColors val="0"/>
        <c:ser>
          <c:idx val="1"/>
          <c:order val="0"/>
          <c:spPr>
            <a:ln w="28575">
              <a:noFill/>
            </a:ln>
          </c:spPr>
          <c:marker>
            <c:symbol val="square"/>
            <c:size val="5"/>
            <c:spPr>
              <a:solidFill>
                <a:srgbClr val="FF0000"/>
              </a:solidFill>
              <a:ln>
                <a:solidFill>
                  <a:srgbClr val="000000"/>
                </a:solidFill>
                <a:prstDash val="solid"/>
              </a:ln>
            </c:spPr>
          </c:marker>
          <c:xVal>
            <c:numRef>
              <c:f>Graphs!$C$192:$C$193</c:f>
              <c:numCache>
                <c:formatCode>0.0</c:formatCode>
                <c:ptCount val="2"/>
              </c:numCache>
            </c:numRef>
          </c:xVal>
          <c:yVal>
            <c:numRef>
              <c:f>Graphs!$D$192:$D$193</c:f>
              <c:numCache>
                <c:formatCode>0.0</c:formatCode>
                <c:ptCount val="2"/>
              </c:numCache>
            </c:numRef>
          </c:yVal>
          <c:smooth val="0"/>
          <c:extLst>
            <c:ext xmlns:c16="http://schemas.microsoft.com/office/drawing/2014/chart" uri="{C3380CC4-5D6E-409C-BE32-E72D297353CC}">
              <c16:uniqueId val="{00000000-C651-4FAD-AF63-0E1C07CAD3B3}"/>
            </c:ext>
          </c:extLst>
        </c:ser>
        <c:ser>
          <c:idx val="0"/>
          <c:order val="1"/>
          <c:spPr>
            <a:ln w="25400">
              <a:solidFill>
                <a:srgbClr val="000000"/>
              </a:solidFill>
              <a:prstDash val="solid"/>
            </a:ln>
          </c:spPr>
          <c:marker>
            <c:symbol val="circle"/>
            <c:size val="5"/>
            <c:spPr>
              <a:solidFill>
                <a:srgbClr val="FF0000"/>
              </a:solidFill>
              <a:ln>
                <a:solidFill>
                  <a:srgbClr val="000000"/>
                </a:solidFill>
                <a:prstDash val="solid"/>
              </a:ln>
            </c:spPr>
          </c:marker>
          <c:xVal>
            <c:numRef>
              <c:f>'Design Data'!$C$96:$C$99</c:f>
            </c:numRef>
          </c:xVal>
          <c:yVal>
            <c:numRef>
              <c:f>'Design Data'!$D$96:$D$99</c:f>
              <c:numCache>
                <c:formatCode>0.0</c:formatCode>
                <c:ptCount val="4"/>
                <c:pt idx="0">
                  <c:v>0</c:v>
                </c:pt>
                <c:pt idx="1">
                  <c:v>0</c:v>
                </c:pt>
                <c:pt idx="2">
                  <c:v>0</c:v>
                </c:pt>
                <c:pt idx="3">
                  <c:v>0</c:v>
                </c:pt>
              </c:numCache>
            </c:numRef>
          </c:yVal>
          <c:smooth val="0"/>
          <c:extLst>
            <c:ext xmlns:c16="http://schemas.microsoft.com/office/drawing/2014/chart" uri="{C3380CC4-5D6E-409C-BE32-E72D297353CC}">
              <c16:uniqueId val="{00000001-C651-4FAD-AF63-0E1C07CAD3B3}"/>
            </c:ext>
          </c:extLst>
        </c:ser>
        <c:dLbls>
          <c:showLegendKey val="0"/>
          <c:showVal val="0"/>
          <c:showCatName val="0"/>
          <c:showSerName val="0"/>
          <c:showPercent val="0"/>
          <c:showBubbleSize val="0"/>
        </c:dLbls>
        <c:axId val="426352080"/>
        <c:axId val="1"/>
      </c:scatterChart>
      <c:valAx>
        <c:axId val="426352080"/>
        <c:scaling>
          <c:orientation val="minMax"/>
          <c:max val="5.5"/>
          <c:min val="4"/>
        </c:scaling>
        <c:delete val="0"/>
        <c:axPos val="b"/>
        <c:majorGridlines>
          <c:spPr>
            <a:ln w="3175">
              <a:solidFill>
                <a:srgbClr val="000000"/>
              </a:solidFill>
              <a:prstDash val="solid"/>
            </a:ln>
          </c:spPr>
        </c:majorGridlines>
        <c:minorGridlines>
          <c:spPr>
            <a:ln w="3175">
              <a:solidFill>
                <a:srgbClr val="000000"/>
              </a:solidFill>
              <a:prstDash val="solid"/>
            </a:ln>
          </c:spPr>
        </c:minorGridlines>
        <c:title>
          <c:tx>
            <c:rich>
              <a:bodyPr/>
              <a:lstStyle/>
              <a:p>
                <a:pPr>
                  <a:defRPr sz="800" b="1" i="0" u="none" strike="noStrike" baseline="0">
                    <a:solidFill>
                      <a:srgbClr val="000000"/>
                    </a:solidFill>
                    <a:latin typeface="MS Sans Serif"/>
                    <a:ea typeface="MS Sans Serif"/>
                    <a:cs typeface="MS Sans Serif"/>
                  </a:defRPr>
                </a:pPr>
                <a:r>
                  <a:rPr lang="en-US"/>
                  <a:t>% AC</a:t>
                </a:r>
              </a:p>
            </c:rich>
          </c:tx>
          <c:layout>
            <c:manualLayout>
              <c:xMode val="edge"/>
              <c:yMode val="edge"/>
              <c:x val="0.49656046840298806"/>
              <c:y val="0.91233364211826462"/>
            </c:manualLayout>
          </c:layout>
          <c:overlay val="0"/>
          <c:spPr>
            <a:noFill/>
            <a:ln w="25400">
              <a:noFill/>
            </a:ln>
          </c:spPr>
        </c:title>
        <c:numFmt formatCode="0.0" sourceLinked="0"/>
        <c:majorTickMark val="cross"/>
        <c:minorTickMark val="none"/>
        <c:tickLblPos val="nextTo"/>
        <c:spPr>
          <a:ln w="12700">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1"/>
        <c:crossesAt val="2"/>
        <c:crossBetween val="midCat"/>
        <c:majorUnit val="0.5"/>
        <c:minorUnit val="0.1"/>
      </c:valAx>
      <c:valAx>
        <c:axId val="1"/>
        <c:scaling>
          <c:orientation val="minMax"/>
          <c:max val="10"/>
          <c:min val="6"/>
        </c:scaling>
        <c:delete val="0"/>
        <c:axPos val="l"/>
        <c:majorGridlines>
          <c:spPr>
            <a:ln w="12700">
              <a:solidFill>
                <a:srgbClr val="000000"/>
              </a:solidFill>
              <a:prstDash val="solid"/>
            </a:ln>
          </c:spPr>
        </c:majorGridlines>
        <c:minorGridlines>
          <c:spPr>
            <a:ln w="3175">
              <a:solidFill>
                <a:srgbClr val="000000"/>
              </a:solidFill>
              <a:prstDash val="solid"/>
            </a:ln>
          </c:spPr>
        </c:minorGridlines>
        <c:title>
          <c:tx>
            <c:rich>
              <a:bodyPr/>
              <a:lstStyle/>
              <a:p>
                <a:pPr>
                  <a:defRPr sz="800" b="1" i="0" u="none" strike="noStrike" baseline="0">
                    <a:solidFill>
                      <a:srgbClr val="000000"/>
                    </a:solidFill>
                    <a:latin typeface="MS Sans Serif"/>
                    <a:ea typeface="MS Sans Serif"/>
                    <a:cs typeface="MS Sans Serif"/>
                  </a:defRPr>
                </a:pPr>
                <a:r>
                  <a:rPr lang="en-US"/>
                  <a:t>Film Thickness (µm)</a:t>
                </a:r>
              </a:p>
            </c:rich>
          </c:tx>
          <c:layout>
            <c:manualLayout>
              <c:xMode val="edge"/>
              <c:yMode val="edge"/>
              <c:x val="1.1034697585878689E-2"/>
              <c:y val="0.27527288868303229"/>
            </c:manualLayout>
          </c:layout>
          <c:overlay val="0"/>
          <c:spPr>
            <a:noFill/>
            <a:ln w="25400">
              <a:noFill/>
            </a:ln>
          </c:spPr>
        </c:title>
        <c:numFmt formatCode="0.0" sourceLinked="0"/>
        <c:majorTickMark val="cross"/>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MS Sans Serif"/>
                <a:ea typeface="MS Sans Serif"/>
                <a:cs typeface="MS Sans Serif"/>
              </a:defRPr>
            </a:pPr>
            <a:endParaRPr lang="en-US"/>
          </a:p>
        </c:txPr>
        <c:crossAx val="426352080"/>
        <c:crossesAt val="4"/>
        <c:crossBetween val="midCat"/>
        <c:majorUnit val="1"/>
        <c:minorUnit val="0.5"/>
      </c:valAx>
      <c:spPr>
        <a:noFill/>
        <a:ln w="25400">
          <a:noFill/>
        </a:ln>
      </c:spPr>
    </c:plotArea>
    <c:plotVisOnly val="0"/>
    <c:dispBlanksAs val="gap"/>
    <c:showDLblsOverMax val="0"/>
  </c:chart>
  <c:spPr>
    <a:no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oddHeader>&amp;F</c:oddHeader>
      <c:oddFooter>Page &amp;P</c:oddFooter>
    </c:headerFooter>
    <c:pageMargins b="1" l="0.75000000000001343" r="0.75000000000001343" t="1" header="0.5" footer="0.5"/>
    <c:pageSetup orientation="portrait" horizontalDpi="-4" verticalDpi="-4"/>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6.1430010070493472E-2"/>
          <c:y val="2.2598870056497182E-2"/>
          <c:w val="0.92849949647534435"/>
          <c:h val="0.91807909604520765"/>
        </c:manualLayout>
      </c:layout>
      <c:scatterChart>
        <c:scatterStyle val="lineMarker"/>
        <c:varyColors val="0"/>
        <c:ser>
          <c:idx val="2"/>
          <c:order val="0"/>
          <c:spPr>
            <a:ln w="12700">
              <a:solidFill>
                <a:srgbClr val="000000"/>
              </a:solidFill>
              <a:prstDash val="solid"/>
            </a:ln>
          </c:spPr>
          <c:marker>
            <c:symbol val="none"/>
          </c:marker>
          <c:xVal>
            <c:numRef>
              <c:f>'Chart Data'!$H$2:$H$3</c:f>
              <c:numCache>
                <c:formatCode>General</c:formatCode>
                <c:ptCount val="2"/>
                <c:pt idx="0">
                  <c:v>5.8148230317277987</c:v>
                </c:pt>
                <c:pt idx="1">
                  <c:v>5.8148230317277987</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0-E18C-41CE-8775-50A13EA44516}"/>
            </c:ext>
          </c:extLst>
        </c:ser>
        <c:ser>
          <c:idx val="3"/>
          <c:order val="1"/>
          <c:spPr>
            <a:ln w="12700">
              <a:solidFill>
                <a:srgbClr val="000000"/>
              </a:solidFill>
              <a:prstDash val="solid"/>
            </a:ln>
          </c:spPr>
          <c:marker>
            <c:symbol val="none"/>
          </c:marker>
          <c:xVal>
            <c:numRef>
              <c:f>'Chart Data'!$D$6:$D$15</c:f>
              <c:numCache>
                <c:formatCode>General</c:formatCode>
                <c:ptCount val="10"/>
                <c:pt idx="0">
                  <c:v>3.116086507375345</c:v>
                </c:pt>
                <c:pt idx="1">
                  <c:v>2.754074108566122</c:v>
                </c:pt>
                <c:pt idx="2">
                  <c:v>2.0161002539629291</c:v>
                </c:pt>
                <c:pt idx="3">
                  <c:v>1.4716698795820382</c:v>
                </c:pt>
                <c:pt idx="4">
                  <c:v>1.0773254099250416</c:v>
                </c:pt>
                <c:pt idx="5">
                  <c:v>0.79463568224020453</c:v>
                </c:pt>
                <c:pt idx="6">
                  <c:v>0.58170736792793831</c:v>
                </c:pt>
                <c:pt idx="7">
                  <c:v>0.42583471830473674</c:v>
                </c:pt>
                <c:pt idx="8">
                  <c:v>0.31172925995349998</c:v>
                </c:pt>
                <c:pt idx="9">
                  <c:v>0</c:v>
                </c:pt>
              </c:numCache>
            </c:numRef>
          </c:xVal>
          <c:yVal>
            <c:numRef>
              <c:f>'Chart Data'!$B$6:$B$15</c:f>
              <c:numCache>
                <c:formatCode>0.0</c:formatCode>
                <c:ptCount val="10"/>
                <c:pt idx="0">
                  <c:v>0</c:v>
                </c:pt>
                <c:pt idx="1">
                  <c:v>0</c:v>
                </c:pt>
                <c:pt idx="2">
                  <c:v>0</c:v>
                </c:pt>
                <c:pt idx="3">
                  <c:v>0</c:v>
                </c:pt>
                <c:pt idx="4">
                  <c:v>0</c:v>
                </c:pt>
                <c:pt idx="5">
                  <c:v>0</c:v>
                </c:pt>
                <c:pt idx="6">
                  <c:v>0</c:v>
                </c:pt>
                <c:pt idx="7">
                  <c:v>0</c:v>
                </c:pt>
                <c:pt idx="8">
                  <c:v>0</c:v>
                </c:pt>
                <c:pt idx="9" formatCode="General">
                  <c:v>0</c:v>
                </c:pt>
              </c:numCache>
            </c:numRef>
          </c:yVal>
          <c:smooth val="0"/>
          <c:extLst>
            <c:ext xmlns:c16="http://schemas.microsoft.com/office/drawing/2014/chart" uri="{C3380CC4-5D6E-409C-BE32-E72D297353CC}">
              <c16:uniqueId val="{00000001-E18C-41CE-8775-50A13EA44516}"/>
            </c:ext>
          </c:extLst>
        </c:ser>
        <c:ser>
          <c:idx val="4"/>
          <c:order val="2"/>
          <c:spPr>
            <a:ln w="12700">
              <a:solidFill>
                <a:srgbClr val="000000"/>
              </a:solidFill>
              <a:prstDash val="solid"/>
            </a:ln>
          </c:spPr>
          <c:marker>
            <c:symbol val="none"/>
          </c:marker>
          <c:xVal>
            <c:numRef>
              <c:f>'Chart Data'!$H$8:$H$9</c:f>
              <c:numCache>
                <c:formatCode>General</c:formatCode>
                <c:ptCount val="2"/>
                <c:pt idx="0">
                  <c:v>3.7621761023862978</c:v>
                </c:pt>
                <c:pt idx="1">
                  <c:v>3.7621761023862978</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2-E18C-41CE-8775-50A13EA44516}"/>
            </c:ext>
          </c:extLst>
        </c:ser>
        <c:ser>
          <c:idx val="5"/>
          <c:order val="3"/>
          <c:spPr>
            <a:ln w="12700">
              <a:solidFill>
                <a:srgbClr val="000000"/>
              </a:solidFill>
              <a:prstDash val="solid"/>
            </a:ln>
          </c:spPr>
          <c:marker>
            <c:symbol val="none"/>
          </c:marker>
          <c:xVal>
            <c:numRef>
              <c:f>'Chart Data'!$H$10:$H$11</c:f>
              <c:numCache>
                <c:formatCode>General</c:formatCode>
                <c:ptCount val="2"/>
                <c:pt idx="0">
                  <c:v>3.116086507375345</c:v>
                </c:pt>
                <c:pt idx="1">
                  <c:v>3.116086507375345</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3-E18C-41CE-8775-50A13EA44516}"/>
            </c:ext>
          </c:extLst>
        </c:ser>
        <c:ser>
          <c:idx val="6"/>
          <c:order val="4"/>
          <c:spPr>
            <a:ln w="12700">
              <a:solidFill>
                <a:srgbClr val="000000"/>
              </a:solidFill>
              <a:prstDash val="solid"/>
            </a:ln>
          </c:spPr>
          <c:marker>
            <c:symbol val="none"/>
          </c:marker>
          <c:xVal>
            <c:numRef>
              <c:f>'Chart Data'!$H$12:$H$13</c:f>
              <c:numCache>
                <c:formatCode>General</c:formatCode>
                <c:ptCount val="2"/>
                <c:pt idx="0">
                  <c:v>2.754074108566122</c:v>
                </c:pt>
                <c:pt idx="1">
                  <c:v>2.754074108566122</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4-E18C-41CE-8775-50A13EA44516}"/>
            </c:ext>
          </c:extLst>
        </c:ser>
        <c:ser>
          <c:idx val="7"/>
          <c:order val="5"/>
          <c:spPr>
            <a:ln w="12700">
              <a:solidFill>
                <a:srgbClr val="000000"/>
              </a:solidFill>
              <a:prstDash val="solid"/>
            </a:ln>
          </c:spPr>
          <c:marker>
            <c:symbol val="none"/>
          </c:marker>
          <c:xVal>
            <c:numRef>
              <c:f>'Chart Data'!$H$6:$H$7</c:f>
              <c:numCache>
                <c:formatCode>General</c:formatCode>
                <c:ptCount val="2"/>
                <c:pt idx="0">
                  <c:v>4.2566996126039234</c:v>
                </c:pt>
                <c:pt idx="1">
                  <c:v>4.2566996126039234</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5-E18C-41CE-8775-50A13EA44516}"/>
            </c:ext>
          </c:extLst>
        </c:ser>
        <c:ser>
          <c:idx val="8"/>
          <c:order val="6"/>
          <c:spPr>
            <a:ln w="12700">
              <a:solidFill>
                <a:srgbClr val="000000"/>
              </a:solidFill>
              <a:prstDash val="solid"/>
            </a:ln>
          </c:spPr>
          <c:marker>
            <c:symbol val="none"/>
          </c:marker>
          <c:xVal>
            <c:numRef>
              <c:f>'Chart Data'!$H$14:$H$15</c:f>
              <c:numCache>
                <c:formatCode>General</c:formatCode>
                <c:ptCount val="2"/>
                <c:pt idx="0">
                  <c:v>2.0161002539629291</c:v>
                </c:pt>
                <c:pt idx="1">
                  <c:v>2.0161002539629291</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6-E18C-41CE-8775-50A13EA44516}"/>
            </c:ext>
          </c:extLst>
        </c:ser>
        <c:ser>
          <c:idx val="9"/>
          <c:order val="7"/>
          <c:spPr>
            <a:ln w="12700">
              <a:solidFill>
                <a:srgbClr val="000000"/>
              </a:solidFill>
              <a:prstDash val="solid"/>
            </a:ln>
          </c:spPr>
          <c:marker>
            <c:symbol val="none"/>
          </c:marker>
          <c:xVal>
            <c:numRef>
              <c:f>'Chart Data'!$H$16:$H$17</c:f>
              <c:numCache>
                <c:formatCode>General</c:formatCode>
                <c:ptCount val="2"/>
                <c:pt idx="0">
                  <c:v>1.4716698795820382</c:v>
                </c:pt>
                <c:pt idx="1">
                  <c:v>1.4716698795820382</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7-E18C-41CE-8775-50A13EA44516}"/>
            </c:ext>
          </c:extLst>
        </c:ser>
        <c:ser>
          <c:idx val="10"/>
          <c:order val="8"/>
          <c:spPr>
            <a:ln w="12700">
              <a:solidFill>
                <a:srgbClr val="000000"/>
              </a:solidFill>
              <a:prstDash val="solid"/>
            </a:ln>
          </c:spPr>
          <c:marker>
            <c:symbol val="none"/>
          </c:marker>
          <c:xVal>
            <c:numRef>
              <c:f>'Chart Data'!$H$18:$H$19</c:f>
              <c:numCache>
                <c:formatCode>General</c:formatCode>
                <c:ptCount val="2"/>
                <c:pt idx="0">
                  <c:v>1.0773254099250416</c:v>
                </c:pt>
                <c:pt idx="1">
                  <c:v>1.0773254099250416</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8-E18C-41CE-8775-50A13EA44516}"/>
            </c:ext>
          </c:extLst>
        </c:ser>
        <c:ser>
          <c:idx val="11"/>
          <c:order val="9"/>
          <c:spPr>
            <a:ln w="12700">
              <a:solidFill>
                <a:srgbClr val="000000"/>
              </a:solidFill>
              <a:prstDash val="solid"/>
            </a:ln>
          </c:spPr>
          <c:marker>
            <c:symbol val="none"/>
          </c:marker>
          <c:xVal>
            <c:numRef>
              <c:f>'Chart Data'!$H$20:$H$21</c:f>
              <c:numCache>
                <c:formatCode>General</c:formatCode>
                <c:ptCount val="2"/>
                <c:pt idx="0">
                  <c:v>0.79463568224020453</c:v>
                </c:pt>
                <c:pt idx="1">
                  <c:v>0.79463568224020453</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9-E18C-41CE-8775-50A13EA44516}"/>
            </c:ext>
          </c:extLst>
        </c:ser>
        <c:ser>
          <c:idx val="12"/>
          <c:order val="10"/>
          <c:spPr>
            <a:ln w="12700">
              <a:solidFill>
                <a:srgbClr val="000000"/>
              </a:solidFill>
              <a:prstDash val="solid"/>
            </a:ln>
          </c:spPr>
          <c:marker>
            <c:symbol val="none"/>
          </c:marker>
          <c:xVal>
            <c:numRef>
              <c:f>'Chart Data'!$H$22:$H$23</c:f>
              <c:numCache>
                <c:formatCode>General</c:formatCode>
                <c:ptCount val="2"/>
                <c:pt idx="0">
                  <c:v>0.58170736792793831</c:v>
                </c:pt>
                <c:pt idx="1">
                  <c:v>0.58170736792793831</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A-E18C-41CE-8775-50A13EA44516}"/>
            </c:ext>
          </c:extLst>
        </c:ser>
        <c:ser>
          <c:idx val="13"/>
          <c:order val="11"/>
          <c:spPr>
            <a:ln w="12700">
              <a:solidFill>
                <a:srgbClr val="000000"/>
              </a:solidFill>
              <a:prstDash val="solid"/>
            </a:ln>
          </c:spPr>
          <c:marker>
            <c:symbol val="none"/>
          </c:marker>
          <c:xVal>
            <c:numRef>
              <c:f>'Chart Data'!$H$24:$H$25</c:f>
              <c:numCache>
                <c:formatCode>General</c:formatCode>
                <c:ptCount val="2"/>
                <c:pt idx="0">
                  <c:v>0.42583471830473674</c:v>
                </c:pt>
                <c:pt idx="1">
                  <c:v>0.42583471830473674</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B-E18C-41CE-8775-50A13EA44516}"/>
            </c:ext>
          </c:extLst>
        </c:ser>
        <c:ser>
          <c:idx val="14"/>
          <c:order val="12"/>
          <c:spPr>
            <a:ln w="12700">
              <a:solidFill>
                <a:srgbClr val="000000"/>
              </a:solidFill>
              <a:prstDash val="solid"/>
            </a:ln>
          </c:spPr>
          <c:marker>
            <c:symbol val="none"/>
          </c:marker>
          <c:xVal>
            <c:numRef>
              <c:f>'Chart Data'!$H$26:$H$27</c:f>
              <c:numCache>
                <c:formatCode>General</c:formatCode>
                <c:ptCount val="2"/>
                <c:pt idx="0">
                  <c:v>0.31172925995349998</c:v>
                </c:pt>
                <c:pt idx="1">
                  <c:v>0.31172925995349998</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C-E18C-41CE-8775-50A13EA44516}"/>
            </c:ext>
          </c:extLst>
        </c:ser>
        <c:ser>
          <c:idx val="15"/>
          <c:order val="13"/>
          <c:spPr>
            <a:ln w="12700">
              <a:solidFill>
                <a:srgbClr val="FF0000"/>
              </a:solidFill>
              <a:prstDash val="solid"/>
            </a:ln>
          </c:spPr>
          <c:marker>
            <c:symbol val="circle"/>
            <c:size val="5"/>
            <c:spPr>
              <a:solidFill>
                <a:srgbClr val="FFFFFF"/>
              </a:solidFill>
              <a:ln>
                <a:solidFill>
                  <a:srgbClr val="000000"/>
                </a:solidFill>
                <a:prstDash val="solid"/>
              </a:ln>
            </c:spPr>
          </c:marker>
          <c:xVal>
            <c:numRef>
              <c:f>'Chart Data'!$D$2:$D$15</c:f>
              <c:numCache>
                <c:formatCode>General</c:formatCode>
                <c:ptCount val="14"/>
                <c:pt idx="0">
                  <c:v>5.8148230317277987</c:v>
                </c:pt>
                <c:pt idx="1">
                  <c:v>5.1087431744234335</c:v>
                </c:pt>
                <c:pt idx="2">
                  <c:v>4.2566996126039234</c:v>
                </c:pt>
                <c:pt idx="3">
                  <c:v>3.7621761023862978</c:v>
                </c:pt>
                <c:pt idx="4">
                  <c:v>3.116086507375345</c:v>
                </c:pt>
                <c:pt idx="5">
                  <c:v>2.754074108566122</c:v>
                </c:pt>
                <c:pt idx="6">
                  <c:v>2.0161002539629291</c:v>
                </c:pt>
                <c:pt idx="7">
                  <c:v>1.4716698795820382</c:v>
                </c:pt>
                <c:pt idx="8">
                  <c:v>1.0773254099250416</c:v>
                </c:pt>
                <c:pt idx="9">
                  <c:v>0.79463568224020453</c:v>
                </c:pt>
                <c:pt idx="10">
                  <c:v>0.58170736792793831</c:v>
                </c:pt>
                <c:pt idx="11">
                  <c:v>0.42583471830473674</c:v>
                </c:pt>
                <c:pt idx="12">
                  <c:v>0.31172925995349998</c:v>
                </c:pt>
                <c:pt idx="13">
                  <c:v>0</c:v>
                </c:pt>
              </c:numCache>
            </c:numRef>
          </c:xVal>
          <c:yVal>
            <c:numRef>
              <c:f>'Chart Data'!$B$2:$B$15</c:f>
              <c:numCache>
                <c:formatCode>0.0</c:formatCode>
                <c:ptCount val="14"/>
                <c:pt idx="0">
                  <c:v>100</c:v>
                </c:pt>
                <c:pt idx="1">
                  <c:v>0</c:v>
                </c:pt>
                <c:pt idx="2">
                  <c:v>0</c:v>
                </c:pt>
                <c:pt idx="3">
                  <c:v>0</c:v>
                </c:pt>
                <c:pt idx="4">
                  <c:v>0</c:v>
                </c:pt>
                <c:pt idx="5">
                  <c:v>0</c:v>
                </c:pt>
                <c:pt idx="6">
                  <c:v>0</c:v>
                </c:pt>
                <c:pt idx="7">
                  <c:v>0</c:v>
                </c:pt>
                <c:pt idx="8">
                  <c:v>0</c:v>
                </c:pt>
                <c:pt idx="9">
                  <c:v>0</c:v>
                </c:pt>
                <c:pt idx="10">
                  <c:v>0</c:v>
                </c:pt>
                <c:pt idx="11">
                  <c:v>0</c:v>
                </c:pt>
                <c:pt idx="12">
                  <c:v>0</c:v>
                </c:pt>
                <c:pt idx="13" formatCode="General">
                  <c:v>0</c:v>
                </c:pt>
              </c:numCache>
            </c:numRef>
          </c:yVal>
          <c:smooth val="0"/>
          <c:extLst>
            <c:ext xmlns:c16="http://schemas.microsoft.com/office/drawing/2014/chart" uri="{C3380CC4-5D6E-409C-BE32-E72D297353CC}">
              <c16:uniqueId val="{0000000D-E18C-41CE-8775-50A13EA44516}"/>
            </c:ext>
          </c:extLst>
        </c:ser>
        <c:ser>
          <c:idx val="17"/>
          <c:order val="14"/>
          <c:spPr>
            <a:ln w="12700">
              <a:solidFill>
                <a:srgbClr val="000000"/>
              </a:solidFill>
              <a:prstDash val="solid"/>
            </a:ln>
          </c:spPr>
          <c:marker>
            <c:symbol val="none"/>
          </c:marker>
          <c:xVal>
            <c:numRef>
              <c:f>'Chart Data'!$G$18:$G$19</c:f>
              <c:numCache>
                <c:formatCode>General</c:formatCode>
                <c:ptCount val="2"/>
              </c:numCache>
            </c:numRef>
          </c:xVal>
          <c:yVal>
            <c:numRef>
              <c:f>'Chart Data'!$F$18:$F$19</c:f>
              <c:numCache>
                <c:formatCode>General</c:formatCode>
                <c:ptCount val="2"/>
                <c:pt idx="0">
                  <c:v>0</c:v>
                </c:pt>
                <c:pt idx="1">
                  <c:v>100</c:v>
                </c:pt>
              </c:numCache>
            </c:numRef>
          </c:yVal>
          <c:smooth val="0"/>
          <c:extLst>
            <c:ext xmlns:c16="http://schemas.microsoft.com/office/drawing/2014/chart" uri="{C3380CC4-5D6E-409C-BE32-E72D297353CC}">
              <c16:uniqueId val="{0000000E-E18C-41CE-8775-50A13EA44516}"/>
            </c:ext>
          </c:extLst>
        </c:ser>
        <c:ser>
          <c:idx val="18"/>
          <c:order val="15"/>
          <c:spPr>
            <a:ln w="12700">
              <a:solidFill>
                <a:srgbClr val="000000"/>
              </a:solidFill>
              <a:prstDash val="solid"/>
            </a:ln>
          </c:spPr>
          <c:marker>
            <c:symbol val="none"/>
          </c:marker>
          <c:xVal>
            <c:strRef>
              <c:f>'Chart Data'!$F$14:$F$15</c:f>
              <c:strCache>
                <c:ptCount val="1"/>
                <c:pt idx="0">
                  <c:v>0</c:v>
                </c:pt>
              </c:strCache>
            </c:strRef>
          </c:xVal>
          <c:yVal>
            <c:numRef>
              <c:f>'Chart Data'!$G$14:$G$15</c:f>
              <c:numCache>
                <c:formatCode>General</c:formatCode>
                <c:ptCount val="2"/>
                <c:pt idx="0">
                  <c:v>0</c:v>
                </c:pt>
                <c:pt idx="1">
                  <c:v>100</c:v>
                </c:pt>
              </c:numCache>
            </c:numRef>
          </c:yVal>
          <c:smooth val="0"/>
          <c:extLst>
            <c:ext xmlns:c16="http://schemas.microsoft.com/office/drawing/2014/chart" uri="{C3380CC4-5D6E-409C-BE32-E72D297353CC}">
              <c16:uniqueId val="{0000000F-E18C-41CE-8775-50A13EA44516}"/>
            </c:ext>
          </c:extLst>
        </c:ser>
        <c:ser>
          <c:idx val="16"/>
          <c:order val="16"/>
          <c:spPr>
            <a:ln w="28575">
              <a:noFill/>
            </a:ln>
          </c:spPr>
          <c:marker>
            <c:symbol val="square"/>
            <c:size val="5"/>
            <c:spPr>
              <a:solidFill>
                <a:srgbClr val="FF0000"/>
              </a:solidFill>
              <a:ln>
                <a:solidFill>
                  <a:srgbClr val="FF0000"/>
                </a:solidFill>
                <a:prstDash val="solid"/>
              </a:ln>
            </c:spPr>
          </c:marker>
          <c:xVal>
            <c:numRef>
              <c:f>'Chart Data'!$F$3:$F$11</c:f>
              <c:numCache>
                <c:formatCode>General</c:formatCode>
                <c:ptCount val="9"/>
                <c:pt idx="0">
                  <c:v>3.116086507375345</c:v>
                </c:pt>
                <c:pt idx="1">
                  <c:v>2.754074108566122</c:v>
                </c:pt>
                <c:pt idx="2">
                  <c:v>2.754074108566122</c:v>
                </c:pt>
                <c:pt idx="3">
                  <c:v>2.0161002539629291</c:v>
                </c:pt>
                <c:pt idx="4">
                  <c:v>1.4716698795820382</c:v>
                </c:pt>
                <c:pt idx="5">
                  <c:v>1.4716698795820382</c:v>
                </c:pt>
                <c:pt idx="6">
                  <c:v>0.31172925995349998</c:v>
                </c:pt>
                <c:pt idx="7">
                  <c:v>0.31172925995349998</c:v>
                </c:pt>
                <c:pt idx="8">
                  <c:v>0.31172925995349998</c:v>
                </c:pt>
              </c:numCache>
            </c:numRef>
          </c:xVal>
          <c:yVal>
            <c:numRef>
              <c:f>'Chart Data'!$G$3:$G$11</c:f>
              <c:numCache>
                <c:formatCode>General</c:formatCode>
                <c:ptCount val="9"/>
                <c:pt idx="0">
                  <c:v>100</c:v>
                </c:pt>
                <c:pt idx="1">
                  <c:v>100</c:v>
                </c:pt>
                <c:pt idx="2">
                  <c:v>90</c:v>
                </c:pt>
                <c:pt idx="3">
                  <c:v>90</c:v>
                </c:pt>
                <c:pt idx="4">
                  <c:v>67</c:v>
                </c:pt>
                <c:pt idx="5">
                  <c:v>32</c:v>
                </c:pt>
                <c:pt idx="6">
                  <c:v>10</c:v>
                </c:pt>
                <c:pt idx="7">
                  <c:v>2</c:v>
                </c:pt>
                <c:pt idx="8">
                  <c:v>6</c:v>
                </c:pt>
              </c:numCache>
            </c:numRef>
          </c:yVal>
          <c:smooth val="0"/>
          <c:extLst>
            <c:ext xmlns:c16="http://schemas.microsoft.com/office/drawing/2014/chart" uri="{C3380CC4-5D6E-409C-BE32-E72D297353CC}">
              <c16:uniqueId val="{00000010-E18C-41CE-8775-50A13EA44516}"/>
            </c:ext>
          </c:extLst>
        </c:ser>
        <c:ser>
          <c:idx val="0"/>
          <c:order val="17"/>
          <c:spPr>
            <a:ln w="12700">
              <a:solidFill>
                <a:srgbClr val="000000"/>
              </a:solidFill>
              <a:prstDash val="solid"/>
            </a:ln>
          </c:spPr>
          <c:marker>
            <c:symbol val="none"/>
          </c:marker>
          <c:xVal>
            <c:numRef>
              <c:f>'Chart Data'!$H$4:$H$5</c:f>
              <c:numCache>
                <c:formatCode>General</c:formatCode>
                <c:ptCount val="2"/>
                <c:pt idx="0">
                  <c:v>5.1087431744234335</c:v>
                </c:pt>
                <c:pt idx="1">
                  <c:v>5.1087431744234335</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11-E18C-41CE-8775-50A13EA44516}"/>
            </c:ext>
          </c:extLst>
        </c:ser>
        <c:dLbls>
          <c:showLegendKey val="0"/>
          <c:showVal val="0"/>
          <c:showCatName val="0"/>
          <c:showSerName val="0"/>
          <c:showPercent val="0"/>
          <c:showBubbleSize val="0"/>
        </c:dLbls>
        <c:axId val="305425808"/>
        <c:axId val="1"/>
      </c:scatterChart>
      <c:valAx>
        <c:axId val="305425808"/>
        <c:scaling>
          <c:orientation val="minMax"/>
          <c:max val="5.8148229999999845"/>
          <c:min val="0"/>
        </c:scaling>
        <c:delete val="1"/>
        <c:axPos val="b"/>
        <c:title>
          <c:tx>
            <c:rich>
              <a:bodyPr/>
              <a:lstStyle/>
              <a:p>
                <a:pPr>
                  <a:defRPr sz="1000" b="1" i="0" u="none" strike="noStrike" baseline="0">
                    <a:solidFill>
                      <a:srgbClr val="000000"/>
                    </a:solidFill>
                    <a:latin typeface="MS Sans Serif"/>
                    <a:ea typeface="MS Sans Serif"/>
                    <a:cs typeface="MS Sans Serif"/>
                  </a:defRPr>
                </a:pPr>
                <a:r>
                  <a:rPr lang="en-US"/>
                  <a:t>Sieve Size (in.)</a:t>
                </a:r>
              </a:p>
            </c:rich>
          </c:tx>
          <c:layout>
            <c:manualLayout>
              <c:xMode val="edge"/>
              <c:yMode val="edge"/>
              <c:x val="0.45921449387532676"/>
              <c:y val="0.96751403958849291"/>
            </c:manualLayout>
          </c:layout>
          <c:overlay val="0"/>
          <c:spPr>
            <a:noFill/>
            <a:ln w="25400">
              <a:noFill/>
            </a:ln>
          </c:spPr>
        </c:title>
        <c:numFmt formatCode="General" sourceLinked="1"/>
        <c:majorTickMark val="out"/>
        <c:minorTickMark val="none"/>
        <c:tickLblPos val="nextTo"/>
        <c:crossAx val="1"/>
        <c:crosses val="autoZero"/>
        <c:crossBetween val="midCat"/>
        <c:majorUnit val="0.81482299999999996"/>
      </c:valAx>
      <c:valAx>
        <c:axId val="1"/>
        <c:scaling>
          <c:orientation val="minMax"/>
          <c:max val="100"/>
        </c:scaling>
        <c:delete val="0"/>
        <c:axPos val="l"/>
        <c:majorGridlines>
          <c:spPr>
            <a:ln w="12700">
              <a:solidFill>
                <a:srgbClr val="000000"/>
              </a:solidFill>
              <a:prstDash val="solid"/>
            </a:ln>
          </c:spPr>
        </c:majorGridlines>
        <c:minorGridlines>
          <c:spPr>
            <a:ln w="3175">
              <a:solidFill>
                <a:srgbClr val="000000"/>
              </a:solidFill>
              <a:prstDash val="solid"/>
            </a:ln>
          </c:spPr>
        </c:minorGridlines>
        <c:title>
          <c:tx>
            <c:rich>
              <a:bodyPr/>
              <a:lstStyle/>
              <a:p>
                <a:pPr>
                  <a:defRPr sz="1000" b="1" i="0" u="none" strike="noStrike" baseline="0">
                    <a:solidFill>
                      <a:srgbClr val="000000"/>
                    </a:solidFill>
                    <a:latin typeface="MS Sans Serif"/>
                    <a:ea typeface="MS Sans Serif"/>
                    <a:cs typeface="MS Sans Serif"/>
                  </a:defRPr>
                </a:pPr>
                <a:r>
                  <a:rPr lang="en-US"/>
                  <a:t>Percent Passing</a:t>
                </a:r>
              </a:p>
            </c:rich>
          </c:tx>
          <c:layout>
            <c:manualLayout>
              <c:xMode val="edge"/>
              <c:yMode val="edge"/>
              <c:x val="1.7119810876198148E-2"/>
              <c:y val="0.39830510607894748"/>
            </c:manualLayout>
          </c:layout>
          <c:overlay val="0"/>
          <c:spPr>
            <a:noFill/>
            <a:ln w="25400">
              <a:noFill/>
            </a:ln>
          </c:spPr>
        </c:title>
        <c:numFmt formatCode="General" sourceLinked="1"/>
        <c:majorTickMark val="cross"/>
        <c:minorTickMark val="none"/>
        <c:tickLblPos val="nextTo"/>
        <c:spPr>
          <a:ln w="12700">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n-US"/>
          </a:p>
        </c:txPr>
        <c:crossAx val="305425808"/>
        <c:crosses val="autoZero"/>
        <c:crossBetween val="midCat"/>
        <c:majorUnit val="10"/>
        <c:minorUnit val="2"/>
      </c:valAx>
      <c:spPr>
        <a:noFill/>
        <a:ln w="25400">
          <a:noFill/>
        </a:ln>
      </c:spPr>
    </c:plotArea>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autoTitleDeleted val="0"/>
    <c:plotArea>
      <c:layout>
        <c:manualLayout>
          <c:layoutTarget val="inner"/>
          <c:xMode val="edge"/>
          <c:yMode val="edge"/>
          <c:x val="6.1430010070493472E-2"/>
          <c:y val="2.2598870056497182E-2"/>
          <c:w val="0.92849949647534435"/>
          <c:h val="0.91807909604520765"/>
        </c:manualLayout>
      </c:layout>
      <c:scatterChart>
        <c:scatterStyle val="lineMarker"/>
        <c:varyColors val="0"/>
        <c:ser>
          <c:idx val="2"/>
          <c:order val="0"/>
          <c:spPr>
            <a:ln w="12700">
              <a:solidFill>
                <a:srgbClr val="000000"/>
              </a:solidFill>
              <a:prstDash val="solid"/>
            </a:ln>
          </c:spPr>
          <c:marker>
            <c:symbol val="none"/>
          </c:marker>
          <c:xVal>
            <c:numRef>
              <c:f>'Chart Data'!$H$2:$H$3</c:f>
              <c:numCache>
                <c:formatCode>General</c:formatCode>
                <c:ptCount val="2"/>
                <c:pt idx="0">
                  <c:v>5.8148230317277987</c:v>
                </c:pt>
                <c:pt idx="1">
                  <c:v>5.8148230317277987</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0-D7EF-42C8-B656-187DE0DE8928}"/>
            </c:ext>
          </c:extLst>
        </c:ser>
        <c:ser>
          <c:idx val="4"/>
          <c:order val="1"/>
          <c:spPr>
            <a:ln w="12700">
              <a:solidFill>
                <a:srgbClr val="000000"/>
              </a:solidFill>
              <a:prstDash val="solid"/>
            </a:ln>
          </c:spPr>
          <c:marker>
            <c:symbol val="none"/>
          </c:marker>
          <c:xVal>
            <c:numRef>
              <c:f>'Chart Data'!$H$8:$H$9</c:f>
              <c:numCache>
                <c:formatCode>General</c:formatCode>
                <c:ptCount val="2"/>
                <c:pt idx="0">
                  <c:v>3.7621761023862978</c:v>
                </c:pt>
                <c:pt idx="1">
                  <c:v>3.7621761023862978</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1-D7EF-42C8-B656-187DE0DE8928}"/>
            </c:ext>
          </c:extLst>
        </c:ser>
        <c:ser>
          <c:idx val="5"/>
          <c:order val="2"/>
          <c:spPr>
            <a:ln w="12700">
              <a:solidFill>
                <a:srgbClr val="000000"/>
              </a:solidFill>
              <a:prstDash val="solid"/>
            </a:ln>
          </c:spPr>
          <c:marker>
            <c:symbol val="none"/>
          </c:marker>
          <c:xVal>
            <c:numRef>
              <c:f>'Chart Data'!$H$10:$H$11</c:f>
              <c:numCache>
                <c:formatCode>General</c:formatCode>
                <c:ptCount val="2"/>
                <c:pt idx="0">
                  <c:v>3.116086507375345</c:v>
                </c:pt>
                <c:pt idx="1">
                  <c:v>3.116086507375345</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2-D7EF-42C8-B656-187DE0DE8928}"/>
            </c:ext>
          </c:extLst>
        </c:ser>
        <c:ser>
          <c:idx val="6"/>
          <c:order val="3"/>
          <c:spPr>
            <a:ln w="12700">
              <a:solidFill>
                <a:srgbClr val="000000"/>
              </a:solidFill>
              <a:prstDash val="solid"/>
            </a:ln>
          </c:spPr>
          <c:marker>
            <c:symbol val="none"/>
          </c:marker>
          <c:xVal>
            <c:numRef>
              <c:f>'Chart Data'!$H$12:$H$13</c:f>
              <c:numCache>
                <c:formatCode>General</c:formatCode>
                <c:ptCount val="2"/>
                <c:pt idx="0">
                  <c:v>2.754074108566122</c:v>
                </c:pt>
                <c:pt idx="1">
                  <c:v>2.754074108566122</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3-D7EF-42C8-B656-187DE0DE8928}"/>
            </c:ext>
          </c:extLst>
        </c:ser>
        <c:ser>
          <c:idx val="7"/>
          <c:order val="4"/>
          <c:spPr>
            <a:ln w="12700">
              <a:solidFill>
                <a:srgbClr val="000000"/>
              </a:solidFill>
              <a:prstDash val="solid"/>
            </a:ln>
          </c:spPr>
          <c:marker>
            <c:symbol val="none"/>
          </c:marker>
          <c:xVal>
            <c:numRef>
              <c:f>'Chart Data'!$H$6:$H$7</c:f>
              <c:numCache>
                <c:formatCode>General</c:formatCode>
                <c:ptCount val="2"/>
                <c:pt idx="0">
                  <c:v>4.2566996126039234</c:v>
                </c:pt>
                <c:pt idx="1">
                  <c:v>4.2566996126039234</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4-D7EF-42C8-B656-187DE0DE8928}"/>
            </c:ext>
          </c:extLst>
        </c:ser>
        <c:ser>
          <c:idx val="8"/>
          <c:order val="5"/>
          <c:spPr>
            <a:ln w="12700">
              <a:solidFill>
                <a:srgbClr val="000000"/>
              </a:solidFill>
              <a:prstDash val="solid"/>
            </a:ln>
          </c:spPr>
          <c:marker>
            <c:symbol val="none"/>
          </c:marker>
          <c:xVal>
            <c:numRef>
              <c:f>'Chart Data'!$H$14:$H$15</c:f>
              <c:numCache>
                <c:formatCode>General</c:formatCode>
                <c:ptCount val="2"/>
                <c:pt idx="0">
                  <c:v>2.0161002539629291</c:v>
                </c:pt>
                <c:pt idx="1">
                  <c:v>2.0161002539629291</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5-D7EF-42C8-B656-187DE0DE8928}"/>
            </c:ext>
          </c:extLst>
        </c:ser>
        <c:ser>
          <c:idx val="9"/>
          <c:order val="6"/>
          <c:spPr>
            <a:ln w="12700">
              <a:solidFill>
                <a:srgbClr val="000000"/>
              </a:solidFill>
              <a:prstDash val="solid"/>
            </a:ln>
          </c:spPr>
          <c:marker>
            <c:symbol val="none"/>
          </c:marker>
          <c:xVal>
            <c:numRef>
              <c:f>'Chart Data'!$H$16:$H$17</c:f>
              <c:numCache>
                <c:formatCode>General</c:formatCode>
                <c:ptCount val="2"/>
                <c:pt idx="0">
                  <c:v>1.4716698795820382</c:v>
                </c:pt>
                <c:pt idx="1">
                  <c:v>1.4716698795820382</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6-D7EF-42C8-B656-187DE0DE8928}"/>
            </c:ext>
          </c:extLst>
        </c:ser>
        <c:ser>
          <c:idx val="10"/>
          <c:order val="7"/>
          <c:spPr>
            <a:ln w="12700">
              <a:solidFill>
                <a:srgbClr val="000000"/>
              </a:solidFill>
              <a:prstDash val="solid"/>
            </a:ln>
          </c:spPr>
          <c:marker>
            <c:symbol val="none"/>
          </c:marker>
          <c:xVal>
            <c:numRef>
              <c:f>'Chart Data'!$H$18:$H$19</c:f>
              <c:numCache>
                <c:formatCode>General</c:formatCode>
                <c:ptCount val="2"/>
                <c:pt idx="0">
                  <c:v>1.0773254099250416</c:v>
                </c:pt>
                <c:pt idx="1">
                  <c:v>1.0773254099250416</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7-D7EF-42C8-B656-187DE0DE8928}"/>
            </c:ext>
          </c:extLst>
        </c:ser>
        <c:ser>
          <c:idx val="11"/>
          <c:order val="8"/>
          <c:spPr>
            <a:ln w="12700">
              <a:solidFill>
                <a:srgbClr val="000000"/>
              </a:solidFill>
              <a:prstDash val="solid"/>
            </a:ln>
          </c:spPr>
          <c:marker>
            <c:symbol val="none"/>
          </c:marker>
          <c:xVal>
            <c:numRef>
              <c:f>'Chart Data'!$H$20:$H$21</c:f>
              <c:numCache>
                <c:formatCode>General</c:formatCode>
                <c:ptCount val="2"/>
                <c:pt idx="0">
                  <c:v>0.79463568224020453</c:v>
                </c:pt>
                <c:pt idx="1">
                  <c:v>0.79463568224020453</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8-D7EF-42C8-B656-187DE0DE8928}"/>
            </c:ext>
          </c:extLst>
        </c:ser>
        <c:ser>
          <c:idx val="12"/>
          <c:order val="9"/>
          <c:spPr>
            <a:ln w="12700">
              <a:solidFill>
                <a:srgbClr val="000000"/>
              </a:solidFill>
              <a:prstDash val="solid"/>
            </a:ln>
          </c:spPr>
          <c:marker>
            <c:symbol val="none"/>
          </c:marker>
          <c:xVal>
            <c:numRef>
              <c:f>'Chart Data'!$H$22:$H$23</c:f>
              <c:numCache>
                <c:formatCode>General</c:formatCode>
                <c:ptCount val="2"/>
                <c:pt idx="0">
                  <c:v>0.58170736792793831</c:v>
                </c:pt>
                <c:pt idx="1">
                  <c:v>0.58170736792793831</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9-D7EF-42C8-B656-187DE0DE8928}"/>
            </c:ext>
          </c:extLst>
        </c:ser>
        <c:ser>
          <c:idx val="13"/>
          <c:order val="10"/>
          <c:spPr>
            <a:ln w="12700">
              <a:solidFill>
                <a:srgbClr val="000000"/>
              </a:solidFill>
              <a:prstDash val="solid"/>
            </a:ln>
          </c:spPr>
          <c:marker>
            <c:symbol val="none"/>
          </c:marker>
          <c:xVal>
            <c:numRef>
              <c:f>'Chart Data'!$H$24:$H$25</c:f>
              <c:numCache>
                <c:formatCode>General</c:formatCode>
                <c:ptCount val="2"/>
                <c:pt idx="0">
                  <c:v>0.42583471830473674</c:v>
                </c:pt>
                <c:pt idx="1">
                  <c:v>0.42583471830473674</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A-D7EF-42C8-B656-187DE0DE8928}"/>
            </c:ext>
          </c:extLst>
        </c:ser>
        <c:ser>
          <c:idx val="14"/>
          <c:order val="11"/>
          <c:spPr>
            <a:ln w="12700">
              <a:solidFill>
                <a:srgbClr val="000000"/>
              </a:solidFill>
              <a:prstDash val="solid"/>
            </a:ln>
          </c:spPr>
          <c:marker>
            <c:symbol val="none"/>
          </c:marker>
          <c:xVal>
            <c:numRef>
              <c:f>'Chart Data'!$H$26:$H$27</c:f>
              <c:numCache>
                <c:formatCode>General</c:formatCode>
                <c:ptCount val="2"/>
                <c:pt idx="0">
                  <c:v>0.31172925995349998</c:v>
                </c:pt>
                <c:pt idx="1">
                  <c:v>0.31172925995349998</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B-D7EF-42C8-B656-187DE0DE8928}"/>
            </c:ext>
          </c:extLst>
        </c:ser>
        <c:ser>
          <c:idx val="17"/>
          <c:order val="12"/>
          <c:spPr>
            <a:ln w="25400">
              <a:solidFill>
                <a:srgbClr val="FF0000"/>
              </a:solidFill>
              <a:prstDash val="solid"/>
            </a:ln>
          </c:spPr>
          <c:marker>
            <c:symbol val="none"/>
          </c:marker>
          <c:xVal>
            <c:numRef>
              <c:f>'Chart Data'!$D$19:$D$25</c:f>
              <c:numCache>
                <c:formatCode>General</c:formatCode>
                <c:ptCount val="7"/>
                <c:pt idx="0">
                  <c:v>5.1087431744234335</c:v>
                </c:pt>
                <c:pt idx="1">
                  <c:v>3.7621761023862978</c:v>
                </c:pt>
                <c:pt idx="2">
                  <c:v>3.116086507375345</c:v>
                </c:pt>
                <c:pt idx="3">
                  <c:v>2.0161002539629291</c:v>
                </c:pt>
                <c:pt idx="4">
                  <c:v>1.4716698795820382</c:v>
                </c:pt>
                <c:pt idx="5">
                  <c:v>0.31172925995349998</c:v>
                </c:pt>
                <c:pt idx="6">
                  <c:v>0</c:v>
                </c:pt>
              </c:numCache>
            </c:numRef>
          </c:xVal>
          <c:yVal>
            <c:numRef>
              <c:f>'Chart Data'!$E$19:$E$25</c:f>
              <c:numCache>
                <c:formatCode>General</c:formatCode>
                <c:ptCount val="7"/>
                <c:pt idx="0">
                  <c:v>100</c:v>
                </c:pt>
                <c:pt idx="1">
                  <c:v>85</c:v>
                </c:pt>
                <c:pt idx="2">
                  <c:v>35</c:v>
                </c:pt>
                <c:pt idx="3">
                  <c:v>0</c:v>
                </c:pt>
                <c:pt idx="4">
                  <c:v>0</c:v>
                </c:pt>
                <c:pt idx="5">
                  <c:v>0</c:v>
                </c:pt>
                <c:pt idx="6">
                  <c:v>0</c:v>
                </c:pt>
              </c:numCache>
            </c:numRef>
          </c:yVal>
          <c:smooth val="0"/>
          <c:extLst>
            <c:ext xmlns:c16="http://schemas.microsoft.com/office/drawing/2014/chart" uri="{C3380CC4-5D6E-409C-BE32-E72D297353CC}">
              <c16:uniqueId val="{0000000C-D7EF-42C8-B656-187DE0DE8928}"/>
            </c:ext>
          </c:extLst>
        </c:ser>
        <c:ser>
          <c:idx val="18"/>
          <c:order val="13"/>
          <c:spPr>
            <a:ln w="12700">
              <a:solidFill>
                <a:srgbClr val="0000FF"/>
              </a:solidFill>
              <a:prstDash val="solid"/>
            </a:ln>
          </c:spPr>
          <c:marker>
            <c:symbol val="circle"/>
            <c:size val="5"/>
            <c:spPr>
              <a:solidFill>
                <a:srgbClr val="FFFFFF"/>
              </a:solidFill>
              <a:ln>
                <a:solidFill>
                  <a:srgbClr val="0000FF"/>
                </a:solidFill>
                <a:prstDash val="solid"/>
              </a:ln>
            </c:spPr>
          </c:marker>
          <c:xVal>
            <c:numRef>
              <c:f>'Chart Data'!$D$19:$D$25</c:f>
              <c:numCache>
                <c:formatCode>General</c:formatCode>
                <c:ptCount val="7"/>
                <c:pt idx="0">
                  <c:v>5.1087431744234335</c:v>
                </c:pt>
                <c:pt idx="1">
                  <c:v>3.7621761023862978</c:v>
                </c:pt>
                <c:pt idx="2">
                  <c:v>3.116086507375345</c:v>
                </c:pt>
                <c:pt idx="3">
                  <c:v>2.0161002539629291</c:v>
                </c:pt>
                <c:pt idx="4">
                  <c:v>1.4716698795820382</c:v>
                </c:pt>
                <c:pt idx="5">
                  <c:v>0.31172925995349998</c:v>
                </c:pt>
                <c:pt idx="6">
                  <c:v>0</c:v>
                </c:pt>
              </c:numCache>
            </c:numRef>
          </c:xVal>
          <c:yVal>
            <c:numRef>
              <c:f>'Chart Data'!$B$19:$B$25</c:f>
              <c:numCache>
                <c:formatCode>0</c:formatCode>
                <c:ptCount val="7"/>
                <c:pt idx="0">
                  <c:v>0</c:v>
                </c:pt>
                <c:pt idx="1">
                  <c:v>0</c:v>
                </c:pt>
                <c:pt idx="2">
                  <c:v>0</c:v>
                </c:pt>
                <c:pt idx="3">
                  <c:v>0</c:v>
                </c:pt>
                <c:pt idx="4">
                  <c:v>0</c:v>
                </c:pt>
                <c:pt idx="5" formatCode="General">
                  <c:v>0</c:v>
                </c:pt>
                <c:pt idx="6" formatCode="General">
                  <c:v>0</c:v>
                </c:pt>
              </c:numCache>
            </c:numRef>
          </c:yVal>
          <c:smooth val="0"/>
          <c:extLst>
            <c:ext xmlns:c16="http://schemas.microsoft.com/office/drawing/2014/chart" uri="{C3380CC4-5D6E-409C-BE32-E72D297353CC}">
              <c16:uniqueId val="{0000000D-D7EF-42C8-B656-187DE0DE8928}"/>
            </c:ext>
          </c:extLst>
        </c:ser>
        <c:ser>
          <c:idx val="16"/>
          <c:order val="14"/>
          <c:spPr>
            <a:ln w="25400">
              <a:solidFill>
                <a:srgbClr val="FF0000"/>
              </a:solidFill>
              <a:prstDash val="solid"/>
            </a:ln>
          </c:spPr>
          <c:marker>
            <c:symbol val="none"/>
          </c:marker>
          <c:xVal>
            <c:numRef>
              <c:f>'Chart Data'!$D$19:$D$25</c:f>
              <c:numCache>
                <c:formatCode>General</c:formatCode>
                <c:ptCount val="7"/>
                <c:pt idx="0">
                  <c:v>5.1087431744234335</c:v>
                </c:pt>
                <c:pt idx="1">
                  <c:v>3.7621761023862978</c:v>
                </c:pt>
                <c:pt idx="2">
                  <c:v>3.116086507375345</c:v>
                </c:pt>
                <c:pt idx="3">
                  <c:v>2.0161002539629291</c:v>
                </c:pt>
                <c:pt idx="4">
                  <c:v>1.4716698795820382</c:v>
                </c:pt>
                <c:pt idx="5">
                  <c:v>0.31172925995349998</c:v>
                </c:pt>
                <c:pt idx="6">
                  <c:v>0</c:v>
                </c:pt>
              </c:numCache>
            </c:numRef>
          </c:xVal>
          <c:yVal>
            <c:numRef>
              <c:f>'Chart Data'!$F$19:$F$25</c:f>
              <c:numCache>
                <c:formatCode>General</c:formatCode>
                <c:ptCount val="7"/>
                <c:pt idx="0">
                  <c:v>100</c:v>
                </c:pt>
                <c:pt idx="1">
                  <c:v>100</c:v>
                </c:pt>
                <c:pt idx="2">
                  <c:v>65</c:v>
                </c:pt>
                <c:pt idx="3">
                  <c:v>20</c:v>
                </c:pt>
                <c:pt idx="4">
                  <c:v>10</c:v>
                </c:pt>
                <c:pt idx="5">
                  <c:v>4</c:v>
                </c:pt>
                <c:pt idx="6">
                  <c:v>0</c:v>
                </c:pt>
              </c:numCache>
            </c:numRef>
          </c:yVal>
          <c:smooth val="0"/>
          <c:extLst>
            <c:ext xmlns:c16="http://schemas.microsoft.com/office/drawing/2014/chart" uri="{C3380CC4-5D6E-409C-BE32-E72D297353CC}">
              <c16:uniqueId val="{0000000E-D7EF-42C8-B656-187DE0DE8928}"/>
            </c:ext>
          </c:extLst>
        </c:ser>
        <c:ser>
          <c:idx val="0"/>
          <c:order val="15"/>
          <c:spPr>
            <a:ln w="12700">
              <a:solidFill>
                <a:srgbClr val="000000"/>
              </a:solidFill>
              <a:prstDash val="solid"/>
            </a:ln>
          </c:spPr>
          <c:marker>
            <c:symbol val="none"/>
          </c:marker>
          <c:xVal>
            <c:numRef>
              <c:f>'Chart Data'!$H$4:$H$5</c:f>
              <c:numCache>
                <c:formatCode>General</c:formatCode>
                <c:ptCount val="2"/>
                <c:pt idx="0">
                  <c:v>5.1087431744234335</c:v>
                </c:pt>
                <c:pt idx="1">
                  <c:v>5.1087431744234335</c:v>
                </c:pt>
              </c:numCache>
            </c:numRef>
          </c:xVal>
          <c:yVal>
            <c:numRef>
              <c:f>'Chart Data'!$I$2:$I$3</c:f>
              <c:numCache>
                <c:formatCode>General</c:formatCode>
                <c:ptCount val="2"/>
                <c:pt idx="0">
                  <c:v>0</c:v>
                </c:pt>
                <c:pt idx="1">
                  <c:v>100</c:v>
                </c:pt>
              </c:numCache>
            </c:numRef>
          </c:yVal>
          <c:smooth val="0"/>
          <c:extLst>
            <c:ext xmlns:c16="http://schemas.microsoft.com/office/drawing/2014/chart" uri="{C3380CC4-5D6E-409C-BE32-E72D297353CC}">
              <c16:uniqueId val="{0000000F-D7EF-42C8-B656-187DE0DE8928}"/>
            </c:ext>
          </c:extLst>
        </c:ser>
        <c:dLbls>
          <c:showLegendKey val="0"/>
          <c:showVal val="0"/>
          <c:showCatName val="0"/>
          <c:showSerName val="0"/>
          <c:showPercent val="0"/>
          <c:showBubbleSize val="0"/>
        </c:dLbls>
        <c:axId val="425516128"/>
        <c:axId val="1"/>
      </c:scatterChart>
      <c:valAx>
        <c:axId val="425516128"/>
        <c:scaling>
          <c:orientation val="minMax"/>
          <c:max val="5.8148229999999845"/>
          <c:min val="0"/>
        </c:scaling>
        <c:delete val="1"/>
        <c:axPos val="b"/>
        <c:title>
          <c:tx>
            <c:rich>
              <a:bodyPr/>
              <a:lstStyle/>
              <a:p>
                <a:pPr>
                  <a:defRPr sz="1000" b="1" i="0" u="none" strike="noStrike" baseline="0">
                    <a:solidFill>
                      <a:srgbClr val="000000"/>
                    </a:solidFill>
                    <a:latin typeface="MS Sans Serif"/>
                    <a:ea typeface="MS Sans Serif"/>
                    <a:cs typeface="MS Sans Serif"/>
                  </a:defRPr>
                </a:pPr>
                <a:r>
                  <a:rPr lang="en-US"/>
                  <a:t>Sieve Size (in.)</a:t>
                </a:r>
              </a:p>
            </c:rich>
          </c:tx>
          <c:layout>
            <c:manualLayout>
              <c:xMode val="edge"/>
              <c:yMode val="edge"/>
              <c:x val="0.45921449387532676"/>
              <c:y val="0.96751412429378536"/>
            </c:manualLayout>
          </c:layout>
          <c:overlay val="0"/>
          <c:spPr>
            <a:noFill/>
            <a:ln w="25400">
              <a:noFill/>
            </a:ln>
          </c:spPr>
        </c:title>
        <c:numFmt formatCode="General" sourceLinked="1"/>
        <c:majorTickMark val="out"/>
        <c:minorTickMark val="none"/>
        <c:tickLblPos val="nextTo"/>
        <c:crossAx val="1"/>
        <c:crosses val="autoZero"/>
        <c:crossBetween val="midCat"/>
        <c:majorUnit val="0.81482299999999996"/>
      </c:valAx>
      <c:valAx>
        <c:axId val="1"/>
        <c:scaling>
          <c:orientation val="minMax"/>
          <c:max val="100"/>
        </c:scaling>
        <c:delete val="0"/>
        <c:axPos val="l"/>
        <c:majorGridlines>
          <c:spPr>
            <a:ln w="12700">
              <a:solidFill>
                <a:srgbClr val="000000"/>
              </a:solidFill>
              <a:prstDash val="solid"/>
            </a:ln>
          </c:spPr>
        </c:majorGridlines>
        <c:minorGridlines>
          <c:spPr>
            <a:ln w="3175">
              <a:solidFill>
                <a:srgbClr val="000000"/>
              </a:solidFill>
              <a:prstDash val="solid"/>
            </a:ln>
          </c:spPr>
        </c:minorGridlines>
        <c:title>
          <c:tx>
            <c:rich>
              <a:bodyPr/>
              <a:lstStyle/>
              <a:p>
                <a:pPr>
                  <a:defRPr sz="1000" b="1" i="0" u="none" strike="noStrike" baseline="0">
                    <a:solidFill>
                      <a:srgbClr val="000000"/>
                    </a:solidFill>
                    <a:latin typeface="MS Sans Serif"/>
                    <a:ea typeface="MS Sans Serif"/>
                    <a:cs typeface="MS Sans Serif"/>
                  </a:defRPr>
                </a:pPr>
                <a:r>
                  <a:rPr lang="en-US"/>
                  <a:t>Percent Passing</a:t>
                </a:r>
              </a:p>
            </c:rich>
          </c:tx>
          <c:layout>
            <c:manualLayout>
              <c:xMode val="edge"/>
              <c:yMode val="edge"/>
              <c:x val="1.7119916178983143E-2"/>
              <c:y val="0.39830508474576271"/>
            </c:manualLayout>
          </c:layout>
          <c:overlay val="0"/>
          <c:spPr>
            <a:noFill/>
            <a:ln w="25400">
              <a:noFill/>
            </a:ln>
          </c:spPr>
        </c:title>
        <c:numFmt formatCode="General" sourceLinked="1"/>
        <c:majorTickMark val="cross"/>
        <c:minorTickMark val="none"/>
        <c:tickLblPos val="nextTo"/>
        <c:spPr>
          <a:ln w="12700">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n-US"/>
          </a:p>
        </c:txPr>
        <c:crossAx val="425516128"/>
        <c:crosses val="autoZero"/>
        <c:crossBetween val="midCat"/>
        <c:majorUnit val="10"/>
        <c:minorUnit val="2"/>
      </c:valAx>
      <c:spPr>
        <a:noFill/>
        <a:ln w="25400">
          <a:noFill/>
        </a:ln>
      </c:spPr>
    </c:plotArea>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1"/>
  <sheetViews>
    <sheetView workbookViewId="0"/>
  </sheetViews>
  <sheetProtection algorithmName="SHA-512" hashValue="z/cejLryxNSFfBIde/+8aWfQZNAvkx/cTQMGioFj36a9gjHTu2fWp719kgLxUxcS7BT3DHJp0TsgqlODGQklkg==" saltValue="4w8Oy1UWuqOE/tP5xspdIw==" spinCount="100000" content="1" objects="1"/>
  <pageMargins left="0.25" right="0.25" top="0.75" bottom="0.25" header="0.25" footer="0.25"/>
  <pageSetup orientation="landscape" horizontalDpi="4294967292" verticalDpi="300" r:id="rId1"/>
  <headerFooter alignWithMargins="0">
    <oddHeader>&amp;L
&amp;C
&amp;"Arial,Bold"&amp;12 &amp;U0.45 POWER CHART&amp;R&amp;"Arial,Bold"October 2022</oddHeader>
    <oddFooter>&amp;CTechnical Responsibility:                          Lab:  00                    Date Received:  N/A                    Date Completed:  &amp;D</oddFoot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2"/>
  <sheetViews>
    <sheetView workbookViewId="0"/>
  </sheetViews>
  <sheetProtection algorithmName="SHA-512" hashValue="XuyIqtV/2VGk5zowrzURHlFsuxU3CFB+ES4CNS1xk91g+MQpt24L0UsUUifqY/heDb2zEJZrgLs5mWGl9w4elw==" saltValue="WR02oRA088pM2DkfZ3J7cw==" spinCount="100000" content="1" objects="1"/>
  <pageMargins left="0.25" right="0.25" top="0.75" bottom="0.25" header="0.25" footer="0.25"/>
  <pageSetup orientation="landscape" horizontalDpi="4294967292" verticalDpi="300" r:id="rId1"/>
  <headerFooter alignWithMargins="0">
    <oddHeader>&amp;L
&amp;C
&amp;"Arial,Bold"&amp;12 &amp;U0.45 POWER CHART&amp;R&amp;"Arial,Bold"October 2022</oddHeader>
    <oddFooter>&amp;CTechnical Responsibility:                          Lab:  00                    Date Received:  N/A                    Date Completed:  &amp;D</oddFooter>
  </headerFooter>
  <drawing r:id="rId2"/>
</chartsheet>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image" Target="../media/image30.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2.emf"/><Relationship Id="rId18" Type="http://schemas.openxmlformats.org/officeDocument/2006/relationships/image" Target="../media/image7.emf"/><Relationship Id="rId3" Type="http://schemas.openxmlformats.org/officeDocument/2006/relationships/image" Target="../media/image21.emf"/><Relationship Id="rId21" Type="http://schemas.openxmlformats.org/officeDocument/2006/relationships/image" Target="../media/image3.emf"/><Relationship Id="rId7" Type="http://schemas.openxmlformats.org/officeDocument/2006/relationships/image" Target="../media/image17.emf"/><Relationship Id="rId12" Type="http://schemas.openxmlformats.org/officeDocument/2006/relationships/image" Target="../media/image13.emf"/><Relationship Id="rId17" Type="http://schemas.openxmlformats.org/officeDocument/2006/relationships/image" Target="../media/image8.emf"/><Relationship Id="rId2" Type="http://schemas.openxmlformats.org/officeDocument/2006/relationships/image" Target="../media/image22.emf"/><Relationship Id="rId16" Type="http://schemas.openxmlformats.org/officeDocument/2006/relationships/image" Target="../media/image9.emf"/><Relationship Id="rId20" Type="http://schemas.openxmlformats.org/officeDocument/2006/relationships/image" Target="../media/image5.emf"/><Relationship Id="rId1" Type="http://schemas.openxmlformats.org/officeDocument/2006/relationships/image" Target="../media/image23.emf"/><Relationship Id="rId6" Type="http://schemas.openxmlformats.org/officeDocument/2006/relationships/image" Target="../media/image18.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9.emf"/><Relationship Id="rId15" Type="http://schemas.openxmlformats.org/officeDocument/2006/relationships/image" Target="../media/image10.emf"/><Relationship Id="rId23" Type="http://schemas.openxmlformats.org/officeDocument/2006/relationships/image" Target="../media/image1.emf"/><Relationship Id="rId10" Type="http://schemas.openxmlformats.org/officeDocument/2006/relationships/image" Target="../media/image14.emf"/><Relationship Id="rId19" Type="http://schemas.openxmlformats.org/officeDocument/2006/relationships/image" Target="../media/image6.emf"/><Relationship Id="rId4" Type="http://schemas.openxmlformats.org/officeDocument/2006/relationships/image" Target="../media/image20.emf"/><Relationship Id="rId9" Type="http://schemas.openxmlformats.org/officeDocument/2006/relationships/image" Target="../media/image15.emf"/><Relationship Id="rId14" Type="http://schemas.openxmlformats.org/officeDocument/2006/relationships/image" Target="../media/image11.emf"/><Relationship Id="rId22"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7</xdr:row>
          <xdr:rowOff>0</xdr:rowOff>
        </xdr:from>
        <xdr:to>
          <xdr:col>21</xdr:col>
          <xdr:colOff>0</xdr:colOff>
          <xdr:row>8</xdr:row>
          <xdr:rowOff>85725</xdr:rowOff>
        </xdr:to>
        <xdr:sp macro="" textlink="">
          <xdr:nvSpPr>
            <xdr:cNvPr id="1038" name="cbTypeOfMix"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52</xdr:row>
          <xdr:rowOff>228600</xdr:rowOff>
        </xdr:from>
        <xdr:to>
          <xdr:col>9</xdr:col>
          <xdr:colOff>419100</xdr:colOff>
          <xdr:row>54</xdr:row>
          <xdr:rowOff>0</xdr:rowOff>
        </xdr:to>
        <xdr:sp macro="" textlink="">
          <xdr:nvSpPr>
            <xdr:cNvPr id="1039" name="cmdGenerate"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238125</xdr:colOff>
          <xdr:row>8</xdr:row>
          <xdr:rowOff>123825</xdr:rowOff>
        </xdr:from>
        <xdr:to>
          <xdr:col>21</xdr:col>
          <xdr:colOff>0</xdr:colOff>
          <xdr:row>10</xdr:row>
          <xdr:rowOff>38100</xdr:rowOff>
        </xdr:to>
        <xdr:sp macro="" textlink="">
          <xdr:nvSpPr>
            <xdr:cNvPr id="1046" name="cbSubmittalType"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17</xdr:row>
          <xdr:rowOff>47625</xdr:rowOff>
        </xdr:from>
        <xdr:to>
          <xdr:col>14</xdr:col>
          <xdr:colOff>85725</xdr:colOff>
          <xdr:row>18</xdr:row>
          <xdr:rowOff>123825</xdr:rowOff>
        </xdr:to>
        <xdr:sp macro="" textlink="">
          <xdr:nvSpPr>
            <xdr:cNvPr id="1047" name="cbRefMix1"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257175</xdr:colOff>
          <xdr:row>17</xdr:row>
          <xdr:rowOff>47625</xdr:rowOff>
        </xdr:from>
        <xdr:to>
          <xdr:col>16</xdr:col>
          <xdr:colOff>238125</xdr:colOff>
          <xdr:row>18</xdr:row>
          <xdr:rowOff>123825</xdr:rowOff>
        </xdr:to>
        <xdr:sp macro="" textlink="">
          <xdr:nvSpPr>
            <xdr:cNvPr id="1048" name="cbRefMix2"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18</xdr:row>
          <xdr:rowOff>95250</xdr:rowOff>
        </xdr:from>
        <xdr:to>
          <xdr:col>14</xdr:col>
          <xdr:colOff>85725</xdr:colOff>
          <xdr:row>20</xdr:row>
          <xdr:rowOff>0</xdr:rowOff>
        </xdr:to>
        <xdr:sp macro="" textlink="">
          <xdr:nvSpPr>
            <xdr:cNvPr id="1049" name="cbRefMix3"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257175</xdr:colOff>
          <xdr:row>18</xdr:row>
          <xdr:rowOff>95250</xdr:rowOff>
        </xdr:from>
        <xdr:to>
          <xdr:col>16</xdr:col>
          <xdr:colOff>228600</xdr:colOff>
          <xdr:row>20</xdr:row>
          <xdr:rowOff>114300</xdr:rowOff>
        </xdr:to>
        <xdr:sp macro="" textlink="">
          <xdr:nvSpPr>
            <xdr:cNvPr id="1050" name="cbRefMix4"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16</xdr:row>
          <xdr:rowOff>114300</xdr:rowOff>
        </xdr:from>
        <xdr:to>
          <xdr:col>16</xdr:col>
          <xdr:colOff>209550</xdr:colOff>
          <xdr:row>20</xdr:row>
          <xdr:rowOff>104775</xdr:rowOff>
        </xdr:to>
        <xdr:sp macro="" textlink="">
          <xdr:nvSpPr>
            <xdr:cNvPr id="1054" name="Group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Reference Mixture Change Options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53</xdr:row>
          <xdr:rowOff>0</xdr:rowOff>
        </xdr:from>
        <xdr:to>
          <xdr:col>2</xdr:col>
          <xdr:colOff>0</xdr:colOff>
          <xdr:row>54</xdr:row>
          <xdr:rowOff>0</xdr:rowOff>
        </xdr:to>
        <xdr:sp macro="" textlink="">
          <xdr:nvSpPr>
            <xdr:cNvPr id="1057" name="ResetRandomNumbers"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5</xdr:col>
          <xdr:colOff>0</xdr:colOff>
          <xdr:row>17</xdr:row>
          <xdr:rowOff>38100</xdr:rowOff>
        </xdr:to>
        <xdr:sp macro="" textlink="">
          <xdr:nvSpPr>
            <xdr:cNvPr id="1059" name="cbBinderSource"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152400</xdr:rowOff>
        </xdr:from>
        <xdr:to>
          <xdr:col>13</xdr:col>
          <xdr:colOff>295275</xdr:colOff>
          <xdr:row>15</xdr:row>
          <xdr:rowOff>9525</xdr:rowOff>
        </xdr:to>
        <xdr:sp macro="" textlink="">
          <xdr:nvSpPr>
            <xdr:cNvPr id="1060" name="ComboBox2"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11</xdr:row>
          <xdr:rowOff>0</xdr:rowOff>
        </xdr:from>
        <xdr:to>
          <xdr:col>26</xdr:col>
          <xdr:colOff>238125</xdr:colOff>
          <xdr:row>12</xdr:row>
          <xdr:rowOff>76200</xdr:rowOff>
        </xdr:to>
        <xdr:sp macro="" textlink="">
          <xdr:nvSpPr>
            <xdr:cNvPr id="1062" name="ComboBox1"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13</xdr:row>
          <xdr:rowOff>0</xdr:rowOff>
        </xdr:from>
        <xdr:to>
          <xdr:col>26</xdr:col>
          <xdr:colOff>238125</xdr:colOff>
          <xdr:row>14</xdr:row>
          <xdr:rowOff>76200</xdr:rowOff>
        </xdr:to>
        <xdr:sp macro="" textlink="">
          <xdr:nvSpPr>
            <xdr:cNvPr id="1063" name="ComboBox3"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15</xdr:row>
          <xdr:rowOff>0</xdr:rowOff>
        </xdr:from>
        <xdr:to>
          <xdr:col>26</xdr:col>
          <xdr:colOff>238125</xdr:colOff>
          <xdr:row>16</xdr:row>
          <xdr:rowOff>76200</xdr:rowOff>
        </xdr:to>
        <xdr:sp macro="" textlink="">
          <xdr:nvSpPr>
            <xdr:cNvPr id="1064" name="ComboBox4"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17</xdr:row>
          <xdr:rowOff>0</xdr:rowOff>
        </xdr:from>
        <xdr:to>
          <xdr:col>26</xdr:col>
          <xdr:colOff>238125</xdr:colOff>
          <xdr:row>18</xdr:row>
          <xdr:rowOff>76200</xdr:rowOff>
        </xdr:to>
        <xdr:sp macro="" textlink="">
          <xdr:nvSpPr>
            <xdr:cNvPr id="1065" name="ComboBox5"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19</xdr:row>
          <xdr:rowOff>0</xdr:rowOff>
        </xdr:from>
        <xdr:to>
          <xdr:col>26</xdr:col>
          <xdr:colOff>238125</xdr:colOff>
          <xdr:row>20</xdr:row>
          <xdr:rowOff>76200</xdr:rowOff>
        </xdr:to>
        <xdr:sp macro="" textlink="">
          <xdr:nvSpPr>
            <xdr:cNvPr id="1066" name="ComboBox6"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7</xdr:row>
          <xdr:rowOff>0</xdr:rowOff>
        </xdr:from>
        <xdr:to>
          <xdr:col>26</xdr:col>
          <xdr:colOff>200025</xdr:colOff>
          <xdr:row>8</xdr:row>
          <xdr:rowOff>76200</xdr:rowOff>
        </xdr:to>
        <xdr:sp macro="" textlink="">
          <xdr:nvSpPr>
            <xdr:cNvPr id="1067" name="TextBox1"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4</xdr:row>
          <xdr:rowOff>142875</xdr:rowOff>
        </xdr:from>
        <xdr:to>
          <xdr:col>26</xdr:col>
          <xdr:colOff>190500</xdr:colOff>
          <xdr:row>6</xdr:row>
          <xdr:rowOff>114300</xdr:rowOff>
        </xdr:to>
        <xdr:sp macro="" textlink="">
          <xdr:nvSpPr>
            <xdr:cNvPr id="1068" name="Label1"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7</xdr:row>
          <xdr:rowOff>0</xdr:rowOff>
        </xdr:from>
        <xdr:to>
          <xdr:col>24</xdr:col>
          <xdr:colOff>0</xdr:colOff>
          <xdr:row>8</xdr:row>
          <xdr:rowOff>76200</xdr:rowOff>
        </xdr:to>
        <xdr:sp macro="" textlink="">
          <xdr:nvSpPr>
            <xdr:cNvPr id="1070" name="Label2"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11</xdr:row>
          <xdr:rowOff>0</xdr:rowOff>
        </xdr:from>
        <xdr:to>
          <xdr:col>24</xdr:col>
          <xdr:colOff>0</xdr:colOff>
          <xdr:row>12</xdr:row>
          <xdr:rowOff>76200</xdr:rowOff>
        </xdr:to>
        <xdr:sp macro="" textlink="">
          <xdr:nvSpPr>
            <xdr:cNvPr id="1071" name="Label3"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13</xdr:row>
          <xdr:rowOff>0</xdr:rowOff>
        </xdr:from>
        <xdr:to>
          <xdr:col>24</xdr:col>
          <xdr:colOff>0</xdr:colOff>
          <xdr:row>14</xdr:row>
          <xdr:rowOff>76200</xdr:rowOff>
        </xdr:to>
        <xdr:sp macro="" textlink="">
          <xdr:nvSpPr>
            <xdr:cNvPr id="1072" name="Label4"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15</xdr:row>
          <xdr:rowOff>0</xdr:rowOff>
        </xdr:from>
        <xdr:to>
          <xdr:col>24</xdr:col>
          <xdr:colOff>0</xdr:colOff>
          <xdr:row>16</xdr:row>
          <xdr:rowOff>76200</xdr:rowOff>
        </xdr:to>
        <xdr:sp macro="" textlink="">
          <xdr:nvSpPr>
            <xdr:cNvPr id="1073" name="Label5"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17</xdr:row>
          <xdr:rowOff>0</xdr:rowOff>
        </xdr:from>
        <xdr:to>
          <xdr:col>24</xdr:col>
          <xdr:colOff>0</xdr:colOff>
          <xdr:row>18</xdr:row>
          <xdr:rowOff>76200</xdr:rowOff>
        </xdr:to>
        <xdr:sp macro="" textlink="">
          <xdr:nvSpPr>
            <xdr:cNvPr id="1074" name="Label6"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19</xdr:row>
          <xdr:rowOff>0</xdr:rowOff>
        </xdr:from>
        <xdr:to>
          <xdr:col>24</xdr:col>
          <xdr:colOff>0</xdr:colOff>
          <xdr:row>20</xdr:row>
          <xdr:rowOff>76200</xdr:rowOff>
        </xdr:to>
        <xdr:sp macro="" textlink="">
          <xdr:nvSpPr>
            <xdr:cNvPr id="1075" name="Label7"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9</xdr:row>
          <xdr:rowOff>0</xdr:rowOff>
        </xdr:from>
        <xdr:to>
          <xdr:col>24</xdr:col>
          <xdr:colOff>0</xdr:colOff>
          <xdr:row>10</xdr:row>
          <xdr:rowOff>76200</xdr:rowOff>
        </xdr:to>
        <xdr:sp macro="" textlink="">
          <xdr:nvSpPr>
            <xdr:cNvPr id="1076" name="Label8"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0</xdr:colOff>
          <xdr:row>9</xdr:row>
          <xdr:rowOff>0</xdr:rowOff>
        </xdr:from>
        <xdr:to>
          <xdr:col>26</xdr:col>
          <xdr:colOff>238125</xdr:colOff>
          <xdr:row>10</xdr:row>
          <xdr:rowOff>76200</xdr:rowOff>
        </xdr:to>
        <xdr:sp macro="" textlink="">
          <xdr:nvSpPr>
            <xdr:cNvPr id="1077" name="ComboBox7"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323850</xdr:colOff>
          <xdr:row>22</xdr:row>
          <xdr:rowOff>19050</xdr:rowOff>
        </xdr:from>
        <xdr:to>
          <xdr:col>6</xdr:col>
          <xdr:colOff>476250</xdr:colOff>
          <xdr:row>23</xdr:row>
          <xdr:rowOff>0</xdr:rowOff>
        </xdr:to>
        <xdr:sp macro="" textlink="">
          <xdr:nvSpPr>
            <xdr:cNvPr id="1084" name="CheckBox1"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323850</xdr:colOff>
          <xdr:row>23</xdr:row>
          <xdr:rowOff>9525</xdr:rowOff>
        </xdr:from>
        <xdr:to>
          <xdr:col>6</xdr:col>
          <xdr:colOff>476250</xdr:colOff>
          <xdr:row>23</xdr:row>
          <xdr:rowOff>161925</xdr:rowOff>
        </xdr:to>
        <xdr:sp macro="" textlink="">
          <xdr:nvSpPr>
            <xdr:cNvPr id="1085" name="CheckBox2"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323850</xdr:colOff>
          <xdr:row>24</xdr:row>
          <xdr:rowOff>19050</xdr:rowOff>
        </xdr:from>
        <xdr:to>
          <xdr:col>6</xdr:col>
          <xdr:colOff>476250</xdr:colOff>
          <xdr:row>25</xdr:row>
          <xdr:rowOff>0</xdr:rowOff>
        </xdr:to>
        <xdr:sp macro="" textlink="">
          <xdr:nvSpPr>
            <xdr:cNvPr id="1086" name="CheckBox3"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323850</xdr:colOff>
          <xdr:row>25</xdr:row>
          <xdr:rowOff>19050</xdr:rowOff>
        </xdr:from>
        <xdr:to>
          <xdr:col>6</xdr:col>
          <xdr:colOff>476250</xdr:colOff>
          <xdr:row>26</xdr:row>
          <xdr:rowOff>0</xdr:rowOff>
        </xdr:to>
        <xdr:sp macro="" textlink="">
          <xdr:nvSpPr>
            <xdr:cNvPr id="1087" name="CheckBox4"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323850</xdr:colOff>
          <xdr:row>26</xdr:row>
          <xdr:rowOff>9525</xdr:rowOff>
        </xdr:from>
        <xdr:to>
          <xdr:col>6</xdr:col>
          <xdr:colOff>476250</xdr:colOff>
          <xdr:row>26</xdr:row>
          <xdr:rowOff>161925</xdr:rowOff>
        </xdr:to>
        <xdr:sp macro="" textlink="">
          <xdr:nvSpPr>
            <xdr:cNvPr id="1088" name="CheckBox5"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323850</xdr:colOff>
          <xdr:row>27</xdr:row>
          <xdr:rowOff>9525</xdr:rowOff>
        </xdr:from>
        <xdr:to>
          <xdr:col>6</xdr:col>
          <xdr:colOff>476250</xdr:colOff>
          <xdr:row>27</xdr:row>
          <xdr:rowOff>161925</xdr:rowOff>
        </xdr:to>
        <xdr:sp macro="" textlink="">
          <xdr:nvSpPr>
            <xdr:cNvPr id="1089" name="CheckBox6"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16</xdr:row>
          <xdr:rowOff>76200</xdr:rowOff>
        </xdr:from>
        <xdr:to>
          <xdr:col>17</xdr:col>
          <xdr:colOff>304800</xdr:colOff>
          <xdr:row>18</xdr:row>
          <xdr:rowOff>0</xdr:rowOff>
        </xdr:to>
        <xdr:sp macro="" textlink="">
          <xdr:nvSpPr>
            <xdr:cNvPr id="1108" name="CheckBox7"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295275</xdr:colOff>
          <xdr:row>17</xdr:row>
          <xdr:rowOff>152400</xdr:rowOff>
        </xdr:from>
        <xdr:to>
          <xdr:col>17</xdr:col>
          <xdr:colOff>457200</xdr:colOff>
          <xdr:row>20</xdr:row>
          <xdr:rowOff>85725</xdr:rowOff>
        </xdr:to>
        <xdr:sp macro="" textlink="">
          <xdr:nvSpPr>
            <xdr:cNvPr id="1109" name="CheckBox8"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xdr:row>
          <xdr:rowOff>171450</xdr:rowOff>
        </xdr:from>
        <xdr:to>
          <xdr:col>14</xdr:col>
          <xdr:colOff>0</xdr:colOff>
          <xdr:row>11</xdr:row>
          <xdr:rowOff>123825</xdr:rowOff>
        </xdr:to>
        <xdr:sp macro="" textlink="">
          <xdr:nvSpPr>
            <xdr:cNvPr id="1110" name="CheckBox9"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104775</xdr:colOff>
          <xdr:row>0</xdr:row>
          <xdr:rowOff>0</xdr:rowOff>
        </xdr:from>
        <xdr:to>
          <xdr:col>20</xdr:col>
          <xdr:colOff>371475</xdr:colOff>
          <xdr:row>0</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Rand # Chart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8</xdr:row>
          <xdr:rowOff>104775</xdr:rowOff>
        </xdr:from>
        <xdr:to>
          <xdr:col>7</xdr:col>
          <xdr:colOff>0</xdr:colOff>
          <xdr:row>10</xdr:row>
          <xdr:rowOff>0</xdr:rowOff>
        </xdr:to>
        <xdr:sp macro="" textlink="">
          <xdr:nvSpPr>
            <xdr:cNvPr id="610305" name="ComboBox1" hidden="1">
              <a:extLst>
                <a:ext uri="{63B3BB69-23CF-44E3-9099-C40C66FF867C}">
                  <a14:compatExt spid="_x0000_s610305"/>
                </a:ext>
                <a:ext uri="{FF2B5EF4-FFF2-40B4-BE49-F238E27FC236}">
                  <a16:creationId xmlns:a16="http://schemas.microsoft.com/office/drawing/2014/main" id="{00000000-0008-0000-0200-0000015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676275</xdr:colOff>
          <xdr:row>10</xdr:row>
          <xdr:rowOff>76200</xdr:rowOff>
        </xdr:from>
        <xdr:to>
          <xdr:col>3</xdr:col>
          <xdr:colOff>752475</xdr:colOff>
          <xdr:row>10</xdr:row>
          <xdr:rowOff>276225</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500-00000B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Submitted by Contractor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10</xdr:row>
          <xdr:rowOff>85725</xdr:rowOff>
        </xdr:from>
        <xdr:to>
          <xdr:col>6</xdr:col>
          <xdr:colOff>333375</xdr:colOff>
          <xdr:row>10</xdr:row>
          <xdr:rowOff>285750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500-00000C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Made by MCL</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0</xdr:col>
      <xdr:colOff>0</xdr:colOff>
      <xdr:row>9</xdr:row>
      <xdr:rowOff>0</xdr:rowOff>
    </xdr:from>
    <xdr:to>
      <xdr:col>7</xdr:col>
      <xdr:colOff>0</xdr:colOff>
      <xdr:row>25</xdr:row>
      <xdr:rowOff>0</xdr:rowOff>
    </xdr:to>
    <xdr:graphicFrame macro="">
      <xdr:nvGraphicFramePr>
        <xdr:cNvPr id="3760643" name="Chart 2">
          <a:extLst>
            <a:ext uri="{FF2B5EF4-FFF2-40B4-BE49-F238E27FC236}">
              <a16:creationId xmlns:a16="http://schemas.microsoft.com/office/drawing/2014/main" id="{00000000-0008-0000-0600-0000036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0</xdr:col>
      <xdr:colOff>0</xdr:colOff>
      <xdr:row>25</xdr:row>
      <xdr:rowOff>0</xdr:rowOff>
    </xdr:from>
    <xdr:to>
      <xdr:col>7</xdr:col>
      <xdr:colOff>0</xdr:colOff>
      <xdr:row>41</xdr:row>
      <xdr:rowOff>0</xdr:rowOff>
    </xdr:to>
    <xdr:graphicFrame macro="">
      <xdr:nvGraphicFramePr>
        <xdr:cNvPr id="3760644" name="Chart 4">
          <a:extLst>
            <a:ext uri="{FF2B5EF4-FFF2-40B4-BE49-F238E27FC236}">
              <a16:creationId xmlns:a16="http://schemas.microsoft.com/office/drawing/2014/main" id="{00000000-0008-0000-0600-0000046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0</xdr:col>
      <xdr:colOff>0</xdr:colOff>
      <xdr:row>41</xdr:row>
      <xdr:rowOff>0</xdr:rowOff>
    </xdr:from>
    <xdr:to>
      <xdr:col>7</xdr:col>
      <xdr:colOff>0</xdr:colOff>
      <xdr:row>56</xdr:row>
      <xdr:rowOff>114300</xdr:rowOff>
    </xdr:to>
    <xdr:graphicFrame macro="">
      <xdr:nvGraphicFramePr>
        <xdr:cNvPr id="3760645" name="Chart 5">
          <a:extLst>
            <a:ext uri="{FF2B5EF4-FFF2-40B4-BE49-F238E27FC236}">
              <a16:creationId xmlns:a16="http://schemas.microsoft.com/office/drawing/2014/main" id="{00000000-0008-0000-0600-0000056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xdr:twoCellAnchor>
    <xdr:from>
      <xdr:col>0</xdr:col>
      <xdr:colOff>0</xdr:colOff>
      <xdr:row>82</xdr:row>
      <xdr:rowOff>0</xdr:rowOff>
    </xdr:from>
    <xdr:to>
      <xdr:col>7</xdr:col>
      <xdr:colOff>0</xdr:colOff>
      <xdr:row>98</xdr:row>
      <xdr:rowOff>0</xdr:rowOff>
    </xdr:to>
    <xdr:graphicFrame macro="">
      <xdr:nvGraphicFramePr>
        <xdr:cNvPr id="3760646" name="Chart 7">
          <a:extLst>
            <a:ext uri="{FF2B5EF4-FFF2-40B4-BE49-F238E27FC236}">
              <a16:creationId xmlns:a16="http://schemas.microsoft.com/office/drawing/2014/main" id="{00000000-0008-0000-0600-0000066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0</xdr:col>
      <xdr:colOff>0</xdr:colOff>
      <xdr:row>98</xdr:row>
      <xdr:rowOff>0</xdr:rowOff>
    </xdr:from>
    <xdr:to>
      <xdr:col>7</xdr:col>
      <xdr:colOff>0</xdr:colOff>
      <xdr:row>113</xdr:row>
      <xdr:rowOff>133350</xdr:rowOff>
    </xdr:to>
    <xdr:graphicFrame macro="">
      <xdr:nvGraphicFramePr>
        <xdr:cNvPr id="3760647" name="Chart 8">
          <a:extLst>
            <a:ext uri="{FF2B5EF4-FFF2-40B4-BE49-F238E27FC236}">
              <a16:creationId xmlns:a16="http://schemas.microsoft.com/office/drawing/2014/main" id="{00000000-0008-0000-0600-0000076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0</xdr:col>
      <xdr:colOff>0</xdr:colOff>
      <xdr:row>66</xdr:row>
      <xdr:rowOff>0</xdr:rowOff>
    </xdr:from>
    <xdr:to>
      <xdr:col>7</xdr:col>
      <xdr:colOff>0</xdr:colOff>
      <xdr:row>82</xdr:row>
      <xdr:rowOff>0</xdr:rowOff>
    </xdr:to>
    <xdr:graphicFrame macro="">
      <xdr:nvGraphicFramePr>
        <xdr:cNvPr id="3760648" name="Chart 11">
          <a:extLst>
            <a:ext uri="{FF2B5EF4-FFF2-40B4-BE49-F238E27FC236}">
              <a16:creationId xmlns:a16="http://schemas.microsoft.com/office/drawing/2014/main" id="{00000000-0008-0000-0600-0000086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twoCellAnchor>
  <xdr:twoCellAnchor>
    <xdr:from>
      <xdr:col>0</xdr:col>
      <xdr:colOff>0</xdr:colOff>
      <xdr:row>155</xdr:row>
      <xdr:rowOff>0</xdr:rowOff>
    </xdr:from>
    <xdr:to>
      <xdr:col>7</xdr:col>
      <xdr:colOff>0</xdr:colOff>
      <xdr:row>170</xdr:row>
      <xdr:rowOff>142875</xdr:rowOff>
    </xdr:to>
    <xdr:graphicFrame macro="">
      <xdr:nvGraphicFramePr>
        <xdr:cNvPr id="3760649" name="Chart 14">
          <a:extLst>
            <a:ext uri="{FF2B5EF4-FFF2-40B4-BE49-F238E27FC236}">
              <a16:creationId xmlns:a16="http://schemas.microsoft.com/office/drawing/2014/main" id="{00000000-0008-0000-0600-0000096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twoCellAnchor>
  <xdr:twoCellAnchor>
    <xdr:from>
      <xdr:col>0</xdr:col>
      <xdr:colOff>0</xdr:colOff>
      <xdr:row>123</xdr:row>
      <xdr:rowOff>0</xdr:rowOff>
    </xdr:from>
    <xdr:to>
      <xdr:col>7</xdr:col>
      <xdr:colOff>0</xdr:colOff>
      <xdr:row>139</xdr:row>
      <xdr:rowOff>0</xdr:rowOff>
    </xdr:to>
    <xdr:graphicFrame macro="">
      <xdr:nvGraphicFramePr>
        <xdr:cNvPr id="3760650" name="Chart 15">
          <a:extLst>
            <a:ext uri="{FF2B5EF4-FFF2-40B4-BE49-F238E27FC236}">
              <a16:creationId xmlns:a16="http://schemas.microsoft.com/office/drawing/2014/main" id="{00000000-0008-0000-0600-00000A6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0</xdr:col>
      <xdr:colOff>0</xdr:colOff>
      <xdr:row>139</xdr:row>
      <xdr:rowOff>0</xdr:rowOff>
    </xdr:from>
    <xdr:to>
      <xdr:col>7</xdr:col>
      <xdr:colOff>0</xdr:colOff>
      <xdr:row>155</xdr:row>
      <xdr:rowOff>0</xdr:rowOff>
    </xdr:to>
    <xdr:graphicFrame macro="">
      <xdr:nvGraphicFramePr>
        <xdr:cNvPr id="3760651" name="Chart 16">
          <a:extLst>
            <a:ext uri="{FF2B5EF4-FFF2-40B4-BE49-F238E27FC236}">
              <a16:creationId xmlns:a16="http://schemas.microsoft.com/office/drawing/2014/main" id="{00000000-0008-0000-0600-00000B623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wsDr>
</file>

<file path=xl/drawings/drawing6.xml><?xml version="1.0" encoding="utf-8"?>
<xdr:wsDr xmlns:xdr="http://schemas.openxmlformats.org/drawingml/2006/spreadsheetDrawing" xmlns:a="http://schemas.openxmlformats.org/drawingml/2006/main">
  <xdr:absoluteAnchor>
    <xdr:pos x="0" y="0"/>
    <xdr:ext cx="9496425" cy="6753225"/>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0.1765</cdr:x>
      <cdr:y>0.93425</cdr:y>
    </cdr:from>
    <cdr:to>
      <cdr:x>0.204</cdr:x>
      <cdr:y>0.9655</cdr:y>
    </cdr:to>
    <cdr:sp macro="" textlink="">
      <cdr:nvSpPr>
        <cdr:cNvPr id="722945" name="Text 17"/>
        <cdr:cNvSpPr txBox="1">
          <a:spLocks xmlns:a="http://schemas.openxmlformats.org/drawingml/2006/main" noChangeArrowheads="1"/>
        </cdr:cNvSpPr>
      </cdr:nvSpPr>
      <cdr:spPr bwMode="auto">
        <a:xfrm xmlns:a="http://schemas.openxmlformats.org/drawingml/2006/main">
          <a:off x="1636290" y="6386284"/>
          <a:ext cx="257740" cy="17196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#30</a:t>
          </a:r>
        </a:p>
      </cdr:txBody>
    </cdr:sp>
  </cdr:relSizeAnchor>
  <cdr:relSizeAnchor xmlns:cdr="http://schemas.openxmlformats.org/drawingml/2006/chartDrawing">
    <cdr:from>
      <cdr:x>0.21725</cdr:x>
      <cdr:y>0.931</cdr:y>
    </cdr:from>
    <cdr:to>
      <cdr:x>0.24525</cdr:x>
      <cdr:y>0.953</cdr:y>
    </cdr:to>
    <cdr:sp macro="" textlink="">
      <cdr:nvSpPr>
        <cdr:cNvPr id="722946" name="Text 18"/>
        <cdr:cNvSpPr txBox="1">
          <a:spLocks xmlns:a="http://schemas.openxmlformats.org/drawingml/2006/main" noChangeArrowheads="1"/>
        </cdr:cNvSpPr>
      </cdr:nvSpPr>
      <cdr:spPr bwMode="auto">
        <a:xfrm xmlns:a="http://schemas.openxmlformats.org/drawingml/2006/main">
          <a:off x="2012259" y="6381226"/>
          <a:ext cx="267197" cy="11464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#16</a:t>
          </a:r>
        </a:p>
      </cdr:txBody>
    </cdr:sp>
  </cdr:relSizeAnchor>
  <cdr:relSizeAnchor xmlns:cdr="http://schemas.openxmlformats.org/drawingml/2006/chartDrawing">
    <cdr:from>
      <cdr:x>0.28025</cdr:x>
      <cdr:y>0.931</cdr:y>
    </cdr:from>
    <cdr:to>
      <cdr:x>0.30625</cdr:x>
      <cdr:y>0.96175</cdr:y>
    </cdr:to>
    <cdr:sp macro="" textlink="">
      <cdr:nvSpPr>
        <cdr:cNvPr id="722947" name="Text 19"/>
        <cdr:cNvSpPr txBox="1">
          <a:spLocks xmlns:a="http://schemas.openxmlformats.org/drawingml/2006/main" noChangeArrowheads="1"/>
        </cdr:cNvSpPr>
      </cdr:nvSpPr>
      <cdr:spPr bwMode="auto">
        <a:xfrm xmlns:a="http://schemas.openxmlformats.org/drawingml/2006/main">
          <a:off x="2619956" y="6374482"/>
          <a:ext cx="248281" cy="16184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#8</a:t>
          </a:r>
        </a:p>
      </cdr:txBody>
    </cdr:sp>
  </cdr:relSizeAnchor>
  <cdr:relSizeAnchor xmlns:cdr="http://schemas.openxmlformats.org/drawingml/2006/chartDrawing">
    <cdr:from>
      <cdr:x>0.096</cdr:x>
      <cdr:y>0.931</cdr:y>
    </cdr:from>
    <cdr:to>
      <cdr:x>0.13225</cdr:x>
      <cdr:y>0.953</cdr:y>
    </cdr:to>
    <cdr:sp macro="" textlink="">
      <cdr:nvSpPr>
        <cdr:cNvPr id="722948" name="Text 22"/>
        <cdr:cNvSpPr txBox="1">
          <a:spLocks xmlns:a="http://schemas.openxmlformats.org/drawingml/2006/main" noChangeArrowheads="1"/>
        </cdr:cNvSpPr>
      </cdr:nvSpPr>
      <cdr:spPr bwMode="auto">
        <a:xfrm xmlns:a="http://schemas.openxmlformats.org/drawingml/2006/main">
          <a:off x="863072" y="6381226"/>
          <a:ext cx="342864" cy="11464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#200</a:t>
          </a:r>
        </a:p>
      </cdr:txBody>
    </cdr:sp>
  </cdr:relSizeAnchor>
  <cdr:relSizeAnchor xmlns:cdr="http://schemas.openxmlformats.org/drawingml/2006/chartDrawing">
    <cdr:from>
      <cdr:x>0.1515</cdr:x>
      <cdr:y>0.931</cdr:y>
    </cdr:from>
    <cdr:to>
      <cdr:x>0.1795</cdr:x>
      <cdr:y>0.953</cdr:y>
    </cdr:to>
    <cdr:sp macro="" textlink="">
      <cdr:nvSpPr>
        <cdr:cNvPr id="722949" name="Text 23"/>
        <cdr:cNvSpPr txBox="1">
          <a:spLocks xmlns:a="http://schemas.openxmlformats.org/drawingml/2006/main" noChangeArrowheads="1"/>
        </cdr:cNvSpPr>
      </cdr:nvSpPr>
      <cdr:spPr bwMode="auto">
        <a:xfrm xmlns:a="http://schemas.openxmlformats.org/drawingml/2006/main">
          <a:off x="1390374" y="6381226"/>
          <a:ext cx="267197" cy="11464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#50</a:t>
          </a:r>
        </a:p>
      </cdr:txBody>
    </cdr:sp>
  </cdr:relSizeAnchor>
  <cdr:relSizeAnchor xmlns:cdr="http://schemas.openxmlformats.org/drawingml/2006/chartDrawing">
    <cdr:from>
      <cdr:x>0.72</cdr:x>
      <cdr:y>0.929</cdr:y>
    </cdr:from>
    <cdr:to>
      <cdr:x>0.75525</cdr:x>
      <cdr:y>0.94875</cdr:y>
    </cdr:to>
    <cdr:sp macro="" textlink="">
      <cdr:nvSpPr>
        <cdr:cNvPr id="722950" name="Text 25"/>
        <cdr:cNvSpPr txBox="1">
          <a:spLocks xmlns:a="http://schemas.openxmlformats.org/drawingml/2006/main" noChangeArrowheads="1"/>
        </cdr:cNvSpPr>
      </cdr:nvSpPr>
      <cdr:spPr bwMode="auto">
        <a:xfrm xmlns:a="http://schemas.openxmlformats.org/drawingml/2006/main">
          <a:off x="6800536" y="6364367"/>
          <a:ext cx="333406" cy="104527"/>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1</a:t>
          </a:r>
        </a:p>
      </cdr:txBody>
    </cdr:sp>
  </cdr:relSizeAnchor>
  <cdr:relSizeAnchor xmlns:cdr="http://schemas.openxmlformats.org/drawingml/2006/chartDrawing">
    <cdr:from>
      <cdr:x>0.86175</cdr:x>
      <cdr:y>0.929</cdr:y>
    </cdr:from>
    <cdr:to>
      <cdr:x>0.8985</cdr:x>
      <cdr:y>0.953</cdr:y>
    </cdr:to>
    <cdr:sp macro="" textlink="">
      <cdr:nvSpPr>
        <cdr:cNvPr id="722951" name="Text 26"/>
        <cdr:cNvSpPr txBox="1">
          <a:spLocks xmlns:a="http://schemas.openxmlformats.org/drawingml/2006/main" noChangeArrowheads="1"/>
        </cdr:cNvSpPr>
      </cdr:nvSpPr>
      <cdr:spPr bwMode="auto">
        <a:xfrm xmlns:a="http://schemas.openxmlformats.org/drawingml/2006/main">
          <a:off x="8124701" y="6364367"/>
          <a:ext cx="342864" cy="123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1 1/2</a:t>
          </a:r>
        </a:p>
      </cdr:txBody>
    </cdr:sp>
  </cdr:relSizeAnchor>
  <cdr:relSizeAnchor xmlns:cdr="http://schemas.openxmlformats.org/drawingml/2006/chartDrawing">
    <cdr:from>
      <cdr:x>0.9735</cdr:x>
      <cdr:y>0.929</cdr:y>
    </cdr:from>
    <cdr:to>
      <cdr:x>0.9995</cdr:x>
      <cdr:y>0.965</cdr:y>
    </cdr:to>
    <cdr:sp macro="" textlink="">
      <cdr:nvSpPr>
        <cdr:cNvPr id="722952" name="Text 27"/>
        <cdr:cNvSpPr txBox="1">
          <a:spLocks xmlns:a="http://schemas.openxmlformats.org/drawingml/2006/main" noChangeArrowheads="1"/>
        </cdr:cNvSpPr>
      </cdr:nvSpPr>
      <cdr:spPr bwMode="auto">
        <a:xfrm xmlns:a="http://schemas.openxmlformats.org/drawingml/2006/main">
          <a:off x="9195856" y="6364367"/>
          <a:ext cx="257740" cy="19050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2</a:t>
          </a:r>
        </a:p>
      </cdr:txBody>
    </cdr:sp>
  </cdr:relSizeAnchor>
  <cdr:relSizeAnchor xmlns:cdr="http://schemas.openxmlformats.org/drawingml/2006/chartDrawing">
    <cdr:from>
      <cdr:x>0.64125</cdr:x>
      <cdr:y>0.92875</cdr:y>
    </cdr:from>
    <cdr:to>
      <cdr:x>0.67625</cdr:x>
      <cdr:y>0.96175</cdr:y>
    </cdr:to>
    <cdr:sp macro="" textlink="">
      <cdr:nvSpPr>
        <cdr:cNvPr id="722953" name="Text 28"/>
        <cdr:cNvSpPr txBox="1">
          <a:spLocks xmlns:a="http://schemas.openxmlformats.org/drawingml/2006/main" noChangeArrowheads="1"/>
        </cdr:cNvSpPr>
      </cdr:nvSpPr>
      <cdr:spPr bwMode="auto">
        <a:xfrm xmlns:a="http://schemas.openxmlformats.org/drawingml/2006/main">
          <a:off x="6043870" y="6360995"/>
          <a:ext cx="333406" cy="17196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3/4</a:t>
          </a:r>
        </a:p>
      </cdr:txBody>
    </cdr:sp>
  </cdr:relSizeAnchor>
  <cdr:relSizeAnchor xmlns:cdr="http://schemas.openxmlformats.org/drawingml/2006/chartDrawing">
    <cdr:from>
      <cdr:x>0.5395</cdr:x>
      <cdr:y>0.93075</cdr:y>
    </cdr:from>
    <cdr:to>
      <cdr:x>0.5745</cdr:x>
      <cdr:y>0.96075</cdr:y>
    </cdr:to>
    <cdr:sp macro="" textlink="">
      <cdr:nvSpPr>
        <cdr:cNvPr id="722954" name="Text 29"/>
        <cdr:cNvSpPr txBox="1">
          <a:spLocks xmlns:a="http://schemas.openxmlformats.org/drawingml/2006/main" noChangeArrowheads="1"/>
        </cdr:cNvSpPr>
      </cdr:nvSpPr>
      <cdr:spPr bwMode="auto">
        <a:xfrm xmlns:a="http://schemas.openxmlformats.org/drawingml/2006/main">
          <a:off x="5079121" y="6371111"/>
          <a:ext cx="333405" cy="16184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1/2</a:t>
          </a:r>
        </a:p>
      </cdr:txBody>
    </cdr:sp>
  </cdr:relSizeAnchor>
  <cdr:relSizeAnchor xmlns:cdr="http://schemas.openxmlformats.org/drawingml/2006/chartDrawing">
    <cdr:from>
      <cdr:x>0.484</cdr:x>
      <cdr:y>0.93075</cdr:y>
    </cdr:from>
    <cdr:to>
      <cdr:x>0.519</cdr:x>
      <cdr:y>0.96075</cdr:y>
    </cdr:to>
    <cdr:sp macro="" textlink="">
      <cdr:nvSpPr>
        <cdr:cNvPr id="722955" name="Text 30"/>
        <cdr:cNvSpPr txBox="1">
          <a:spLocks xmlns:a="http://schemas.openxmlformats.org/drawingml/2006/main" noChangeArrowheads="1"/>
        </cdr:cNvSpPr>
      </cdr:nvSpPr>
      <cdr:spPr bwMode="auto">
        <a:xfrm xmlns:a="http://schemas.openxmlformats.org/drawingml/2006/main">
          <a:off x="4551819" y="6371111"/>
          <a:ext cx="333406" cy="16184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3/8</a:t>
          </a:r>
        </a:p>
      </cdr:txBody>
    </cdr:sp>
  </cdr:relSizeAnchor>
  <cdr:relSizeAnchor xmlns:cdr="http://schemas.openxmlformats.org/drawingml/2006/chartDrawing">
    <cdr:from>
      <cdr:x>0.36625</cdr:x>
      <cdr:y>0.92875</cdr:y>
    </cdr:from>
    <cdr:to>
      <cdr:x>0.40125</cdr:x>
      <cdr:y>0.954</cdr:y>
    </cdr:to>
    <cdr:sp macro="" textlink="">
      <cdr:nvSpPr>
        <cdr:cNvPr id="722956" name="Text 31"/>
        <cdr:cNvSpPr txBox="1">
          <a:spLocks xmlns:a="http://schemas.openxmlformats.org/drawingml/2006/main" noChangeArrowheads="1"/>
        </cdr:cNvSpPr>
      </cdr:nvSpPr>
      <cdr:spPr bwMode="auto">
        <a:xfrm xmlns:a="http://schemas.openxmlformats.org/drawingml/2006/main">
          <a:off x="3435737" y="6360995"/>
          <a:ext cx="333406" cy="13318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#4</a:t>
          </a:r>
        </a:p>
      </cdr:txBody>
    </cdr:sp>
  </cdr:relSizeAnchor>
  <cdr:relSizeAnchor xmlns:cdr="http://schemas.openxmlformats.org/drawingml/2006/chartDrawing">
    <cdr:from>
      <cdr:x>0.12375</cdr:x>
      <cdr:y>0.931</cdr:y>
    </cdr:from>
    <cdr:to>
      <cdr:x>0.16</cdr:x>
      <cdr:y>0.953</cdr:y>
    </cdr:to>
    <cdr:sp macro="" textlink="">
      <cdr:nvSpPr>
        <cdr:cNvPr id="722958" name="Text 22"/>
        <cdr:cNvSpPr txBox="1">
          <a:spLocks xmlns:a="http://schemas.openxmlformats.org/drawingml/2006/main" noChangeArrowheads="1"/>
        </cdr:cNvSpPr>
      </cdr:nvSpPr>
      <cdr:spPr bwMode="auto">
        <a:xfrm xmlns:a="http://schemas.openxmlformats.org/drawingml/2006/main">
          <a:off x="1125541" y="6381226"/>
          <a:ext cx="342864" cy="11464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#100</a:t>
          </a:r>
        </a:p>
      </cdr:txBody>
    </cdr:sp>
  </cdr:relSizeAnchor>
</c:userShapes>
</file>

<file path=xl/drawings/drawing8.xml><?xml version="1.0" encoding="utf-8"?>
<xdr:wsDr xmlns:xdr="http://schemas.openxmlformats.org/drawingml/2006/spreadsheetDrawing" xmlns:a="http://schemas.openxmlformats.org/drawingml/2006/main">
  <xdr:absoluteAnchor>
    <xdr:pos x="0" y="0"/>
    <xdr:ext cx="9496425" cy="6753225"/>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c:userShapes xmlns:c="http://schemas.openxmlformats.org/drawingml/2006/chart">
  <cdr:relSizeAnchor xmlns:cdr="http://schemas.openxmlformats.org/drawingml/2006/chartDrawing">
    <cdr:from>
      <cdr:x>0.16925</cdr:x>
      <cdr:y>0.94525</cdr:y>
    </cdr:from>
    <cdr:to>
      <cdr:x>0.19575</cdr:x>
      <cdr:y>0.97</cdr:y>
    </cdr:to>
    <cdr:sp macro="" textlink="">
      <cdr:nvSpPr>
        <cdr:cNvPr id="1013761" name="Text 17"/>
        <cdr:cNvSpPr txBox="1">
          <a:spLocks xmlns:a="http://schemas.openxmlformats.org/drawingml/2006/main" noChangeArrowheads="1"/>
        </cdr:cNvSpPr>
      </cdr:nvSpPr>
      <cdr:spPr bwMode="auto">
        <a:xfrm xmlns:a="http://schemas.openxmlformats.org/drawingml/2006/main">
          <a:off x="1636290" y="6386284"/>
          <a:ext cx="257740" cy="17196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#30</a:t>
          </a:r>
        </a:p>
      </cdr:txBody>
    </cdr:sp>
  </cdr:relSizeAnchor>
  <cdr:relSizeAnchor xmlns:cdr="http://schemas.openxmlformats.org/drawingml/2006/chartDrawing">
    <cdr:from>
      <cdr:x>0.20825</cdr:x>
      <cdr:y>0.94425</cdr:y>
    </cdr:from>
    <cdr:to>
      <cdr:x>0.2365</cdr:x>
      <cdr:y>0.9615</cdr:y>
    </cdr:to>
    <cdr:sp macro="" textlink="">
      <cdr:nvSpPr>
        <cdr:cNvPr id="1013762" name="Text 18"/>
        <cdr:cNvSpPr txBox="1">
          <a:spLocks xmlns:a="http://schemas.openxmlformats.org/drawingml/2006/main" noChangeArrowheads="1"/>
        </cdr:cNvSpPr>
      </cdr:nvSpPr>
      <cdr:spPr bwMode="auto">
        <a:xfrm xmlns:a="http://schemas.openxmlformats.org/drawingml/2006/main">
          <a:off x="2012259" y="6381226"/>
          <a:ext cx="267197" cy="11464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#16</a:t>
          </a:r>
        </a:p>
      </cdr:txBody>
    </cdr:sp>
  </cdr:relSizeAnchor>
  <cdr:relSizeAnchor xmlns:cdr="http://schemas.openxmlformats.org/drawingml/2006/chartDrawing">
    <cdr:from>
      <cdr:x>0.27225</cdr:x>
      <cdr:y>0.942</cdr:y>
    </cdr:from>
    <cdr:to>
      <cdr:x>0.2985</cdr:x>
      <cdr:y>0.968</cdr:y>
    </cdr:to>
    <cdr:sp macro="" textlink="">
      <cdr:nvSpPr>
        <cdr:cNvPr id="1013763" name="Text 19"/>
        <cdr:cNvSpPr txBox="1">
          <a:spLocks xmlns:a="http://schemas.openxmlformats.org/drawingml/2006/main" noChangeArrowheads="1"/>
        </cdr:cNvSpPr>
      </cdr:nvSpPr>
      <cdr:spPr bwMode="auto">
        <a:xfrm xmlns:a="http://schemas.openxmlformats.org/drawingml/2006/main">
          <a:off x="2619956" y="6374482"/>
          <a:ext cx="248281" cy="16184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#8</a:t>
          </a:r>
        </a:p>
      </cdr:txBody>
    </cdr:sp>
  </cdr:relSizeAnchor>
  <cdr:relSizeAnchor xmlns:cdr="http://schemas.openxmlformats.org/drawingml/2006/chartDrawing">
    <cdr:from>
      <cdr:x>0.09125</cdr:x>
      <cdr:y>0.94425</cdr:y>
    </cdr:from>
    <cdr:to>
      <cdr:x>0.1275</cdr:x>
      <cdr:y>0.9615</cdr:y>
    </cdr:to>
    <cdr:sp macro="" textlink="">
      <cdr:nvSpPr>
        <cdr:cNvPr id="1013764" name="Text 22"/>
        <cdr:cNvSpPr txBox="1">
          <a:spLocks xmlns:a="http://schemas.openxmlformats.org/drawingml/2006/main" noChangeArrowheads="1"/>
        </cdr:cNvSpPr>
      </cdr:nvSpPr>
      <cdr:spPr bwMode="auto">
        <a:xfrm xmlns:a="http://schemas.openxmlformats.org/drawingml/2006/main">
          <a:off x="863072" y="6381226"/>
          <a:ext cx="342864" cy="11464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#200</a:t>
          </a:r>
        </a:p>
      </cdr:txBody>
    </cdr:sp>
  </cdr:relSizeAnchor>
  <cdr:relSizeAnchor xmlns:cdr="http://schemas.openxmlformats.org/drawingml/2006/chartDrawing">
    <cdr:from>
      <cdr:x>0.147</cdr:x>
      <cdr:y>0.94425</cdr:y>
    </cdr:from>
    <cdr:to>
      <cdr:x>0.17075</cdr:x>
      <cdr:y>0.9615</cdr:y>
    </cdr:to>
    <cdr:sp macro="" textlink="">
      <cdr:nvSpPr>
        <cdr:cNvPr id="1013765" name="Text 23"/>
        <cdr:cNvSpPr txBox="1">
          <a:spLocks xmlns:a="http://schemas.openxmlformats.org/drawingml/2006/main" noChangeArrowheads="1"/>
        </cdr:cNvSpPr>
      </cdr:nvSpPr>
      <cdr:spPr bwMode="auto">
        <a:xfrm xmlns:a="http://schemas.openxmlformats.org/drawingml/2006/main">
          <a:off x="1390374" y="6381226"/>
          <a:ext cx="267197" cy="11464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#50</a:t>
          </a:r>
        </a:p>
      </cdr:txBody>
    </cdr:sp>
  </cdr:relSizeAnchor>
  <cdr:relSizeAnchor xmlns:cdr="http://schemas.openxmlformats.org/drawingml/2006/chartDrawing">
    <cdr:from>
      <cdr:x>0.71425</cdr:x>
      <cdr:y>0.93975</cdr:y>
    </cdr:from>
    <cdr:to>
      <cdr:x>0.7495</cdr:x>
      <cdr:y>0.9565</cdr:y>
    </cdr:to>
    <cdr:sp macro="" textlink="">
      <cdr:nvSpPr>
        <cdr:cNvPr id="1013766" name="Text 25"/>
        <cdr:cNvSpPr txBox="1">
          <a:spLocks xmlns:a="http://schemas.openxmlformats.org/drawingml/2006/main" noChangeArrowheads="1"/>
        </cdr:cNvSpPr>
      </cdr:nvSpPr>
      <cdr:spPr bwMode="auto">
        <a:xfrm xmlns:a="http://schemas.openxmlformats.org/drawingml/2006/main">
          <a:off x="6800536" y="6364367"/>
          <a:ext cx="333406" cy="104527"/>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1</a:t>
          </a:r>
        </a:p>
      </cdr:txBody>
    </cdr:sp>
  </cdr:relSizeAnchor>
  <cdr:relSizeAnchor xmlns:cdr="http://schemas.openxmlformats.org/drawingml/2006/chartDrawing">
    <cdr:from>
      <cdr:x>0.8545</cdr:x>
      <cdr:y>0.93975</cdr:y>
    </cdr:from>
    <cdr:to>
      <cdr:x>0.8905</cdr:x>
      <cdr:y>0.9605</cdr:y>
    </cdr:to>
    <cdr:sp macro="" textlink="">
      <cdr:nvSpPr>
        <cdr:cNvPr id="1013767" name="Text 26"/>
        <cdr:cNvSpPr txBox="1">
          <a:spLocks xmlns:a="http://schemas.openxmlformats.org/drawingml/2006/main" noChangeArrowheads="1"/>
        </cdr:cNvSpPr>
      </cdr:nvSpPr>
      <cdr:spPr bwMode="auto">
        <a:xfrm xmlns:a="http://schemas.openxmlformats.org/drawingml/2006/main">
          <a:off x="8124701" y="6364367"/>
          <a:ext cx="342864" cy="123072"/>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1 1/2</a:t>
          </a:r>
        </a:p>
      </cdr:txBody>
    </cdr:sp>
  </cdr:relSizeAnchor>
  <cdr:relSizeAnchor xmlns:cdr="http://schemas.openxmlformats.org/drawingml/2006/chartDrawing">
    <cdr:from>
      <cdr:x>0.9675</cdr:x>
      <cdr:y>0.93975</cdr:y>
    </cdr:from>
    <cdr:to>
      <cdr:x>0.9995</cdr:x>
      <cdr:y>0.96975</cdr:y>
    </cdr:to>
    <cdr:sp macro="" textlink="">
      <cdr:nvSpPr>
        <cdr:cNvPr id="1013768" name="Text 27"/>
        <cdr:cNvSpPr txBox="1">
          <a:spLocks xmlns:a="http://schemas.openxmlformats.org/drawingml/2006/main" noChangeArrowheads="1"/>
        </cdr:cNvSpPr>
      </cdr:nvSpPr>
      <cdr:spPr bwMode="auto">
        <a:xfrm xmlns:a="http://schemas.openxmlformats.org/drawingml/2006/main">
          <a:off x="9195856" y="6364367"/>
          <a:ext cx="257740" cy="190509"/>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2</a:t>
          </a:r>
        </a:p>
      </cdr:txBody>
    </cdr:sp>
  </cdr:relSizeAnchor>
  <cdr:relSizeAnchor xmlns:cdr="http://schemas.openxmlformats.org/drawingml/2006/chartDrawing">
    <cdr:from>
      <cdr:x>0.6345</cdr:x>
      <cdr:y>0.93975</cdr:y>
    </cdr:from>
    <cdr:to>
      <cdr:x>0.6695</cdr:x>
      <cdr:y>0.9675</cdr:y>
    </cdr:to>
    <cdr:sp macro="" textlink="">
      <cdr:nvSpPr>
        <cdr:cNvPr id="1013769" name="Text 28"/>
        <cdr:cNvSpPr txBox="1">
          <a:spLocks xmlns:a="http://schemas.openxmlformats.org/drawingml/2006/main" noChangeArrowheads="1"/>
        </cdr:cNvSpPr>
      </cdr:nvSpPr>
      <cdr:spPr bwMode="auto">
        <a:xfrm xmlns:a="http://schemas.openxmlformats.org/drawingml/2006/main">
          <a:off x="6043870" y="6360995"/>
          <a:ext cx="333406" cy="171964"/>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3/4</a:t>
          </a:r>
        </a:p>
      </cdr:txBody>
    </cdr:sp>
  </cdr:relSizeAnchor>
  <cdr:relSizeAnchor xmlns:cdr="http://schemas.openxmlformats.org/drawingml/2006/chartDrawing">
    <cdr:from>
      <cdr:x>0.5325</cdr:x>
      <cdr:y>0.94125</cdr:y>
    </cdr:from>
    <cdr:to>
      <cdr:x>0.56775</cdr:x>
      <cdr:y>0.9675</cdr:y>
    </cdr:to>
    <cdr:sp macro="" textlink="">
      <cdr:nvSpPr>
        <cdr:cNvPr id="1013770" name="Text 29"/>
        <cdr:cNvSpPr txBox="1">
          <a:spLocks xmlns:a="http://schemas.openxmlformats.org/drawingml/2006/main" noChangeArrowheads="1"/>
        </cdr:cNvSpPr>
      </cdr:nvSpPr>
      <cdr:spPr bwMode="auto">
        <a:xfrm xmlns:a="http://schemas.openxmlformats.org/drawingml/2006/main">
          <a:off x="5079121" y="6371111"/>
          <a:ext cx="333405" cy="16184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1/2</a:t>
          </a:r>
        </a:p>
      </cdr:txBody>
    </cdr:sp>
  </cdr:relSizeAnchor>
  <cdr:relSizeAnchor xmlns:cdr="http://schemas.openxmlformats.org/drawingml/2006/chartDrawing">
    <cdr:from>
      <cdr:x>0.47675</cdr:x>
      <cdr:y>0.94125</cdr:y>
    </cdr:from>
    <cdr:to>
      <cdr:x>0.51175</cdr:x>
      <cdr:y>0.9675</cdr:y>
    </cdr:to>
    <cdr:sp macro="" textlink="">
      <cdr:nvSpPr>
        <cdr:cNvPr id="1013771" name="Text 30"/>
        <cdr:cNvSpPr txBox="1">
          <a:spLocks xmlns:a="http://schemas.openxmlformats.org/drawingml/2006/main" noChangeArrowheads="1"/>
        </cdr:cNvSpPr>
      </cdr:nvSpPr>
      <cdr:spPr bwMode="auto">
        <a:xfrm xmlns:a="http://schemas.openxmlformats.org/drawingml/2006/main">
          <a:off x="4551819" y="6371111"/>
          <a:ext cx="333406" cy="16184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3/8</a:t>
          </a:r>
        </a:p>
      </cdr:txBody>
    </cdr:sp>
  </cdr:relSizeAnchor>
  <cdr:relSizeAnchor xmlns:cdr="http://schemas.openxmlformats.org/drawingml/2006/chartDrawing">
    <cdr:from>
      <cdr:x>0.35875</cdr:x>
      <cdr:y>0.93975</cdr:y>
    </cdr:from>
    <cdr:to>
      <cdr:x>0.394</cdr:x>
      <cdr:y>0.9615</cdr:y>
    </cdr:to>
    <cdr:sp macro="" textlink="">
      <cdr:nvSpPr>
        <cdr:cNvPr id="1013772" name="Text 31"/>
        <cdr:cNvSpPr txBox="1">
          <a:spLocks xmlns:a="http://schemas.openxmlformats.org/drawingml/2006/main" noChangeArrowheads="1"/>
        </cdr:cNvSpPr>
      </cdr:nvSpPr>
      <cdr:spPr bwMode="auto">
        <a:xfrm xmlns:a="http://schemas.openxmlformats.org/drawingml/2006/main">
          <a:off x="3435737" y="6360995"/>
          <a:ext cx="333406" cy="133188"/>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#4</a:t>
          </a:r>
        </a:p>
      </cdr:txBody>
    </cdr:sp>
  </cdr:relSizeAnchor>
  <cdr:relSizeAnchor xmlns:cdr="http://schemas.openxmlformats.org/drawingml/2006/chartDrawing">
    <cdr:from>
      <cdr:x>0.117</cdr:x>
      <cdr:y>0.94425</cdr:y>
    </cdr:from>
    <cdr:to>
      <cdr:x>0.15075</cdr:x>
      <cdr:y>0.9615</cdr:y>
    </cdr:to>
    <cdr:sp macro="" textlink="">
      <cdr:nvSpPr>
        <cdr:cNvPr id="1013773" name="Text 22"/>
        <cdr:cNvSpPr txBox="1">
          <a:spLocks xmlns:a="http://schemas.openxmlformats.org/drawingml/2006/main" noChangeArrowheads="1"/>
        </cdr:cNvSpPr>
      </cdr:nvSpPr>
      <cdr:spPr bwMode="auto">
        <a:xfrm xmlns:a="http://schemas.openxmlformats.org/drawingml/2006/main">
          <a:off x="1125541" y="6381226"/>
          <a:ext cx="342864" cy="114643"/>
        </a:xfrm>
        <a:prstGeom xmlns:a="http://schemas.openxmlformats.org/drawingml/2006/main" prst="rect">
          <a:avLst/>
        </a:prstGeom>
        <a:noFill xmlns:a="http://schemas.openxmlformats.org/drawingml/2006/main"/>
        <a:ln xmlns:a="http://schemas.openxmlformats.org/drawingml/2006/main" w="1">
          <a:noFill/>
          <a:miter lim="800000"/>
          <a:headEnd/>
          <a:tailEnd/>
        </a:ln>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600" b="0" i="0" u="none" strike="noStrike" baseline="0">
              <a:solidFill>
                <a:srgbClr val="000000"/>
              </a:solidFill>
              <a:latin typeface="MS Sans Serif"/>
            </a:rPr>
            <a:t>#100</a:t>
          </a:r>
        </a:p>
      </cdr:txBody>
    </cdr:sp>
  </cdr:relSizeAnchor>
</c:userShapes>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11</xdr:row>
          <xdr:rowOff>152400</xdr:rowOff>
        </xdr:from>
        <xdr:to>
          <xdr:col>8</xdr:col>
          <xdr:colOff>428625</xdr:colOff>
          <xdr:row>13</xdr:row>
          <xdr:rowOff>19050</xdr:rowOff>
        </xdr:to>
        <xdr:sp macro="" textlink="">
          <xdr:nvSpPr>
            <xdr:cNvPr id="599043" name="ComboBox1" hidden="1">
              <a:extLst>
                <a:ext uri="{63B3BB69-23CF-44E3-9099-C40C66FF867C}">
                  <a14:compatExt spid="_x0000_s599043"/>
                </a:ext>
                <a:ext uri="{FF2B5EF4-FFF2-40B4-BE49-F238E27FC236}">
                  <a16:creationId xmlns:a16="http://schemas.microsoft.com/office/drawing/2014/main" id="{00000000-0008-0000-0900-00000324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11</xdr:row>
          <xdr:rowOff>152400</xdr:rowOff>
        </xdr:from>
        <xdr:to>
          <xdr:col>8</xdr:col>
          <xdr:colOff>428625</xdr:colOff>
          <xdr:row>13</xdr:row>
          <xdr:rowOff>19050</xdr:rowOff>
        </xdr:to>
        <xdr:sp macro="" textlink="">
          <xdr:nvSpPr>
            <xdr:cNvPr id="3169281" name="ComboBox1" hidden="1">
              <a:extLst>
                <a:ext uri="{63B3BB69-23CF-44E3-9099-C40C66FF867C}">
                  <a14:compatExt spid="_x0000_s3169281"/>
                </a:ext>
                <a:ext uri="{FF2B5EF4-FFF2-40B4-BE49-F238E27FC236}">
                  <a16:creationId xmlns:a16="http://schemas.microsoft.com/office/drawing/2014/main" id="{00000000-0008-0000-0A00-0000015C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133350</xdr:colOff>
      <xdr:row>1</xdr:row>
      <xdr:rowOff>142875</xdr:rowOff>
    </xdr:from>
    <xdr:to>
      <xdr:col>2</xdr:col>
      <xdr:colOff>66675</xdr:colOff>
      <xdr:row>2</xdr:row>
      <xdr:rowOff>53975</xdr:rowOff>
    </xdr:to>
    <xdr:pic>
      <xdr:nvPicPr>
        <xdr:cNvPr id="2" name="Picture 1" descr="PTE_Jan 26.png">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srcRect l="16532" r="15323"/>
        <a:stretch>
          <a:fillRect/>
        </a:stretch>
      </xdr:blipFill>
      <xdr:spPr>
        <a:xfrm>
          <a:off x="133350" y="476250"/>
          <a:ext cx="1609725" cy="7874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180975</xdr:colOff>
          <xdr:row>1</xdr:row>
          <xdr:rowOff>247650</xdr:rowOff>
        </xdr:from>
        <xdr:to>
          <xdr:col>15</xdr:col>
          <xdr:colOff>104775</xdr:colOff>
          <xdr:row>1</xdr:row>
          <xdr:rowOff>676275</xdr:rowOff>
        </xdr:to>
        <xdr:sp macro="" textlink="">
          <xdr:nvSpPr>
            <xdr:cNvPr id="3180545" name="Label1" hidden="1">
              <a:extLst>
                <a:ext uri="{63B3BB69-23CF-44E3-9099-C40C66FF867C}">
                  <a14:compatExt spid="_x0000_s3180545"/>
                </a:ext>
                <a:ext uri="{FF2B5EF4-FFF2-40B4-BE49-F238E27FC236}">
                  <a16:creationId xmlns:a16="http://schemas.microsoft.com/office/drawing/2014/main" id="{00000000-0008-0000-0B00-000001883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371475</xdr:rowOff>
        </xdr:from>
        <xdr:to>
          <xdr:col>5</xdr:col>
          <xdr:colOff>0</xdr:colOff>
          <xdr:row>1</xdr:row>
          <xdr:rowOff>752475</xdr:rowOff>
        </xdr:to>
        <xdr:sp macro="" textlink="">
          <xdr:nvSpPr>
            <xdr:cNvPr id="3180555" name="cbLoadData" hidden="1">
              <a:extLst>
                <a:ext uri="{63B3BB69-23CF-44E3-9099-C40C66FF867C}">
                  <a14:compatExt spid="_x0000_s3180555"/>
                </a:ext>
                <a:ext uri="{FF2B5EF4-FFF2-40B4-BE49-F238E27FC236}">
                  <a16:creationId xmlns:a16="http://schemas.microsoft.com/office/drawing/2014/main" id="{00000000-0008-0000-0B00-00000B88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11</xdr:row>
          <xdr:rowOff>152400</xdr:rowOff>
        </xdr:from>
        <xdr:to>
          <xdr:col>8</xdr:col>
          <xdr:colOff>428625</xdr:colOff>
          <xdr:row>13</xdr:row>
          <xdr:rowOff>19050</xdr:rowOff>
        </xdr:to>
        <xdr:sp macro="" textlink="">
          <xdr:nvSpPr>
            <xdr:cNvPr id="3196929" name="ComboBox1" hidden="1">
              <a:extLst>
                <a:ext uri="{63B3BB69-23CF-44E3-9099-C40C66FF867C}">
                  <a14:compatExt spid="_x0000_s3196929"/>
                </a:ext>
                <a:ext uri="{FF2B5EF4-FFF2-40B4-BE49-F238E27FC236}">
                  <a16:creationId xmlns:a16="http://schemas.microsoft.com/office/drawing/2014/main" id="{00000000-0008-0000-0C00-000001C83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Documents%20and%20Settings\MBlack\Desktop\Kentucky\Kentucky_SM_Materials\Committees\technical_committee\Applet\disciplines\STRIPING_Striping%20QCQA\STRI"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Documents%20and%20Settings\bradp\Desktop\Kentucky\Kentucky_SM_Materials\Committees\technical_committee\Applet\disciplines\STRCONC_Structural%20Concrete%20QC-QA\Structural_QC-QA_Spreadsheet_BGP_060124.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N:\Documents%20and%20Settings\MBlack\Desktop\CONCPVMT_ZLot_060508%20with%20data.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N:\Documents%20and%20Settings\RMills2\Local%20Settings\Temporary%20Internet%20Files\OLK61\CONCPVMT_STRCONC_BGP_060324.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N:\Documents%20and%20Settings\RMills2\Local%20Settings\Temporary%20Internet%20Files\OLK61\CONCPVMT%20Lot%20basis%204-7-06.xls"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850%20IDEAL-CT%20Workbook%20V1.03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Details"/>
      <sheetName val="SM Mapping"/>
      <sheetName val="Template XXXXXXXXX"/>
      <sheetName val="Drop_Downs_and_Tables"/>
    </sheetNames>
    <sheetDataSet>
      <sheetData sheetId="0" refreshError="1"/>
      <sheetData sheetId="1" refreshError="1"/>
      <sheetData sheetId="2" refreshError="1"/>
      <sheetData sheetId="3" refreshError="1"/>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Details"/>
      <sheetName val="SM Mapping"/>
      <sheetName val="Template &quot;Conc Plastic Tests&quot;"/>
      <sheetName val="Template &quot;Conc Comp Strength&quot;"/>
      <sheetName val="Drop Downs and Tables"/>
    </sheetNames>
    <sheetDataSet>
      <sheetData sheetId="0"/>
      <sheetData sheetId="1"/>
      <sheetData sheetId="2"/>
      <sheetData sheetId="3"/>
      <sheetData sheetId="4"/>
      <sheetData sheetId="5">
        <row r="23">
          <cell r="A23" t="str">
            <v>YES</v>
          </cell>
        </row>
        <row r="24">
          <cell r="A24" t="str">
            <v>NO</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Project Items"/>
      <sheetName val="Start-Up"/>
      <sheetName val="Early_Break"/>
      <sheetName val="QC-QA_Acpt"/>
      <sheetName val="discipline"/>
      <sheetName val="t_smpl"/>
      <sheetName val="t_cont_smpl"/>
      <sheetName val="t_smpl_tst"/>
      <sheetName val="t_smpl_tstr"/>
      <sheetName val="t_tst_rslt_hdr"/>
      <sheetName val="t_tst_rslt_dtl"/>
      <sheetName val="t_rmks_dtl"/>
      <sheetName val="COCONCPLAS"/>
      <sheetName val="COCONCCOMP"/>
      <sheetName val="Drop_Downs_and_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Project Items"/>
      <sheetName val="Details"/>
      <sheetName val="SM Mapping"/>
      <sheetName val="Template &quot;Conc Plastic Tests&quot;"/>
      <sheetName val="Template &quot;Conc Comp Strength&quot;"/>
      <sheetName val="Drop_Downs_and_Tables"/>
    </sheetNames>
    <sheetDataSet>
      <sheetData sheetId="0"/>
      <sheetData sheetId="1"/>
      <sheetData sheetId="2"/>
      <sheetData sheetId="3"/>
      <sheetData sheetId="4"/>
      <sheetData sheetId="5"/>
      <sheetData sheetId="6">
        <row r="58">
          <cell r="A58" t="str">
            <v>CONCPVMT</v>
          </cell>
        </row>
        <row r="59">
          <cell r="A59" t="str">
            <v>STRCONC</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Early Break Row"/>
      <sheetName val="QC-QA Acpt Row"/>
      <sheetName val="Details"/>
      <sheetName val="SM Mapping"/>
      <sheetName val="COCONCPLAS"/>
      <sheetName val="COCONCCOMP"/>
      <sheetName val="Drop_Downs_and_Tables"/>
    </sheetNames>
    <sheetDataSet>
      <sheetData sheetId="0"/>
      <sheetData sheetId="1" refreshError="1"/>
      <sheetData sheetId="2" refreshError="1"/>
      <sheetData sheetId="3" refreshError="1"/>
      <sheetData sheetId="4" refreshError="1"/>
      <sheetData sheetId="5" refreshError="1"/>
      <sheetData sheetId="6" refreshError="1"/>
      <sheetData sheetId="7">
        <row r="26">
          <cell r="A26">
            <v>0.2</v>
          </cell>
        </row>
        <row r="27">
          <cell r="A27">
            <v>0.4</v>
          </cell>
        </row>
        <row r="49">
          <cell r="A49" t="str">
            <v>COMP</v>
          </cell>
        </row>
        <row r="50">
          <cell r="A50" t="str">
            <v>FAIL</v>
          </cell>
        </row>
        <row r="51">
          <cell r="A51" t="str">
            <v>FRFP</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DEAL-CT Data"/>
      <sheetName val="Stability vs. Flow"/>
      <sheetName val="Revisions"/>
      <sheetName val="Help Text"/>
      <sheetName val="Specimen 1 Report (old)"/>
      <sheetName val="IDEAL-CT Report"/>
    </sheetNames>
    <sheetDataSet>
      <sheetData sheetId="0" refreshError="1"/>
      <sheetData sheetId="1" refreshError="1"/>
      <sheetData sheetId="2">
        <row r="1">
          <cell r="A1" t="str">
            <v>V1.03</v>
          </cell>
        </row>
      </sheetData>
      <sheetData sheetId="3" refreshError="1"/>
      <sheetData sheetId="4" refreshError="1"/>
      <sheetData sheetId="5">
        <row r="6">
          <cell r="Q6">
            <v>1</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List1" displayName="List1" ref="A5:C99" tableType="xml" insertRowShift="1" totalsRowShown="0" headerRowDxfId="197" headerRowBorderDxfId="196" tableBorderDxfId="195" totalsRowBorderDxfId="194">
  <autoFilter ref="A5:C99" xr:uid="{00000000-0009-0000-0100-00000C000000}"/>
  <tableColumns count="3">
    <tableColumn id="1" xr3:uid="{00000000-0010-0000-0000-000001000000}" uniqueName="ns1:prj_nbr" name="prj_nbr" dataDxfId="193">
      <xmlColumnPr mapId="3" xpath="/ns1:MaterialDisciplines/ns1:t_cont_smpl_itm/ns1:t_cont_smpl_itmTable/ns1:prj_nbr" xmlDataType="string"/>
    </tableColumn>
    <tableColumn id="2" xr3:uid="{00000000-0010-0000-0000-000002000000}" uniqueName="ns1:ln_itm_nbr" name="ln_itm_nbr" dataDxfId="192">
      <xmlColumnPr mapId="3" xpath="/ns1:MaterialDisciplines/ns1:t_cont_smpl_itm/ns1:t_cont_smpl_itmTable/ns1:ln_itm_nbr" xmlDataType="string"/>
    </tableColumn>
    <tableColumn id="3" xr3:uid="{00000000-0010-0000-0000-000003000000}" uniqueName="ns1:repr_qty" name="repr_qty" dataDxfId="191">
      <xmlColumnPr mapId="3" xpath="/ns1:MaterialDisciplines/ns1:t_cont_smpl_itm/ns1:t_cont_smpl_itmTable/ns1:repr_qty" xmlDataType="string"/>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67A7169-C895-4500-BBD6-2A25FF494792}" name="BinderTable" displayName="BinderTable" ref="J187:N199" totalsRowShown="0" headerRowDxfId="190" dataDxfId="189">
  <autoFilter ref="J187:N199" xr:uid="{067A7169-C895-4500-BBD6-2A25FF494792}"/>
  <tableColumns count="5">
    <tableColumn id="1" xr3:uid="{86C7A873-77DF-4375-AFD9-B08D2F8C6136}" name="MixType" dataDxfId="188"/>
    <tableColumn id="2" xr3:uid="{DBDD3087-DE5F-435D-A725-28FC5F4E03BC}" name="PG" dataDxfId="187"/>
    <tableColumn id="3" xr3:uid="{12FC4D8E-9941-4258-9A95-023A6CA2D6D4}" name="MinRAP" dataDxfId="186"/>
    <tableColumn id="4" xr3:uid="{93038246-29A8-40AB-B9EC-C270B3A6FB72}" name="MaxRAP" dataDxfId="185"/>
    <tableColumn id="5" xr3:uid="{6BD7AFA2-0D81-4635-8D6C-CE32FF7AFBF8}" name="Result" dataDxfId="184"/>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List1" displayName="List1_1" ref="A1:E3" tableType="xml" totalsRowShown="0" headerRowDxfId="183" dataDxfId="182">
  <autoFilter ref="A1:E3" xr:uid="{00000000-0009-0000-0100-000001000000}"/>
  <tableColumns count="5">
    <tableColumn id="1" xr3:uid="{00000000-0010-0000-0100-000001000000}" uniqueName="ns1:discipline_id" name="discipline_id" dataDxfId="181">
      <xmlColumnPr mapId="3" xpath="/ns1:MaterialDisciplines/ns1:discipline/ns1:disciplineTable/ns1:discipline_id" xmlDataType="string"/>
    </tableColumn>
    <tableColumn id="2" xr3:uid="{00000000-0010-0000-0100-000002000000}" uniqueName="ns1:discipline_version" name="discipline_version" dataDxfId="180">
      <xmlColumnPr mapId="3" xpath="/ns1:MaterialDisciplines/ns1:discipline/ns1:disciplineTable/ns1:discipline_version" xmlDataType="string"/>
    </tableColumn>
    <tableColumn id="3" xr3:uid="{00000000-0010-0000-0100-000003000000}" uniqueName="ns1:replace_allowed_indicator" name="replace_allowed_indicator" dataDxfId="179">
      <xmlColumnPr mapId="3" xpath="/ns1:MaterialDisciplines/ns1:discipline/ns1:disciplineTable/ns1:replace_allowed_indicator" xmlDataType="string"/>
    </tableColumn>
    <tableColumn id="4" xr3:uid="{00000000-0010-0000-0100-000004000000}" uniqueName="ns1:district" name="district">
      <xmlColumnPr mapId="3" xpath="/ns1:MaterialDisciplines/ns1:discipline/ns1:disciplineTable/ns1:district" xmlDataType="string"/>
    </tableColumn>
    <tableColumn id="5" xr3:uid="{00000000-0010-0000-0100-000005000000}" uniqueName="ns1:Filename" name="Filename" dataDxfId="178">
      <xmlColumnPr mapId="3" xpath="/ns1:MaterialDisciplines/ns1:discipline/ns1:disciplineTable/ns1:Filename" xmlDataType="string"/>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List1" displayName="List1_2" ref="B7:BC8" tableType="xml" totalsRowShown="0" headerRowDxfId="176" dataDxfId="174" headerRowBorderDxfId="175" totalsRowBorderDxfId="173">
  <autoFilter ref="B7:BC8" xr:uid="{00000000-0009-0000-0100-000002000000}"/>
  <tableColumns count="54">
    <tableColumn id="1" xr3:uid="{00000000-0010-0000-0200-000001000000}" uniqueName="ns1:smpl_id" name="smpl_id" dataDxfId="172">
      <calculatedColumnFormula>'Design Data'!C10</calculatedColumnFormula>
      <xmlColumnPr mapId="3" xpath="/ns1:MaterialDisciplines/ns1:t_smpl/ns1:t_smplTable/ns1:smpl_id" xmlDataType="string"/>
    </tableColumn>
    <tableColumn id="2" xr3:uid="{00000000-0010-0000-0200-000002000000}" uniqueName="ns1:acpt_meth_t" name="acpt_meth_t" dataDxfId="171">
      <xmlColumnPr mapId="3" xpath="/ns1:MaterialDisciplines/ns1:t_smpl/ns1:t_smplTable/ns1:acpt_meth_t" xmlDataType="string"/>
    </tableColumn>
    <tableColumn id="3" xr3:uid="{00000000-0010-0000-0200-000003000000}" uniqueName="ns1:auth_by_cms_uid" name="auth_by_cms_uid" dataDxfId="170">
      <calculatedColumnFormula>'Design Data'!S82</calculatedColumnFormula>
      <xmlColumnPr mapId="3" xpath="/ns1:MaterialDisciplines/ns1:t_smpl/ns1:t_smplTable/ns1:auth_by_cms_uid" xmlDataType="string"/>
    </tableColumn>
    <tableColumn id="4" xr3:uid="{00000000-0010-0000-0200-000004000000}" uniqueName="ns1:auth_dt" name="auth_dt" dataDxfId="169">
      <calculatedColumnFormula>'Design Data'!H16</calculatedColumnFormula>
      <xmlColumnPr mapId="3" xpath="/ns1:MaterialDisciplines/ns1:t_smpl/ns1:t_smplTable/ns1:auth_dt" xmlDataType="string"/>
    </tableColumn>
    <tableColumn id="5" xr3:uid="{00000000-0010-0000-0200-000005000000}" uniqueName="ns1:cms_uid" name="cms_uid" dataDxfId="168">
      <calculatedColumnFormula>'Design Data'!S82</calculatedColumnFormula>
      <xmlColumnPr mapId="3" xpath="/ns1:MaterialDisciplines/ns1:t_smpl/ns1:t_smplTable/ns1:cms_uid" xmlDataType="string"/>
    </tableColumn>
    <tableColumn id="6" xr3:uid="{00000000-0010-0000-0200-000006000000}" uniqueName="ns1:cntrl_nbr" name="cntrl_nbr" dataDxfId="167">
      <xmlColumnPr mapId="3" xpath="/ns1:MaterialDisciplines/ns1:t_smpl/ns1:t_smplTable/ns1:cntrl_nbr" xmlDataType="string"/>
    </tableColumn>
    <tableColumn id="7" xr3:uid="{00000000-0010-0000-0200-000007000000}" uniqueName="ns1:cntrl_t" name="cntrl_t" dataDxfId="166">
      <xmlColumnPr mapId="3" xpath="/ns1:MaterialDisciplines/ns1:t_smpl/ns1:t_smplTable/ns1:cntrl_t" xmlDataType="string"/>
    </tableColumn>
    <tableColumn id="8" xr3:uid="{00000000-0010-0000-0200-000008000000}" uniqueName="ns1:geog_area_t" name="geog_area_t" dataDxfId="165">
      <calculatedColumnFormula>LEFT('Design Data'!C10,2)</calculatedColumnFormula>
      <xmlColumnPr mapId="3" xpath="/ns1:MaterialDisciplines/ns1:t_smpl/ns1:t_smplTable/ns1:geog_area_t" xmlDataType="string"/>
    </tableColumn>
    <tableColumn id="9" xr3:uid="{00000000-0010-0000-0200-000009000000}" uniqueName="ns1:intd_use_txt" name="intd_use_txt" dataDxfId="164">
      <xmlColumnPr mapId="3" xpath="/ns1:MaterialDisciplines/ns1:t_smpl/ns1:t_smplTable/ns1:intd_use_txt" xmlDataType="string"/>
    </tableColumn>
    <tableColumn id="10" xr3:uid="{00000000-0010-0000-0200-00000A000000}" uniqueName="ns1:last_modfd_dt" name="last_modfd_dt" dataDxfId="163">
      <xmlColumnPr mapId="3" xpath="/ns1:MaterialDisciplines/ns1:t_smpl/ns1:t_smplTable/ns1:last_modfd_dt" xmlDataType="string"/>
    </tableColumn>
    <tableColumn id="11" xr3:uid="{00000000-0010-0000-0200-00000B000000}" uniqueName="ns1:last_modfd_uid" name="last_modfd_uid" dataDxfId="162">
      <calculatedColumnFormula>'Design Data'!S82</calculatedColumnFormula>
      <xmlColumnPr mapId="3" xpath="/ns1:MaterialDisciplines/ns1:t_smpl/ns1:t_smplTable/ns1:last_modfd_uid" xmlDataType="string"/>
    </tableColumn>
    <tableColumn id="12" xr3:uid="{00000000-0010-0000-0200-00000C000000}" uniqueName="ns1:log_dt" name="log_dt" dataDxfId="161">
      <calculatedColumnFormula>'Design Data'!H14</calculatedColumnFormula>
      <xmlColumnPr mapId="3" xpath="/ns1:MaterialDisciplines/ns1:t_smpl/ns1:t_smplTable/ns1:log_dt" xmlDataType="string"/>
    </tableColumn>
    <tableColumn id="13" xr3:uid="{00000000-0010-0000-0200-00000D000000}" uniqueName="ns1:matl_cd" name="matl_cd" dataDxfId="160">
      <calculatedColumnFormula>'Design Data'!Q16</calculatedColumnFormula>
      <xmlColumnPr mapId="3" xpath="/ns1:MaterialDisciplines/ns1:t_smpl/ns1:t_smplTable/ns1:matl_cd" xmlDataType="string"/>
    </tableColumn>
    <tableColumn id="14" xr3:uid="{00000000-0010-0000-0200-00000E000000}" uniqueName="ns1:offst" name="offst" dataDxfId="159">
      <xmlColumnPr mapId="3" xpath="/ns1:MaterialDisciplines/ns1:t_smpl/ns1:t_smplTable/ns1:offst" xmlDataType="string"/>
    </tableColumn>
    <tableColumn id="15" xr3:uid="{00000000-0010-0000-0200-00000F000000}" uniqueName="ns1:plant_id" name="plant_id" dataDxfId="158">
      <xmlColumnPr mapId="3" xpath="/ns1:MaterialDisciplines/ns1:t_smpl/ns1:t_smplTable/ns1:plant_id" xmlDataType="string"/>
    </tableColumn>
    <tableColumn id="16" xr3:uid="{00000000-0010-0000-0200-000010000000}" uniqueName="ns1:prodr_supp_cd" name="prodr_supp_cd" dataDxfId="157">
      <calculatedColumnFormula>'Design Data'!Q14</calculatedColumnFormula>
      <xmlColumnPr mapId="3" xpath="/ns1:MaterialDisciplines/ns1:t_smpl/ns1:t_smplTable/ns1:prodr_supp_cd" xmlDataType="string"/>
    </tableColumn>
    <tableColumn id="17" xr3:uid="{00000000-0010-0000-0200-000011000000}" uniqueName="ns1:rel_smpl_id" name="rel_smpl_id" dataDxfId="156">
      <xmlColumnPr mapId="3" xpath="/ns1:MaterialDisciplines/ns1:t_smpl/ns1:t_smplTable/ns1:rel_smpl_id" xmlDataType="string"/>
    </tableColumn>
    <tableColumn id="18" xr3:uid="{00000000-0010-0000-0200-000012000000}" uniqueName="ns1:rmrks_id" name="rmrks_id" dataDxfId="155">
      <calculatedColumnFormula>t_rmks_dtl!B8</calculatedColumnFormula>
      <xmlColumnPr mapId="3" xpath="/ns1:MaterialDisciplines/ns1:t_smpl/ns1:t_smplTable/ns1:rmrks_id" xmlDataType="string"/>
    </tableColumn>
    <tableColumn id="19" xr3:uid="{00000000-0010-0000-0200-000013000000}" uniqueName="ns1:smpl_dsn_t" name="smpl_dsn_t" dataDxfId="154">
      <xmlColumnPr mapId="3" xpath="/ns1:MaterialDisciplines/ns1:t_smpl/ns1:t_smplTable/ns1:smpl_dsn_t" xmlDataType="string"/>
    </tableColumn>
    <tableColumn id="20" xr3:uid="{00000000-0010-0000-0200-000014000000}" uniqueName="ns1:smpl_dt" name="smpl_dt" dataDxfId="153">
      <calculatedColumnFormula>'Design Data'!H16</calculatedColumnFormula>
      <xmlColumnPr mapId="3" xpath="/ns1:MaterialDisciplines/ns1:t_smpl/ns1:t_smplTable/ns1:smpl_dt" xmlDataType="string"/>
    </tableColumn>
    <tableColumn id="21" xr3:uid="{00000000-0010-0000-0200-000015000000}" uniqueName="ns1:smpl_mix_id" name="smpl_mix_id" dataDxfId="152">
      <calculatedColumnFormula>'Design Data'!H10</calculatedColumnFormula>
      <xmlColumnPr mapId="3" xpath="/ns1:MaterialDisciplines/ns1:t_smpl/ns1:t_smplTable/ns1:smpl_mix_id" xmlDataType="string"/>
    </tableColumn>
    <tableColumn id="22" xr3:uid="{00000000-0010-0000-0200-000016000000}" uniqueName="ns1:smpl_t" name="smpl_t" dataDxfId="151">
      <xmlColumnPr mapId="3" xpath="/ns1:MaterialDisciplines/ns1:t_smpl/ns1:t_smplTable/ns1:smpl_t" xmlDataType="string"/>
    </tableColumn>
    <tableColumn id="23" xr3:uid="{00000000-0010-0000-0200-000017000000}" uniqueName="ns1:smpld_by" name="smpld_by" dataDxfId="150">
      <calculatedColumnFormula>'Design Data'!K16</calculatedColumnFormula>
      <xmlColumnPr mapId="3" xpath="/ns1:MaterialDisciplines/ns1:t_smpl/ns1:t_smplTable/ns1:smpld_by" xmlDataType="string"/>
    </tableColumn>
    <tableColumn id="24" xr3:uid="{00000000-0010-0000-0200-000018000000}" uniqueName="ns1:sta" name="sta" dataDxfId="149">
      <xmlColumnPr mapId="3" xpath="/ns1:MaterialDisciplines/ns1:t_smpl/ns1:t_smplTable/ns1:sta" xmlDataType="string"/>
    </tableColumn>
    <tableColumn id="25" xr3:uid="{00000000-0010-0000-0200-000019000000}" uniqueName="ns1:stat_t" name="stat_t" dataDxfId="148">
      <xmlColumnPr mapId="3" xpath="/ns1:MaterialDisciplines/ns1:t_smpl/ns1:t_smplTable/ns1:stat_t" xmlDataType="string"/>
    </tableColumn>
    <tableColumn id="26" xr3:uid="{00000000-0010-0000-0200-00001A000000}" uniqueName="ns1:witnes_by_cms_uid" name="witnes_by_cms_uid" dataDxfId="147">
      <xmlColumnPr mapId="3" xpath="/ns1:MaterialDisciplines/ns1:t_smpl/ns1:t_smplTable/ns1:witnes_by_cms_uid" xmlDataType="string"/>
    </tableColumn>
    <tableColumn id="27" xr3:uid="{00000000-0010-0000-0200-00001B000000}" uniqueName="ns1:prod_nm" name="prod_nm" dataDxfId="146">
      <xmlColumnPr mapId="3" xpath="/ns1:MaterialDisciplines/ns1:t_smpl/ns1:t_smplTable/ns1:prod_nm" xmlDataType="string"/>
    </tableColumn>
    <tableColumn id="28" xr3:uid="{00000000-0010-0000-0200-00001C000000}" uniqueName="ns1:plant_t" name="plant_t" dataDxfId="145">
      <xmlColumnPr mapId="3" xpath="/ns1:MaterialDisciplines/ns1:t_smpl/ns1:t_smplTable/ns1:plant_t" xmlDataType="string"/>
    </tableColumn>
    <tableColumn id="29" xr3:uid="{00000000-0010-0000-0200-00001D000000}" uniqueName="ns1:revise_smpl_id" name="revise_smpl_id" dataDxfId="144">
      <xmlColumnPr mapId="3" xpath="/ns1:MaterialDisciplines/ns1:t_smpl/ns1:t_smplTable/ns1:revise_smpl_id" xmlDataType="string"/>
    </tableColumn>
    <tableColumn id="30" xr3:uid="{00000000-0010-0000-0200-00001E000000}" uniqueName="ns1:smpl_origin" name="smpl_origin" dataDxfId="143">
      <xmlColumnPr mapId="3" xpath="/ns1:MaterialDisciplines/ns1:t_smpl/ns1:t_smplTable/ns1:smpl_origin" xmlDataType="string"/>
    </tableColumn>
    <tableColumn id="31" xr3:uid="{00000000-0010-0000-0200-00001F000000}" uniqueName="ns1:smpld_fr_txt" name="smpld_fr_txt" dataDxfId="142">
      <xmlColumnPr mapId="3" xpath="/ns1:MaterialDisciplines/ns1:t_smpl/ns1:t_smplTable/ns1:smpld_fr_txt" xmlDataType="string"/>
    </tableColumn>
    <tableColumn id="32" xr3:uid="{00000000-0010-0000-0200-000020000000}" uniqueName="ns1:unt_t" name="unt_t" dataDxfId="141">
      <xmlColumnPr mapId="3" xpath="/ns1:MaterialDisciplines/ns1:t_smpl/ns1:t_smplTable/ns1:unt_t" xmlDataType="string"/>
    </tableColumn>
    <tableColumn id="33" xr3:uid="{00000000-0010-0000-0200-000021000000}" uniqueName="ns1:mnfctr_cd" name="mnfctr_cd" dataDxfId="140">
      <xmlColumnPr mapId="3" xpath="/ns1:MaterialDisciplines/ns1:t_smpl/ns1:t_smplTable/ns1:mnfctr_cd" xmlDataType="string"/>
    </tableColumn>
    <tableColumn id="34" xr3:uid="{00000000-0010-0000-0200-000022000000}" uniqueName="ns1:twn" name="twn" dataDxfId="139">
      <xmlColumnPr mapId="3" xpath="/ns1:MaterialDisciplines/ns1:t_smpl/ns1:t_smplTable/ns1:twn" xmlDataType="string"/>
    </tableColumn>
    <tableColumn id="35" xr3:uid="{00000000-0010-0000-0200-000023000000}" uniqueName="ns1:buy_usa_ind" name="buy_usa_ind" dataDxfId="138">
      <xmlColumnPr mapId="3" xpath="/ns1:MaterialDisciplines/ns1:t_smpl/ns1:t_smplTable/ns1:buy_usa_ind" xmlDataType="string"/>
    </tableColumn>
    <tableColumn id="36" xr3:uid="{00000000-0010-0000-0200-000024000000}" uniqueName="ns1:buy_usa_rqrdmt_t" name="buy_usa_rqrdmt_t" dataDxfId="137">
      <xmlColumnPr mapId="3" xpath="/ns1:MaterialDisciplines/ns1:t_smpl/ns1:t_smplTable/ns1:buy_usa_rqrdmt_t" xmlDataType="string"/>
    </tableColumn>
    <tableColumn id="37" xr3:uid="{00000000-0010-0000-0200-000025000000}" uniqueName="ns1:repr_qty" name="repr_qty" dataDxfId="136">
      <calculatedColumnFormula>'Design Data'!Q12</calculatedColumnFormula>
      <xmlColumnPr mapId="3" xpath="/ns1:MaterialDisciplines/ns1:t_smpl/ns1:t_smplTable/ns1:repr_qty" xmlDataType="string"/>
    </tableColumn>
    <tableColumn id="38" xr3:uid="{00000000-0010-0000-0200-000026000000}" uniqueName="ns1:ref" name="ref" dataDxfId="135">
      <xmlColumnPr mapId="3" xpath="/ns1:MaterialDisciplines/ns1:t_smpl/ns1:t_smplTable/ns1:ref" xmlDataType="string"/>
    </tableColumn>
    <tableColumn id="39" xr3:uid="{00000000-0010-0000-0200-000027000000}" uniqueName="ns1:seal_nbr" name="seal_nbr" dataDxfId="134">
      <xmlColumnPr mapId="3" xpath="/ns1:MaterialDisciplines/ns1:t_smpl/ns1:t_smplTable/ns1:seal_nbr" xmlDataType="string"/>
    </tableColumn>
    <tableColumn id="40" xr3:uid="{00000000-0010-0000-0200-000028000000}" uniqueName="ns1:smpl_sz" name="smpl_sz" dataDxfId="133">
      <xmlColumnPr mapId="3" xpath="/ns1:MaterialDisciplines/ns1:t_smpl/ns1:t_smplTable/ns1:smpl_sz" xmlDataType="string"/>
    </tableColumn>
    <tableColumn id="41" xr3:uid="{00000000-0010-0000-0200-000029000000}" uniqueName="ns1:reqst_by_nm" name="reqst_by_nm" dataDxfId="132">
      <xmlColumnPr mapId="3" xpath="/ns1:MaterialDisciplines/ns1:t_smpl/ns1:t_smplTable/ns1:reqst_by_nm" xmlDataType="string"/>
    </tableColumn>
    <tableColumn id="42" xr3:uid="{00000000-0010-0000-0200-00002A000000}" uniqueName="ns1:std_rmrks_ind" name="std_rmrks_ind" dataDxfId="131">
      <xmlColumnPr mapId="3" xpath="/ns1:MaterialDisciplines/ns1:t_smpl/ns1:t_smplTable/ns1:std_rmrks_ind" xmlDataType="string"/>
    </tableColumn>
    <tableColumn id="43" xr3:uid="{00000000-0010-0000-0200-00002B000000}" uniqueName="ns1:smpl_lock_ind" name="smpl_lock_ind" dataDxfId="130">
      <xmlColumnPr mapId="3" xpath="/ns1:MaterialDisciplines/ns1:t_smpl/ns1:t_smplTable/ns1:smpl_lock_ind" xmlDataType="string"/>
    </tableColumn>
    <tableColumn id="44" xr3:uid="{00000000-0010-0000-0200-00002C000000}" uniqueName="ns1:dstnc_fnsh_grd" name="dstnc_fnsh_grd" dataDxfId="129">
      <xmlColumnPr mapId="3" xpath="/ns1:MaterialDisciplines/ns1:t_smpl/ns1:t_smplTable/ns1:dstnc_fnsh_grd" xmlDataType="string"/>
    </tableColumn>
    <tableColumn id="45" xr3:uid="{00000000-0010-0000-0200-00002D000000}" uniqueName="ns1:dstnc_fnsh_grd_unt" name="dstnc_fnsh_grd_unt" dataDxfId="128">
      <xmlColumnPr mapId="3" xpath="/ns1:MaterialDisciplines/ns1:t_smpl/ns1:t_smplTable/ns1:dstnc_fnsh_grd_unt" xmlDataType="string"/>
    </tableColumn>
    <tableColumn id="46" xr3:uid="{00000000-0010-0000-0200-00002E000000}" uniqueName="ns1:ref_doc" name="ref_doc" dataDxfId="127">
      <xmlColumnPr mapId="3" xpath="/ns1:MaterialDisciplines/ns1:t_smpl/ns1:t_smplTable/ns1:ref_doc" xmlDataType="string"/>
    </tableColumn>
    <tableColumn id="47" xr3:uid="{00000000-0010-0000-0200-00002F000000}" uniqueName="ns1:sz_unt_t" name="sz_unt_t" dataDxfId="126">
      <xmlColumnPr mapId="3" xpath="/ns1:MaterialDisciplines/ns1:t_smpl/ns1:t_smplTable/ns1:sz_unt_t" xmlDataType="string"/>
    </tableColumn>
    <tableColumn id="48" xr3:uid="{00000000-0010-0000-0200-000030000000}" uniqueName="ns1:lock_type" name="lock_type" dataDxfId="125">
      <xmlColumnPr mapId="3" xpath="/ns1:MaterialDisciplines/ns1:t_smpl/ns1:t_smplTable/ns1:lock_type" xmlDataType="string"/>
    </tableColumn>
    <tableColumn id="49" xr3:uid="{00000000-0010-0000-0200-000031000000}" uniqueName="ns1:locked_by" name="locked_by" dataDxfId="124">
      <xmlColumnPr mapId="3" xpath="/ns1:MaterialDisciplines/ns1:t_smpl/ns1:t_smplTable/ns1:locked_by" xmlDataType="string"/>
    </tableColumn>
    <tableColumn id="50" xr3:uid="{00000000-0010-0000-0200-000032000000}" uniqueName="ns1:lock_dt" name="lock_dt" dataDxfId="123">
      <xmlColumnPr mapId="3" xpath="/ns1:MaterialDisciplines/ns1:t_smpl/ns1:t_smplTable/ns1:lock_dt" xmlDataType="string"/>
    </tableColumn>
    <tableColumn id="51" xr3:uid="{00000000-0010-0000-0200-000033000000}" uniqueName="ns1:lev1_office_ind" name="lev1_office_ind" dataDxfId="122">
      <xmlColumnPr mapId="3" xpath="/ns1:MaterialDisciplines/ns1:t_smpl/ns1:t_smplTable/ns1:lev1_office_ind" xmlDataType="string"/>
    </tableColumn>
    <tableColumn id="52" xr3:uid="{00000000-0010-0000-0200-000034000000}" uniqueName="ns1:lev2_office_nbr" name="lev2_office_nbr" dataDxfId="121">
      <xmlColumnPr mapId="3" xpath="/ns1:MaterialDisciplines/ns1:t_smpl/ns1:t_smplTable/ns1:lev2_office_nbr" xmlDataType="string"/>
    </tableColumn>
    <tableColumn id="53" xr3:uid="{00000000-0010-0000-0200-000035000000}" uniqueName="ns1:lev3_office_nbr" name="lev3_office_nbr" dataDxfId="120">
      <xmlColumnPr mapId="3" xpath="/ns1:MaterialDisciplines/ns1:t_smpl/ns1:t_smplTable/ns1:lev3_office_nbr" xmlDataType="string"/>
    </tableColumn>
    <tableColumn id="54" xr3:uid="{00000000-0010-0000-0200-000036000000}" uniqueName="ns1:lev4_office_nbr" name="lev4_office_nbr" dataDxfId="119">
      <xmlColumnPr mapId="3" xpath="/ns1:MaterialDisciplines/ns1:t_smpl/ns1:t_smplTable/ns1:lev4_office_nbr" xmlDataType="string"/>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List1" displayName="List1_3" ref="B7:H8" tableType="xml" totalsRowShown="0" headerRowDxfId="118" dataDxfId="117">
  <autoFilter ref="B7:H8" xr:uid="{00000000-0009-0000-0100-000003000000}"/>
  <tableColumns count="7">
    <tableColumn id="1" xr3:uid="{00000000-0010-0000-0300-000001000000}" uniqueName="ns1:smpl_id" name="smpl_id" dataDxfId="116">
      <calculatedColumnFormula>'Design Data'!C10</calculatedColumnFormula>
      <xmlColumnPr mapId="3" xpath="/ns1:MaterialDisciplines/ns1:t_cont_smpl/ns1:t_cont_smplTable/ns1:smpl_id" xmlDataType="string"/>
    </tableColumn>
    <tableColumn id="2" xr3:uid="{00000000-0010-0000-0300-000002000000}" uniqueName="ns1:cont_id" name="cont_id" dataDxfId="115">
      <calculatedColumnFormula>'Design Data'!C8</calculatedColumnFormula>
      <xmlColumnPr mapId="3" xpath="/ns1:MaterialDisciplines/ns1:t_cont_smpl/ns1:t_cont_smplTable/ns1:cont_id" xmlDataType="string"/>
    </tableColumn>
    <tableColumn id="3" xr3:uid="{00000000-0010-0000-0300-000003000000}" uniqueName="ns1:prj_nbr" name="prj_nbr" dataDxfId="114">
      <xmlColumnPr mapId="3" xpath="/ns1:MaterialDisciplines/ns1:t_cont_smpl/ns1:t_cont_smplTable/ns1:prj_nbr" xmlDataType="string"/>
    </tableColumn>
    <tableColumn id="4" xr3:uid="{00000000-0010-0000-0300-000004000000}" uniqueName="ns1:ln_itm_nbr" name="ln_itm_nbr" dataDxfId="113">
      <xmlColumnPr mapId="3" xpath="/ns1:MaterialDisciplines/ns1:t_cont_smpl/ns1:t_cont_smplTable/ns1:ln_itm_nbr" xmlDataType="string"/>
    </tableColumn>
    <tableColumn id="5" xr3:uid="{00000000-0010-0000-0300-000005000000}" uniqueName="ns1:repr_qty" name="repr_qty" dataDxfId="112">
      <xmlColumnPr mapId="3" xpath="/ns1:MaterialDisciplines/ns1:t_cont_smpl/ns1:t_cont_smplTable/ns1:repr_qty" xmlDataType="string"/>
    </tableColumn>
    <tableColumn id="6" xr3:uid="{00000000-0010-0000-0300-000006000000}" uniqueName="ns1:last_modfd_uid" name="last_modfd_uid" dataDxfId="111">
      <calculatedColumnFormula>'Design Data'!S82</calculatedColumnFormula>
      <xmlColumnPr mapId="3" xpath="/ns1:MaterialDisciplines/ns1:t_cont_smpl/ns1:t_cont_smplTable/ns1:last_modfd_uid" xmlDataType="string"/>
    </tableColumn>
    <tableColumn id="7" xr3:uid="{00000000-0010-0000-0300-000007000000}" uniqueName="ns1:last_modfd_dt" name="last_modfd_dt" dataDxfId="110">
      <xmlColumnPr mapId="3" xpath="/ns1:MaterialDisciplines/ns1:t_cont_smpl/ns1:t_cont_smplTable/ns1:last_modfd_dt" xmlDataType="string"/>
    </tableColumn>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List1" displayName="List1_4" ref="B7:G8" tableType="xml" totalsRowShown="0" headerRowDxfId="109">
  <autoFilter ref="B7:G8" xr:uid="{00000000-0009-0000-0100-000004000000}"/>
  <tableColumns count="6">
    <tableColumn id="1" xr3:uid="{00000000-0010-0000-0400-000001000000}" uniqueName="ns1:rmrks_id" name="rmrks_id" dataDxfId="108">
      <calculatedColumnFormula>IF(E8=0,"",CONCATENATE('Design Data'!S82,TEXT(NOW(),"yyyymmddhhmmss"),RIGHT('Design Data'!C10,4)))</calculatedColumnFormula>
      <xmlColumnPr mapId="3" xpath="/ns1:MaterialDisciplines/ns1:t_rmrks_dtl/ns1:t_rmrks_dtlTable/ns1:rmrks_id" xmlDataType="string"/>
    </tableColumn>
    <tableColumn id="2" xr3:uid="{00000000-0010-0000-0400-000002000000}" uniqueName="ns1:rmrks_t" name="rmrks_t" dataDxfId="107">
      <xmlColumnPr mapId="3" xpath="/ns1:MaterialDisciplines/ns1:t_rmrks_dtl/ns1:t_rmrks_dtlTable/ns1:rmrks_t" xmlDataType="string"/>
    </tableColumn>
    <tableColumn id="3" xr3:uid="{00000000-0010-0000-0400-000003000000}" uniqueName="ns1:rmrks_sn" name="rmrks_sn" dataDxfId="106">
      <xmlColumnPr mapId="3" xpath="/ns1:MaterialDisciplines/ns1:t_rmrks_dtl/ns1:t_rmrks_dtlTable/ns1:rmrks_sn" xmlDataType="string"/>
    </tableColumn>
    <tableColumn id="4" xr3:uid="{00000000-0010-0000-0400-000004000000}" uniqueName="ns1:rmrks_txt_fld" name="rmrks_txt_fld" dataDxfId="105">
      <calculatedColumnFormula>'Design Data'!A121</calculatedColumnFormula>
      <xmlColumnPr mapId="3" xpath="/ns1:MaterialDisciplines/ns1:t_rmrks_dtl/ns1:t_rmrks_dtlTable/ns1:rmrks_txt_fld" xmlDataType="string"/>
    </tableColumn>
    <tableColumn id="5" xr3:uid="{00000000-0010-0000-0400-000005000000}" uniqueName="ns1:last_modfd_uid" name="last_modfd_uid" dataDxfId="104">
      <calculatedColumnFormula>'Design Data'!S82</calculatedColumnFormula>
      <xmlColumnPr mapId="3" xpath="/ns1:MaterialDisciplines/ns1:t_rmrks_dtl/ns1:t_rmrks_dtlTable/ns1:last_modfd_uid" xmlDataType="string"/>
    </tableColumn>
    <tableColumn id="6" xr3:uid="{00000000-0010-0000-0400-000006000000}" uniqueName="ns1:last_modfd_dt" name="last_modfd_dt" dataDxfId="103">
      <xmlColumnPr mapId="3" xpath="/ns1:MaterialDisciplines/ns1:t_rmrks_dtl/ns1:t_rmrks_dtlTable/ns1:last_modfd_dt" xmlDataType="string"/>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List1" displayName="List1_5" ref="B7:K8" tableType="xml" totalsRowShown="0" headerRowDxfId="102" dataDxfId="100" headerRowBorderDxfId="101" tableBorderDxfId="99" totalsRowBorderDxfId="98">
  <autoFilter ref="B7:K8" xr:uid="{00000000-0009-0000-0100-000005000000}"/>
  <tableColumns count="10">
    <tableColumn id="1" xr3:uid="{00000000-0010-0000-0500-000001000000}" uniqueName="ns1:smpl_id" name="smpl_id" dataDxfId="97">
      <calculatedColumnFormula>'Design Data'!C10</calculatedColumnFormula>
      <xmlColumnPr mapId="3" xpath="/ns1:MaterialDisciplines/ns1:t_smpl_tst/ns1:t_smpl_tstTable/ns1:smpl_id" xmlDataType="string"/>
    </tableColumn>
    <tableColumn id="2" xr3:uid="{00000000-0010-0000-0500-000002000000}" uniqueName="ns1:tst_meth" name="tst_meth" dataDxfId="96">
      <xmlColumnPr mapId="3" xpath="/ns1:MaterialDisciplines/ns1:t_smpl_tst/ns1:t_smpl_tstTable/ns1:tst_meth" xmlDataType="string"/>
    </tableColumn>
    <tableColumn id="3" xr3:uid="{00000000-0010-0000-0500-000003000000}" uniqueName="ns1:smpl_tst_nbr" name="smpl_tst_nbr" dataDxfId="95">
      <xmlColumnPr mapId="3" xpath="/ns1:MaterialDisciplines/ns1:t_smpl_tst/ns1:t_smpl_tstTable/ns1:smpl_tst_nbr" xmlDataType="string"/>
    </tableColumn>
    <tableColumn id="4" xr3:uid="{00000000-0010-0000-0500-000004000000}" uniqueName="ns1:lab_id" name="lab_id" dataDxfId="94">
      <calculatedColumnFormula>'Design Data'!H12</calculatedColumnFormula>
      <xmlColumnPr mapId="3" xpath="/ns1:MaterialDisciplines/ns1:t_smpl_tst/ns1:t_smpl_tstTable/ns1:lab_id" xmlDataType="string"/>
    </tableColumn>
    <tableColumn id="5" xr3:uid="{00000000-0010-0000-0500-000005000000}" uniqueName="ns1:chrg_amt" name="chrg_amt" dataDxfId="93">
      <calculatedColumnFormula>ROUND('Chart Data'!T15,2)</calculatedColumnFormula>
      <xmlColumnPr mapId="3" xpath="/ns1:MaterialDisciplines/ns1:t_smpl_tst/ns1:t_smpl_tstTable/ns1:chrg_amt" xmlDataType="string"/>
    </tableColumn>
    <tableColumn id="6" xr3:uid="{00000000-0010-0000-0500-000006000000}" uniqueName="ns1:strt_dt" name="strt_dt" dataDxfId="92">
      <calculatedColumnFormula>'Design Data'!H14</calculatedColumnFormula>
      <xmlColumnPr mapId="3" xpath="/ns1:MaterialDisciplines/ns1:t_smpl_tst/ns1:t_smpl_tstTable/ns1:strt_dt" xmlDataType="string"/>
    </tableColumn>
    <tableColumn id="7" xr3:uid="{00000000-0010-0000-0500-000007000000}" uniqueName="ns1:est_cmpl_dt" name="est_cmpl_dt" dataDxfId="91">
      <calculatedColumnFormula>'Design Data'!H86</calculatedColumnFormula>
      <xmlColumnPr mapId="3" xpath="/ns1:MaterialDisciplines/ns1:t_smpl_tst/ns1:t_smpl_tstTable/ns1:est_cmpl_dt" xmlDataType="string"/>
    </tableColumn>
    <tableColumn id="8" xr3:uid="{00000000-0010-0000-0500-000008000000}" uniqueName="ns1:actl_cmpl_dt" name="actl_cmpl_dt" dataDxfId="90">
      <calculatedColumnFormula>'Design Data'!H16</calculatedColumnFormula>
      <xmlColumnPr mapId="3" xpath="/ns1:MaterialDisciplines/ns1:t_smpl_tst/ns1:t_smpl_tstTable/ns1:actl_cmpl_dt" xmlDataType="string"/>
    </tableColumn>
    <tableColumn id="9" xr3:uid="{00000000-0010-0000-0500-000009000000}" uniqueName="ns1:last_modfd_uid" name="last_modfd_uid" dataDxfId="89">
      <calculatedColumnFormula>'Design Data'!S82</calculatedColumnFormula>
      <xmlColumnPr mapId="3" xpath="/ns1:MaterialDisciplines/ns1:t_smpl_tst/ns1:t_smpl_tstTable/ns1:last_modfd_uid" xmlDataType="string"/>
    </tableColumn>
    <tableColumn id="10" xr3:uid="{00000000-0010-0000-0500-00000A000000}" uniqueName="ns1:last_modfd_dt" name="last_modfd_dt" dataDxfId="88">
      <xmlColumnPr mapId="3" xpath="/ns1:MaterialDisciplines/ns1:t_smpl_tst/ns1:t_smpl_tstTable/ns1:last_modfd_dt" xmlDataType="string"/>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List1" displayName="List1_6" ref="B7:G8" tableType="xml" totalsRowShown="0" headerRowDxfId="87" headerRowBorderDxfId="86" tableBorderDxfId="85" totalsRowBorderDxfId="84">
  <autoFilter ref="B7:G8" xr:uid="{00000000-0009-0000-0100-000006000000}"/>
  <tableColumns count="6">
    <tableColumn id="1" xr3:uid="{00000000-0010-0000-0600-000001000000}" uniqueName="ns1:smpl_id" name="smpl_id" dataDxfId="83">
      <calculatedColumnFormula>'Design Data'!C10</calculatedColumnFormula>
      <xmlColumnPr mapId="3" xpath="/ns1:MaterialDisciplines/ns1:t_smpl_tstr/ns1:t_smpl_tstrTable/ns1:smpl_id" xmlDataType="string"/>
    </tableColumn>
    <tableColumn id="2" xr3:uid="{00000000-0010-0000-0600-000002000000}" uniqueName="ns1:tst_meth" name="tst_meth" dataDxfId="82">
      <xmlColumnPr mapId="3" xpath="/ns1:MaterialDisciplines/ns1:t_smpl_tstr/ns1:t_smpl_tstrTable/ns1:tst_meth" xmlDataType="string"/>
    </tableColumn>
    <tableColumn id="3" xr3:uid="{00000000-0010-0000-0600-000003000000}" uniqueName="ns1:smpl_tst_nbr" name="smpl_tst_nbr" dataDxfId="81">
      <xmlColumnPr mapId="3" xpath="/ns1:MaterialDisciplines/ns1:t_smpl_tstr/ns1:t_smpl_tstrTable/ns1:smpl_tst_nbr" xmlDataType="string"/>
    </tableColumn>
    <tableColumn id="4" xr3:uid="{00000000-0010-0000-0600-000004000000}" uniqueName="ns1:tst_id" name="tst_id" dataDxfId="80">
      <calculatedColumnFormula>'Design Data'!K16</calculatedColumnFormula>
      <xmlColumnPr mapId="3" xpath="/ns1:MaterialDisciplines/ns1:t_smpl_tstr/ns1:t_smpl_tstrTable/ns1:tst_id" xmlDataType="string"/>
    </tableColumn>
    <tableColumn id="5" xr3:uid="{00000000-0010-0000-0600-000005000000}" uniqueName="ns1:last_modfd_uid" name="last_modfd_uid" dataDxfId="79">
      <calculatedColumnFormula>'Design Data'!S82</calculatedColumnFormula>
      <xmlColumnPr mapId="3" xpath="/ns1:MaterialDisciplines/ns1:t_smpl_tstr/ns1:t_smpl_tstrTable/ns1:last_modfd_uid" xmlDataType="string"/>
    </tableColumn>
    <tableColumn id="6" xr3:uid="{00000000-0010-0000-0600-000006000000}" uniqueName="ns1:last_modfd_dt" name="last_modfd_dt" dataDxfId="78">
      <xmlColumnPr mapId="3" xpath="/ns1:MaterialDisciplines/ns1:t_smpl_tstr/ns1:t_smpl_tstrTable/ns1:last_modfd_dt" xmlDataType="string"/>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7000000}" name="List1" displayName="List1_7" ref="B7:H8" tableType="xml" totalsRowShown="0" headerRowDxfId="77" dataDxfId="75" headerRowBorderDxfId="76" tableBorderDxfId="74" totalsRowBorderDxfId="73">
  <autoFilter ref="B7:H8" xr:uid="{00000000-0009-0000-0100-000007000000}"/>
  <tableColumns count="7">
    <tableColumn id="1" xr3:uid="{00000000-0010-0000-0700-000001000000}" uniqueName="ns1:smpl_id" name="smpl_id" dataDxfId="72">
      <calculatedColumnFormula>'Design Data'!C10</calculatedColumnFormula>
      <xmlColumnPr mapId="3" xpath="/ns1:MaterialDisciplines/ns1:t_tst_rslt_hdr/ns1:t_tst_rslt_hdrTable/ns1:smpl_id" xmlDataType="string"/>
    </tableColumn>
    <tableColumn id="2" xr3:uid="{00000000-0010-0000-0700-000002000000}" uniqueName="ns1:tst_meth" name="tst_meth" dataDxfId="71">
      <xmlColumnPr mapId="3" xpath="/ns1:MaterialDisciplines/ns1:t_tst_rslt_hdr/ns1:t_tst_rslt_hdrTable/ns1:tst_meth" xmlDataType="string"/>
    </tableColumn>
    <tableColumn id="3" xr3:uid="{00000000-0010-0000-0700-000003000000}" uniqueName="ns1:smpl_tst_nbr" name="smpl_tst_nbr" dataDxfId="70">
      <xmlColumnPr mapId="3" xpath="/ns1:MaterialDisciplines/ns1:t_tst_rslt_hdr/ns1:t_tst_rslt_hdrTable/ns1:smpl_tst_nbr" xmlDataType="string"/>
    </tableColumn>
    <tableColumn id="4" xr3:uid="{00000000-0010-0000-0700-000004000000}" uniqueName="ns1:rmrks_id" name="rmrks_id" dataDxfId="69">
      <xmlColumnPr mapId="3" xpath="/ns1:MaterialDisciplines/ns1:t_tst_rslt_hdr/ns1:t_tst_rslt_hdrTable/ns1:rmrks_id" xmlDataType="string"/>
    </tableColumn>
    <tableColumn id="5" xr3:uid="{00000000-0010-0000-0700-000005000000}" uniqueName="ns1:effdt" name="effdt" dataDxfId="68">
      <xmlColumnPr mapId="3" xpath="/ns1:MaterialDisciplines/ns1:t_tst_rslt_hdr/ns1:t_tst_rslt_hdrTable/ns1:effdt" xmlDataType="string"/>
    </tableColumn>
    <tableColumn id="6" xr3:uid="{00000000-0010-0000-0700-000006000000}" uniqueName="ns1:last_modfd_dt" name="last_modfd_dt" dataDxfId="67">
      <xmlColumnPr mapId="3" xpath="/ns1:MaterialDisciplines/ns1:t_tst_rslt_hdr/ns1:t_tst_rslt_hdrTable/ns1:last_modfd_dt" xmlDataType="string"/>
    </tableColumn>
    <tableColumn id="7" xr3:uid="{00000000-0010-0000-0700-000007000000}" uniqueName="ns1:last_modfd_uid" name="last_modfd_uid" dataDxfId="66">
      <calculatedColumnFormula>'Design Data'!S82</calculatedColumnFormula>
      <xmlColumnPr mapId="3" xpath="/ns1:MaterialDisciplines/ns1:t_tst_rslt_hdr/ns1:t_tst_rslt_hdrTable/ns1:last_modfd_uid" xmlDataType="string"/>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List1_810" displayName="List1_810" ref="B7:I342" tableType="xml" totalsRowShown="0" headerRowDxfId="65" headerRowBorderDxfId="64" tableBorderDxfId="63">
  <autoFilter ref="B7:I342" xr:uid="{00000000-0009-0000-0100-000009000000}"/>
  <tableColumns count="8">
    <tableColumn id="1" xr3:uid="{00000000-0010-0000-0800-000001000000}" uniqueName="ns1:smpl_id" name="smpl_id" dataDxfId="62">
      <calculatedColumnFormula>B7</calculatedColumnFormula>
      <xmlColumnPr mapId="3" xpath="/ns1:MaterialDisciplines/ns1:t_tst_rslt_dtl/ns1:t_tst_rslt_dtlTable/ns1:smpl_id" xmlDataType="string"/>
    </tableColumn>
    <tableColumn id="2" xr3:uid="{00000000-0010-0000-0800-000002000000}" uniqueName="ns1:tst_meth" name="tst_meth" dataDxfId="61">
      <calculatedColumnFormula>C7</calculatedColumnFormula>
      <xmlColumnPr mapId="3" xpath="/ns1:MaterialDisciplines/ns1:t_tst_rslt_dtl/ns1:t_tst_rslt_dtlTable/ns1:tst_meth" xmlDataType="string"/>
    </tableColumn>
    <tableColumn id="3" xr3:uid="{00000000-0010-0000-0800-000003000000}" uniqueName="ns1:smpl_tst_nbr" name="smpl_tst_nbr" dataDxfId="60">
      <calculatedColumnFormula>D7</calculatedColumnFormula>
      <xmlColumnPr mapId="3" xpath="/ns1:MaterialDisciplines/ns1:t_tst_rslt_dtl/ns1:t_tst_rslt_dtlTable/ns1:smpl_tst_nbr" xmlDataType="string"/>
    </tableColumn>
    <tableColumn id="4" xr3:uid="{00000000-0010-0000-0800-000004000000}" uniqueName="ns1:tst_fld_sn" name="tst_fld_sn" dataDxfId="59">
      <xmlColumnPr mapId="3" xpath="/ns1:MaterialDisciplines/ns1:t_tst_rslt_dtl/ns1:t_tst_rslt_dtlTable/ns1:tst_fld_sn" xmlDataType="string"/>
    </tableColumn>
    <tableColumn id="5" xr3:uid="{00000000-0010-0000-0800-000005000000}" uniqueName="ns1:tst_strg_fld_val" name="tst_strg_fld_val" dataDxfId="58">
      <xmlColumnPr mapId="3" xpath="/ns1:MaterialDisciplines/ns1:t_tst_rslt_dtl/ns1:t_tst_rslt_dtlTable/ns1:tst_strg_fld_val" xmlDataType="string"/>
    </tableColumn>
    <tableColumn id="6" xr3:uid="{00000000-0010-0000-0800-000006000000}" uniqueName="ns1:tst_numrc_fld_val" name="tst_numrc_fld_val" dataDxfId="57">
      <xmlColumnPr mapId="3" xpath="/ns1:MaterialDisciplines/ns1:t_tst_rslt_dtl/ns1:t_tst_rslt_dtlTable/ns1:tst_numrc_fld_val" xmlDataType="string"/>
    </tableColumn>
    <tableColumn id="7" xr3:uid="{00000000-0010-0000-0800-000007000000}" uniqueName="ns1:last_modfd_uid" name="last_modfd_uid" dataDxfId="56">
      <calculatedColumnFormula>H7</calculatedColumnFormula>
      <xmlColumnPr mapId="3" xpath="/ns1:MaterialDisciplines/ns1:t_tst_rslt_dtl/ns1:t_tst_rslt_dtlTable/ns1:last_modfd_uid" xmlDataType="string"/>
    </tableColumn>
    <tableColumn id="8" xr3:uid="{00000000-0010-0000-0800-000008000000}" uniqueName="ns1:last_modfd_dt" name="last_modfd_dt" dataDxfId="55">
      <xmlColumnPr mapId="3" xpath="/ns1:MaterialDisciplines/ns1:t_tst_rslt_dtl/ns1:t_tst_rslt_dtlTable/ns1:last_modfd_dt" xmlDataType="string"/>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List1" displayName="List1_9" ref="B7:AJ8" tableType="xml" totalsRowShown="0" headerRowDxfId="54" dataDxfId="52" headerRowBorderDxfId="53" tableBorderDxfId="51" totalsRowBorderDxfId="50">
  <autoFilter ref="B7:AJ8" xr:uid="{00000000-0009-0000-0100-00000B000000}"/>
  <tableColumns count="35">
    <tableColumn id="1" xr3:uid="{00000000-0010-0000-0900-000001000000}" uniqueName="ns1:mix_id" name="mix_id" dataDxfId="49">
      <calculatedColumnFormula>'Design Data'!H10</calculatedColumnFormula>
      <xmlColumnPr mapId="3" xpath="/ns1:MaterialDisciplines/ns1:t_superpave/ns1:t_superpaveTable/ns1:mix_id" xmlDataType="string"/>
    </tableColumn>
    <tableColumn id="2" xr3:uid="{00000000-0010-0000-0900-000002000000}" uniqueName="ns1:dsn_t" name="dsn_t" dataDxfId="48">
      <xmlColumnPr mapId="3" xpath="/ns1:MaterialDisciplines/ns1:t_superpave/ns1:t_superpaveTable/ns1:dsn_t" xmlDataType="string"/>
    </tableColumn>
    <tableColumn id="3" xr3:uid="{00000000-0010-0000-0900-000003000000}" uniqueName="ns1:matl_cd" name="matl_cd" dataDxfId="47">
      <calculatedColumnFormula>'Design Data'!Q16</calculatedColumnFormula>
      <xmlColumnPr mapId="3" xpath="/ns1:MaterialDisciplines/ns1:t_superpave/ns1:t_superpaveTable/ns1:matl_cd" xmlDataType="string"/>
    </tableColumn>
    <tableColumn id="4" xr3:uid="{00000000-0010-0000-0900-000004000000}" uniqueName="ns1:prodr_supp_cd" name="prodr_supp_cd" dataDxfId="46">
      <calculatedColumnFormula>'Design Data'!Q14</calculatedColumnFormula>
      <xmlColumnPr mapId="3" xpath="/ns1:MaterialDisciplines/ns1:t_superpave/ns1:t_superpaveTable/ns1:prodr_supp_cd" xmlDataType="string"/>
    </tableColumn>
    <tableColumn id="5" xr3:uid="{00000000-0010-0000-0900-000005000000}" uniqueName="ns1:dsnr_nm" name="dsnr_nm" dataDxfId="45">
      <calculatedColumnFormula>'Design Data'!K16</calculatedColumnFormula>
      <xmlColumnPr mapId="3" xpath="/ns1:MaterialDisciplines/ns1:t_superpave/ns1:t_superpaveTable/ns1:dsnr_nm" xmlDataType="string"/>
    </tableColumn>
    <tableColumn id="6" xr3:uid="{00000000-0010-0000-0900-000006000000}" uniqueName="ns1:asph_cem_t" name="asph_cem_t" dataDxfId="44">
      <calculatedColumnFormula>'Chart Data'!E48</calculatedColumnFormula>
      <xmlColumnPr mapId="3" xpath="/ns1:MaterialDisciplines/ns1:t_superpave/ns1:t_superpaveTable/ns1:asph_cem_t" xmlDataType="string"/>
    </tableColumn>
    <tableColumn id="7" xr3:uid="{00000000-0010-0000-0900-000007000000}" uniqueName="ns1:mix_dsn_txt_t" name="mix_dsn_txt_t" dataDxfId="43">
      <calculatedColumnFormula>'Chart Data'!M48</calculatedColumnFormula>
      <xmlColumnPr mapId="3" xpath="/ns1:MaterialDisciplines/ns1:t_superpave/ns1:t_superpaveTable/ns1:mix_dsn_txt_t" xmlDataType="string"/>
    </tableColumn>
    <tableColumn id="8" xr3:uid="{00000000-0010-0000-0900-000008000000}" uniqueName="ns1:effdt" name="effdt" dataDxfId="42">
      <calculatedColumnFormula>'Design Data'!H16</calculatedColumnFormula>
      <xmlColumnPr mapId="3" xpath="/ns1:MaterialDisciplines/ns1:t_superpave/ns1:t_superpaveTable/ns1:effdt" xmlDataType="string"/>
    </tableColumn>
    <tableColumn id="9" xr3:uid="{00000000-0010-0000-0900-000009000000}" uniqueName="ns1:term_dt" name="term_dt" dataDxfId="41">
      <xmlColumnPr mapId="3" xpath="/ns1:MaterialDisciplines/ns1:t_superpave/ns1:t_superpaveTable/ns1:term_dt" xmlDataType="string"/>
    </tableColumn>
    <tableColumn id="10" xr3:uid="{00000000-0010-0000-0900-00000A000000}" uniqueName="ns1:apprd_dt" name="apprd_dt" dataDxfId="40">
      <calculatedColumnFormula>'Design Data'!H16</calculatedColumnFormula>
      <xmlColumnPr mapId="3" xpath="/ns1:MaterialDisciplines/ns1:t_superpave/ns1:t_superpaveTable/ns1:apprd_dt" xmlDataType="string"/>
    </tableColumn>
    <tableColumn id="11" xr3:uid="{00000000-0010-0000-0900-00000B000000}" uniqueName="ns1:apprd_by_uid" name="apprd_by_uid" dataDxfId="39">
      <calculatedColumnFormula>IF('Design Data'!S82="","",'Design Data'!S82)</calculatedColumnFormula>
      <xmlColumnPr mapId="3" xpath="/ns1:MaterialDisciplines/ns1:t_superpave/ns1:t_superpaveTable/ns1:apprd_by_uid" xmlDataType="string"/>
    </tableColumn>
    <tableColumn id="12" xr3:uid="{00000000-0010-0000-0900-00000C000000}" uniqueName="ns1:init_n_dnsty_m" name="init_n_dnsty_m" dataDxfId="38">
      <calculatedColumnFormula>'Design Data'!Q87</calculatedColumnFormula>
      <xmlColumnPr mapId="3" xpath="/ns1:MaterialDisciplines/ns1:t_superpave/ns1:t_superpaveTable/ns1:init_n_dnsty_m" xmlDataType="string"/>
    </tableColumn>
    <tableColumn id="13" xr3:uid="{00000000-0010-0000-0900-00000D000000}" uniqueName="ns1:max_n_dnsty_m" name="max_n_dnsty_m" dataDxfId="37">
      <calculatedColumnFormula>'Design Data'!Q89</calculatedColumnFormula>
      <xmlColumnPr mapId="3" xpath="/ns1:MaterialDisciplines/ns1:t_superpave/ns1:t_superpaveTable/ns1:max_n_dnsty_m" xmlDataType="string"/>
    </tableColumn>
    <tableColumn id="14" xr3:uid="{00000000-0010-0000-0900-00000E000000}" uniqueName="ns1:dsn_n_dnsty_m" name="dsn_n_dnsty_m" dataDxfId="36">
      <calculatedColumnFormula>'Design Data'!Q88</calculatedColumnFormula>
      <xmlColumnPr mapId="3" xpath="/ns1:MaterialDisciplines/ns1:t_superpave/ns1:t_superpaveTable/ns1:dsn_n_dnsty_m" xmlDataType="string"/>
    </tableColumn>
    <tableColumn id="15" xr3:uid="{00000000-0010-0000-0900-00000F000000}" uniqueName="ns1:init_n_gmm_p" name="init_n_gmm_p" dataDxfId="35">
      <calculatedColumnFormula>IF('Design Data'!O59="","",ROUND('Design Data'!O59,1))</calculatedColumnFormula>
      <xmlColumnPr mapId="3" xpath="/ns1:MaterialDisciplines/ns1:t_superpave/ns1:t_superpaveTable/ns1:init_n_gmm_p" xmlDataType="string"/>
    </tableColumn>
    <tableColumn id="16" xr3:uid="{00000000-0010-0000-0900-000010000000}" uniqueName="ns1:max_n_gmm_p" name="max_n_gmm_p" dataDxfId="34">
      <calculatedColumnFormula>IF('Design Data'!O60="","",ROUND('Design Data'!O60,1))</calculatedColumnFormula>
      <xmlColumnPr mapId="3" xpath="/ns1:MaterialDisciplines/ns1:t_superpave/ns1:t_superpaveTable/ns1:max_n_gmm_p" xmlDataType="string"/>
    </tableColumn>
    <tableColumn id="17" xr3:uid="{00000000-0010-0000-0900-000011000000}" uniqueName="ns1:esals_nbr" name="esals_nbr" dataDxfId="33">
      <calculatedColumnFormula>IF('Design Data'!H20="N/A",0,IF('Design Data'!H20=" ",0,'Design Data'!H20))</calculatedColumnFormula>
      <xmlColumnPr mapId="3" xpath="/ns1:MaterialDisciplines/ns1:t_superpave/ns1:t_superpaveTable/ns1:esals_nbr" xmlDataType="string"/>
    </tableColumn>
    <tableColumn id="18" xr3:uid="{00000000-0010-0000-0900-000012000000}" uniqueName="ns1:opt_ac_pct_tot_wt" name="opt_ac_pct_tot_wt" dataDxfId="32">
      <calculatedColumnFormula>IF('Design Data'!O63="",0,ROUND('Design Data'!O63,1))</calculatedColumnFormula>
      <xmlColumnPr mapId="3" xpath="/ns1:MaterialDisciplines/ns1:t_superpave/ns1:t_superpaveTable/ns1:opt_ac_pct_tot_wt" xmlDataType="string"/>
    </tableColumn>
    <tableColumn id="19" xr3:uid="{00000000-0010-0000-0900-000013000000}" uniqueName="ns1:dust_proprtn_p" name="dust_proprtn_p" dataDxfId="31">
      <calculatedColumnFormula>IF('Design Data'!O58="","",ROUND('Design Data'!O58,1))</calculatedColumnFormula>
      <xmlColumnPr mapId="3" xpath="/ns1:MaterialDisciplines/ns1:t_superpave/ns1:t_superpaveTable/ns1:dust_proprtn_p" xmlDataType="string"/>
    </tableColumn>
    <tableColumn id="20" xr3:uid="{00000000-0010-0000-0900-000014000000}" uniqueName="ns1:vma_p" name="vma_p" dataDxfId="30">
      <calculatedColumnFormula>IF('Design Data'!O57="","",ROUND('Design Data'!O57,1))</calculatedColumnFormula>
      <xmlColumnPr mapId="3" xpath="/ns1:MaterialDisciplines/ns1:t_superpave/ns1:t_superpaveTable/ns1:vma_p" xmlDataType="string"/>
    </tableColumn>
    <tableColumn id="21" xr3:uid="{00000000-0010-0000-0900-000015000000}" uniqueName="ns1:vfa_p" name="vfa_p" dataDxfId="29">
      <calculatedColumnFormula>IF('Design Data'!O56="","",ROUND('Design Data'!O56,1))</calculatedColumnFormula>
      <xmlColumnPr mapId="3" xpath="/ns1:MaterialDisciplines/ns1:t_superpave/ns1:t_superpaveTable/ns1:vfa_p" xmlDataType="string"/>
    </tableColumn>
    <tableColumn id="22" xr3:uid="{00000000-0010-0000-0900-000016000000}" uniqueName="ns1:lotmn_tsr_m" name="lotmn_tsr_m" dataDxfId="28">
      <calculatedColumnFormula>IF('Design Data'!O72="","",ROUND('Design Data'!O72,0))</calculatedColumnFormula>
      <xmlColumnPr mapId="3" xpath="/ns1:MaterialDisciplines/ns1:t_superpave/ns1:t_superpaveTable/ns1:lotmn_tsr_m" xmlDataType="string"/>
    </tableColumn>
    <tableColumn id="23" xr3:uid="{00000000-0010-0000-0900-000017000000}" uniqueName="ns1:sand_equiv_tst" name="sand_equiv_tst" dataDxfId="27">
      <calculatedColumnFormula>ROUND('Design Data'!O55,0)</calculatedColumnFormula>
      <xmlColumnPr mapId="3" xpath="/ns1:MaterialDisciplines/ns1:t_superpave/ns1:t_superpaveTable/ns1:sand_equiv_tst" xmlDataType="string"/>
    </tableColumn>
    <tableColumn id="24" xr3:uid="{00000000-0010-0000-0900-000018000000}" uniqueName="ns1:max_spc_gr" name="max_spc_gr" dataDxfId="26">
      <calculatedColumnFormula>IF('Design Data'!O65="",0,ROUND('Design Data'!O65,3))</calculatedColumnFormula>
      <xmlColumnPr mapId="3" xpath="/ns1:MaterialDisciplines/ns1:t_superpave/ns1:t_superpaveTable/ns1:max_spc_gr" xmlDataType="string"/>
    </tableColumn>
    <tableColumn id="25" xr3:uid="{00000000-0010-0000-0900-000019000000}" uniqueName="ns1:bulk_spc_gr_m" name="bulk_spc_gr_m" dataDxfId="25">
      <calculatedColumnFormula>IF('Design Data'!O62="",0,ROUND('Design Data'!O62,1))</calculatedColumnFormula>
      <xmlColumnPr mapId="3" xpath="/ns1:MaterialDisciplines/ns1:t_superpave/ns1:t_superpaveTable/ns1:bulk_spc_gr_m" xmlDataType="string"/>
    </tableColumn>
    <tableColumn id="26" xr3:uid="{00000000-0010-0000-0900-00001A000000}" uniqueName="ns1:mix_temp" name="mix_temp" dataDxfId="24">
      <calculatedColumnFormula>'Design Data'!K18</calculatedColumnFormula>
      <xmlColumnPr mapId="3" xpath="/ns1:MaterialDisciplines/ns1:t_superpave/ns1:t_superpaveTable/ns1:mix_temp" xmlDataType="string"/>
    </tableColumn>
    <tableColumn id="27" xr3:uid="{00000000-0010-0000-0900-00001B000000}" uniqueName="ns1:mix_temp_unt" name="mix_temp_unt" dataDxfId="23">
      <xmlColumnPr mapId="3" xpath="/ns1:MaterialDisciplines/ns1:t_superpave/ns1:t_superpaveTable/ns1:mix_temp_unt" xmlDataType="string"/>
    </tableColumn>
    <tableColumn id="28" xr3:uid="{00000000-0010-0000-0900-00001C000000}" uniqueName="ns1:cmpct_temp" name="cmpct_temp" dataDxfId="22">
      <calculatedColumnFormula>'Design Data'!K18</calculatedColumnFormula>
      <xmlColumnPr mapId="3" xpath="/ns1:MaterialDisciplines/ns1:t_superpave/ns1:t_superpaveTable/ns1:cmpct_temp" xmlDataType="string"/>
    </tableColumn>
    <tableColumn id="29" xr3:uid="{00000000-0010-0000-0900-00001D000000}" uniqueName="ns1:cmpct_temp_unt" name="cmpct_temp_unt" dataDxfId="21">
      <xmlColumnPr mapId="3" xpath="/ns1:MaterialDisciplines/ns1:t_superpave/ns1:t_superpaveTable/ns1:cmpct_temp_unt" xmlDataType="string"/>
    </tableColumn>
    <tableColumn id="30" xr3:uid="{00000000-0010-0000-0900-00001E000000}" uniqueName="ns1:high_air_temp" name="high_air_temp" dataDxfId="20">
      <xmlColumnPr mapId="3" xpath="/ns1:MaterialDisciplines/ns1:t_superpave/ns1:t_superpaveTable/ns1:high_air_temp" xmlDataType="string"/>
    </tableColumn>
    <tableColumn id="31" xr3:uid="{00000000-0010-0000-0900-00001F000000}" uniqueName="ns1:high_air_temp_unt" name="high_air_temp_unt" dataDxfId="19">
      <xmlColumnPr mapId="3" xpath="/ns1:MaterialDisciplines/ns1:t_superpave/ns1:t_superpaveTable/ns1:high_air_temp_unt" xmlDataType="string"/>
    </tableColumn>
    <tableColumn id="32" xr3:uid="{00000000-0010-0000-0900-000020000000}" uniqueName="ns1:rmrks_id" name="rmrks_id" dataDxfId="18">
      <xmlColumnPr mapId="3" xpath="/ns1:MaterialDisciplines/ns1:t_superpave/ns1:t_superpaveTable/ns1:rmrks_id" xmlDataType="string"/>
    </tableColumn>
    <tableColumn id="33" xr3:uid="{00000000-0010-0000-0900-000021000000}" uniqueName="ns1:last_modfd_uid" name="last_modfd_uid" dataDxfId="17">
      <calculatedColumnFormula>'Design Data'!S82</calculatedColumnFormula>
      <xmlColumnPr mapId="3" xpath="/ns1:MaterialDisciplines/ns1:t_superpave/ns1:t_superpaveTable/ns1:last_modfd_uid" xmlDataType="string"/>
    </tableColumn>
    <tableColumn id="34" xr3:uid="{00000000-0010-0000-0900-000022000000}" uniqueName="ns1:last_modfd_dt" name="last_modfd_dt" dataDxfId="16">
      <xmlColumnPr mapId="3" xpath="/ns1:MaterialDisciplines/ns1:t_superpave/ns1:t_superpaveTable/ns1:last_modfd_dt" xmlDataType="string"/>
    </tableColumn>
    <tableColumn id="35" xr3:uid="{00000000-0010-0000-0900-000023000000}" uniqueName="ns1:air_voids_p" name="air_voids_p" dataDxfId="15">
      <xmlColumnPr mapId="3" xpath="/ns1:MaterialDisciplines/ns1:t_superpave/ns1:t_superpaveTable/ns1:air_voids_p" xmlDataType="string"/>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A000000}" name="List1" displayName="List1_10" ref="B7:L14" tableType="xml" totalsRowShown="0" headerRowDxfId="14" dataDxfId="12" headerRowBorderDxfId="13" tableBorderDxfId="11">
  <autoFilter ref="B7:L14" xr:uid="{00000000-0009-0000-0100-00000A000000}"/>
  <tableColumns count="11">
    <tableColumn id="1" xr3:uid="{00000000-0010-0000-0A00-000001000000}" uniqueName="ns1:mix_id" name="mix_id" dataDxfId="10">
      <xmlColumnPr mapId="3" xpath="/ns1:MaterialDisciplines/ns1:t_bit_conc_mixblnd/ns1:t_bit_conc_mixblndTable/ns1:mix_id" xmlDataType="string"/>
    </tableColumn>
    <tableColumn id="2" xr3:uid="{00000000-0010-0000-0A00-000002000000}" uniqueName="ns1:dsn_t" name="dsn_t" dataDxfId="9">
      <calculatedColumnFormula>IF(B8="","","SUP")</calculatedColumnFormula>
      <xmlColumnPr mapId="3" xpath="/ns1:MaterialDisciplines/ns1:t_bit_conc_mixblnd/ns1:t_bit_conc_mixblndTable/ns1:dsn_t" xmlDataType="string"/>
    </tableColumn>
    <tableColumn id="3" xr3:uid="{00000000-0010-0000-0A00-000003000000}" uniqueName="ns1:matl_cd" name="matl_cd" dataDxfId="8">
      <calculatedColumnFormula>IF('Design Data'!H22="","",'Design Data'!H22)</calculatedColumnFormula>
      <xmlColumnPr mapId="3" xpath="/ns1:MaterialDisciplines/ns1:t_bit_conc_mixblnd/ns1:t_bit_conc_mixblndTable/ns1:matl_cd" xmlDataType="string"/>
    </tableColumn>
    <tableColumn id="4" xr3:uid="{00000000-0010-0000-0A00-000004000000}" uniqueName="ns1:prodr_supp_cd" name="prodr_supp_cd" dataDxfId="7">
      <calculatedColumnFormula>IF('Design Data'!A22="","",'Design Data'!A22)</calculatedColumnFormula>
      <xmlColumnPr mapId="3" xpath="/ns1:MaterialDisciplines/ns1:t_bit_conc_mixblnd/ns1:t_bit_conc_mixblndTable/ns1:prodr_supp_cd" xmlDataType="string"/>
    </tableColumn>
    <tableColumn id="5" xr3:uid="{00000000-0010-0000-0A00-000005000000}" uniqueName="ns1:brnd_nm" name="brnd_nm" dataDxfId="6">
      <xmlColumnPr mapId="3" xpath="/ns1:MaterialDisciplines/ns1:t_bit_conc_mixblnd/ns1:t_bit_conc_mixblndTable/ns1:brnd_nm" xmlDataType="string"/>
    </tableColumn>
    <tableColumn id="6" xr3:uid="{00000000-0010-0000-0A00-000006000000}" uniqueName="ns1:blnd_p" name="blnd_p" dataDxfId="5">
      <calculatedColumnFormula>IF('Design Data'!M22="",0,ROUND('Design Data'!M22,0))</calculatedColumnFormula>
      <xmlColumnPr mapId="3" xpath="/ns1:MaterialDisciplines/ns1:t_bit_conc_mixblnd/ns1:t_bit_conc_mixblndTable/ns1:blnd_p" xmlDataType="string"/>
    </tableColumn>
    <tableColumn id="7" xr3:uid="{00000000-0010-0000-0A00-000007000000}" uniqueName="ns1:bulk_spc_gr_m" name="bulk_spc_gr_m" dataDxfId="4">
      <calculatedColumnFormula>IF('Design Data'!L22="",0,ROUND('Design Data'!L22,2))</calculatedColumnFormula>
      <xmlColumnPr mapId="3" xpath="/ns1:MaterialDisciplines/ns1:t_bit_conc_mixblnd/ns1:t_bit_conc_mixblndTable/ns1:bulk_spc_gr_m" xmlDataType="string"/>
    </tableColumn>
    <tableColumn id="8" xr3:uid="{00000000-0010-0000-0A00-000008000000}" uniqueName="ns1:aprnt_spc_gr_m" name="aprnt_spc_gr_m" dataDxfId="3">
      <calculatedColumnFormula>IF('Design Data'!M112="","",'Design Data'!M112)</calculatedColumnFormula>
      <xmlColumnPr mapId="3" xpath="/ns1:MaterialDisciplines/ns1:t_bit_conc_mixblnd/ns1:t_bit_conc_mixblndTable/ns1:aprnt_spc_gr_m" xmlDataType="string"/>
    </tableColumn>
    <tableColumn id="9" xr3:uid="{00000000-0010-0000-0A00-000009000000}" uniqueName="ns1:smpl_id" name="smpl_id" dataDxfId="2">
      <calculatedColumnFormula>IF('Design Data'!N112="","",IF('Design Data'!N112="N/A","",'Design Data'!N112))</calculatedColumnFormula>
      <xmlColumnPr mapId="3" xpath="/ns1:MaterialDisciplines/ns1:t_bit_conc_mixblnd/ns1:t_bit_conc_mixblndTable/ns1:smpl_id" xmlDataType="string"/>
    </tableColumn>
    <tableColumn id="10" xr3:uid="{00000000-0010-0000-0A00-00000A000000}" uniqueName="ns1:last_modfd_uid" name="last_modfd_uid" dataDxfId="1">
      <calculatedColumnFormula>K7</calculatedColumnFormula>
      <xmlColumnPr mapId="3" xpath="/ns1:MaterialDisciplines/ns1:t_bit_conc_mixblnd/ns1:t_bit_conc_mixblndTable/ns1:last_modfd_uid" xmlDataType="string"/>
    </tableColumn>
    <tableColumn id="11" xr3:uid="{00000000-0010-0000-0A00-00000B000000}" uniqueName="ns1:last_modfd_dt" name="last_modfd_dt" dataDxfId="0">
      <xmlColumnPr mapId="3" xpath="/ns1:MaterialDisciplines/ns1:t_bit_conc_mixblnd/ns1:t_bit_conc_mixblndTable/ns1:last_modfd_dt" xmlDataType="string"/>
    </tableColumn>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7.xml"/><Relationship Id="rId18" Type="http://schemas.openxmlformats.org/officeDocument/2006/relationships/image" Target="../media/image5.emf"/><Relationship Id="rId26" Type="http://schemas.openxmlformats.org/officeDocument/2006/relationships/image" Target="../media/image9.emf"/><Relationship Id="rId39" Type="http://schemas.openxmlformats.org/officeDocument/2006/relationships/control" Target="../activeX/activeX23.xml"/><Relationship Id="rId21" Type="http://schemas.openxmlformats.org/officeDocument/2006/relationships/control" Target="../activeX/activeX12.xml"/><Relationship Id="rId34" Type="http://schemas.openxmlformats.org/officeDocument/2006/relationships/image" Target="../media/image13.emf"/><Relationship Id="rId42" Type="http://schemas.openxmlformats.org/officeDocument/2006/relationships/control" Target="../activeX/activeX25.xml"/><Relationship Id="rId47" Type="http://schemas.openxmlformats.org/officeDocument/2006/relationships/image" Target="../media/image17.emf"/><Relationship Id="rId50" Type="http://schemas.openxmlformats.org/officeDocument/2006/relationships/control" Target="../activeX/activeX29.xml"/><Relationship Id="rId55" Type="http://schemas.openxmlformats.org/officeDocument/2006/relationships/image" Target="../media/image21.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image" Target="../media/image4.emf"/><Relationship Id="rId20" Type="http://schemas.openxmlformats.org/officeDocument/2006/relationships/image" Target="../media/image6.emf"/><Relationship Id="rId29" Type="http://schemas.openxmlformats.org/officeDocument/2006/relationships/control" Target="../activeX/activeX16.xml"/><Relationship Id="rId41" Type="http://schemas.openxmlformats.org/officeDocument/2006/relationships/image" Target="../media/image14.emf"/><Relationship Id="rId54" Type="http://schemas.openxmlformats.org/officeDocument/2006/relationships/control" Target="../activeX/activeX31.xml"/><Relationship Id="rId62" Type="http://schemas.openxmlformats.org/officeDocument/2006/relationships/ctrlProp" Target="../ctrlProps/ctrlProp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5.xml"/><Relationship Id="rId24" Type="http://schemas.openxmlformats.org/officeDocument/2006/relationships/image" Target="../media/image8.emf"/><Relationship Id="rId32" Type="http://schemas.openxmlformats.org/officeDocument/2006/relationships/image" Target="../media/image12.emf"/><Relationship Id="rId37" Type="http://schemas.openxmlformats.org/officeDocument/2006/relationships/control" Target="../activeX/activeX21.xml"/><Relationship Id="rId40" Type="http://schemas.openxmlformats.org/officeDocument/2006/relationships/control" Target="../activeX/activeX24.xml"/><Relationship Id="rId45" Type="http://schemas.openxmlformats.org/officeDocument/2006/relationships/image" Target="../media/image16.emf"/><Relationship Id="rId53" Type="http://schemas.openxmlformats.org/officeDocument/2006/relationships/image" Target="../media/image20.emf"/><Relationship Id="rId58" Type="http://schemas.openxmlformats.org/officeDocument/2006/relationships/control" Target="../activeX/activeX33.xml"/><Relationship Id="rId5" Type="http://schemas.openxmlformats.org/officeDocument/2006/relationships/image" Target="../media/image1.emf"/><Relationship Id="rId15" Type="http://schemas.openxmlformats.org/officeDocument/2006/relationships/control" Target="../activeX/activeX9.xml"/><Relationship Id="rId23" Type="http://schemas.openxmlformats.org/officeDocument/2006/relationships/control" Target="../activeX/activeX13.xml"/><Relationship Id="rId28" Type="http://schemas.openxmlformats.org/officeDocument/2006/relationships/image" Target="../media/image10.emf"/><Relationship Id="rId36" Type="http://schemas.openxmlformats.org/officeDocument/2006/relationships/control" Target="../activeX/activeX20.xml"/><Relationship Id="rId49" Type="http://schemas.openxmlformats.org/officeDocument/2006/relationships/image" Target="../media/image18.emf"/><Relationship Id="rId57" Type="http://schemas.openxmlformats.org/officeDocument/2006/relationships/image" Target="../media/image22.emf"/><Relationship Id="rId61" Type="http://schemas.openxmlformats.org/officeDocument/2006/relationships/image" Target="../media/image24.emf"/><Relationship Id="rId10" Type="http://schemas.openxmlformats.org/officeDocument/2006/relationships/control" Target="../activeX/activeX4.xml"/><Relationship Id="rId19" Type="http://schemas.openxmlformats.org/officeDocument/2006/relationships/control" Target="../activeX/activeX11.xml"/><Relationship Id="rId31" Type="http://schemas.openxmlformats.org/officeDocument/2006/relationships/control" Target="../activeX/activeX17.xml"/><Relationship Id="rId44" Type="http://schemas.openxmlformats.org/officeDocument/2006/relationships/control" Target="../activeX/activeX26.xml"/><Relationship Id="rId52" Type="http://schemas.openxmlformats.org/officeDocument/2006/relationships/control" Target="../activeX/activeX30.xml"/><Relationship Id="rId60" Type="http://schemas.openxmlformats.org/officeDocument/2006/relationships/control" Target="../activeX/activeX3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8.xml"/><Relationship Id="rId22" Type="http://schemas.openxmlformats.org/officeDocument/2006/relationships/image" Target="../media/image7.emf"/><Relationship Id="rId27" Type="http://schemas.openxmlformats.org/officeDocument/2006/relationships/control" Target="../activeX/activeX15.xml"/><Relationship Id="rId30" Type="http://schemas.openxmlformats.org/officeDocument/2006/relationships/image" Target="../media/image11.emf"/><Relationship Id="rId35" Type="http://schemas.openxmlformats.org/officeDocument/2006/relationships/control" Target="../activeX/activeX19.xml"/><Relationship Id="rId43" Type="http://schemas.openxmlformats.org/officeDocument/2006/relationships/image" Target="../media/image15.emf"/><Relationship Id="rId48" Type="http://schemas.openxmlformats.org/officeDocument/2006/relationships/control" Target="../activeX/activeX28.xml"/><Relationship Id="rId56" Type="http://schemas.openxmlformats.org/officeDocument/2006/relationships/control" Target="../activeX/activeX32.xml"/><Relationship Id="rId8" Type="http://schemas.openxmlformats.org/officeDocument/2006/relationships/control" Target="../activeX/activeX3.xml"/><Relationship Id="rId51" Type="http://schemas.openxmlformats.org/officeDocument/2006/relationships/image" Target="../media/image19.emf"/><Relationship Id="rId3" Type="http://schemas.openxmlformats.org/officeDocument/2006/relationships/vmlDrawing" Target="../drawings/vmlDrawing1.vml"/><Relationship Id="rId12" Type="http://schemas.openxmlformats.org/officeDocument/2006/relationships/control" Target="../activeX/activeX6.xml"/><Relationship Id="rId17" Type="http://schemas.openxmlformats.org/officeDocument/2006/relationships/control" Target="../activeX/activeX10.xml"/><Relationship Id="rId25" Type="http://schemas.openxmlformats.org/officeDocument/2006/relationships/control" Target="../activeX/activeX14.xml"/><Relationship Id="rId33" Type="http://schemas.openxmlformats.org/officeDocument/2006/relationships/control" Target="../activeX/activeX18.xml"/><Relationship Id="rId38" Type="http://schemas.openxmlformats.org/officeDocument/2006/relationships/control" Target="../activeX/activeX22.xml"/><Relationship Id="rId46" Type="http://schemas.openxmlformats.org/officeDocument/2006/relationships/control" Target="../activeX/activeX27.xml"/><Relationship Id="rId5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25.emf"/><Relationship Id="rId4" Type="http://schemas.openxmlformats.org/officeDocument/2006/relationships/control" Target="../activeX/activeX3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6.emf"/><Relationship Id="rId4" Type="http://schemas.openxmlformats.org/officeDocument/2006/relationships/control" Target="../activeX/activeX3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7.emf"/><Relationship Id="rId4" Type="http://schemas.openxmlformats.org/officeDocument/2006/relationships/control" Target="../activeX/activeX37.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8.vml"/><Relationship Id="rId7" Type="http://schemas.openxmlformats.org/officeDocument/2006/relationships/image" Target="../media/image29.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9.xml"/><Relationship Id="rId5" Type="http://schemas.openxmlformats.org/officeDocument/2006/relationships/image" Target="../media/image28.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31.emf"/><Relationship Id="rId4" Type="http://schemas.openxmlformats.org/officeDocument/2006/relationships/control" Target="../activeX/activeX40.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7.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1.vml"/><Relationship Id="rId1" Type="http://schemas.openxmlformats.org/officeDocument/2006/relationships/printerSettings" Target="../printerSettings/printerSettings19.bin"/><Relationship Id="rId4" Type="http://schemas.openxmlformats.org/officeDocument/2006/relationships/comments" Target="../comments4.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12.v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13.vml"/><Relationship Id="rId1" Type="http://schemas.openxmlformats.org/officeDocument/2006/relationships/printerSettings" Target="../printerSettings/printerSettings21.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14.vml"/><Relationship Id="rId1" Type="http://schemas.openxmlformats.org/officeDocument/2006/relationships/printerSettings" Target="../printerSettings/printerSettings22.bin"/><Relationship Id="rId4" Type="http://schemas.openxmlformats.org/officeDocument/2006/relationships/comments" Target="../comments7.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15.vml"/><Relationship Id="rId1" Type="http://schemas.openxmlformats.org/officeDocument/2006/relationships/printerSettings" Target="../printerSettings/printerSettings23.bin"/><Relationship Id="rId4" Type="http://schemas.openxmlformats.org/officeDocument/2006/relationships/comments" Target="../comments8.xml"/></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16.vml"/><Relationship Id="rId1" Type="http://schemas.openxmlformats.org/officeDocument/2006/relationships/printerSettings" Target="../printerSettings/printerSettings24.bin"/><Relationship Id="rId4" Type="http://schemas.openxmlformats.org/officeDocument/2006/relationships/comments" Target="../comments9.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17.vml"/><Relationship Id="rId1" Type="http://schemas.openxmlformats.org/officeDocument/2006/relationships/printerSettings" Target="../printerSettings/printerSettings25.bin"/><Relationship Id="rId4" Type="http://schemas.openxmlformats.org/officeDocument/2006/relationships/comments" Target="../comments10.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18.vml"/><Relationship Id="rId1" Type="http://schemas.openxmlformats.org/officeDocument/2006/relationships/printerSettings" Target="../printerSettings/printerSettings26.bin"/><Relationship Id="rId4" Type="http://schemas.openxmlformats.org/officeDocument/2006/relationships/comments" Target="../comments11.xml"/></Relationships>
</file>

<file path=xl/worksheets/_rels/sheet2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19.vml"/><Relationship Id="rId1" Type="http://schemas.openxmlformats.org/officeDocument/2006/relationships/printerSettings" Target="../printerSettings/printerSettings27.bin"/><Relationship Id="rId4" Type="http://schemas.openxmlformats.org/officeDocument/2006/relationships/comments" Target="../comments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28"/>
  <sheetViews>
    <sheetView showGridLines="0" tabSelected="1" zoomScaleNormal="100" workbookViewId="0">
      <extLst>
        <ext xmlns:xlsdti="http://schemas.microsoft.com/office/spreadsheetml/2023/showDataTypeIcons" uri="{77bfe23e-c014-4d31-8a63-9c772dbf06b6}">
          <xlsdti:showDataTypeIcons visible="0"/>
        </ext>
      </extLst>
    </sheetView>
  </sheetViews>
  <sheetFormatPr defaultColWidth="9.140625" defaultRowHeight="12.75" x14ac:dyDescent="0.2"/>
  <cols>
    <col min="1" max="1" width="7.28515625" style="1" customWidth="1"/>
    <col min="2" max="2" width="8.140625" style="1" customWidth="1"/>
    <col min="3" max="7" width="7.28515625" style="1" customWidth="1"/>
    <col min="8" max="8" width="8.42578125" style="1" customWidth="1"/>
    <col min="9" max="9" width="7.28515625" style="1" customWidth="1"/>
    <col min="10" max="11" width="9.7109375" style="1" customWidth="1"/>
    <col min="12" max="14" width="8.140625" style="1" customWidth="1"/>
    <col min="15" max="16" width="7.28515625" style="1" customWidth="1"/>
    <col min="17" max="17" width="8.7109375" style="1" customWidth="1"/>
    <col min="18" max="20" width="7.7109375" style="1" customWidth="1"/>
    <col min="21" max="21" width="8" style="1" customWidth="1"/>
    <col min="22" max="22" width="9.140625" style="1"/>
    <col min="23" max="24" width="7.7109375" style="1" customWidth="1"/>
    <col min="25" max="25" width="5.28515625" style="1" customWidth="1"/>
    <col min="26" max="26" width="9.140625" style="1"/>
    <col min="27" max="27" width="16.5703125" style="1" customWidth="1"/>
    <col min="28" max="28" width="16" style="1" customWidth="1"/>
    <col min="29" max="29" width="19" style="1" customWidth="1"/>
    <col min="30" max="30" width="14.7109375" style="1" customWidth="1"/>
    <col min="31" max="31" width="14.85546875" style="1" customWidth="1"/>
    <col min="32" max="16384" width="9.140625" style="1"/>
  </cols>
  <sheetData>
    <row r="1" spans="1:26" s="6" customFormat="1" ht="13.5" thickBot="1" x14ac:dyDescent="0.25">
      <c r="A1" s="1218"/>
    </row>
    <row r="2" spans="1:26" ht="13.5" customHeight="1" thickTop="1" x14ac:dyDescent="0.2">
      <c r="A2" s="56"/>
      <c r="B2" s="35"/>
      <c r="C2" s="35"/>
      <c r="D2" s="35"/>
      <c r="E2" s="35"/>
      <c r="F2" s="35"/>
      <c r="G2" s="35"/>
      <c r="H2" s="57"/>
      <c r="I2" s="35"/>
      <c r="J2" s="35"/>
      <c r="K2" s="35"/>
      <c r="L2" s="35"/>
      <c r="M2" s="36"/>
      <c r="N2" s="35"/>
      <c r="O2" s="57"/>
      <c r="P2" s="35"/>
      <c r="Q2" s="37"/>
      <c r="R2" s="35"/>
      <c r="S2" s="35"/>
      <c r="T2" s="35"/>
      <c r="U2" s="1079" t="s">
        <v>2700</v>
      </c>
      <c r="V2" s="2"/>
    </row>
    <row r="3" spans="1:26" ht="13.5" customHeight="1" x14ac:dyDescent="0.25">
      <c r="A3" s="38" t="s">
        <v>75</v>
      </c>
      <c r="B3" s="39"/>
      <c r="C3" s="39"/>
      <c r="D3" s="39"/>
      <c r="E3" s="39"/>
      <c r="F3" s="39"/>
      <c r="G3" s="39"/>
      <c r="H3" s="58"/>
      <c r="I3" s="39"/>
      <c r="J3" s="39"/>
      <c r="K3" s="39"/>
      <c r="L3" s="39"/>
      <c r="M3" s="39"/>
      <c r="N3" s="39"/>
      <c r="O3" s="39"/>
      <c r="P3" s="39"/>
      <c r="Q3" s="39"/>
      <c r="R3" s="39"/>
      <c r="S3" s="39"/>
      <c r="T3" s="39"/>
      <c r="U3" s="221" t="s">
        <v>2701</v>
      </c>
    </row>
    <row r="4" spans="1:26" ht="13.5" customHeight="1" x14ac:dyDescent="0.25">
      <c r="A4" s="38" t="s">
        <v>76</v>
      </c>
      <c r="B4" s="39"/>
      <c r="C4" s="39"/>
      <c r="D4" s="39"/>
      <c r="E4" s="39"/>
      <c r="F4" s="39"/>
      <c r="G4" s="39"/>
      <c r="H4" s="58"/>
      <c r="I4" s="39"/>
      <c r="J4" s="39"/>
      <c r="K4" s="39"/>
      <c r="L4" s="39"/>
      <c r="M4" s="39"/>
      <c r="N4" s="39"/>
      <c r="O4" s="39"/>
      <c r="P4" s="39"/>
      <c r="Q4" s="39"/>
      <c r="R4" s="58"/>
      <c r="S4" s="58"/>
      <c r="T4" s="58"/>
      <c r="U4" s="1126"/>
    </row>
    <row r="5" spans="1:26" ht="13.5" customHeight="1" x14ac:dyDescent="0.25">
      <c r="A5" s="38" t="s">
        <v>77</v>
      </c>
      <c r="B5" s="39"/>
      <c r="C5" s="39"/>
      <c r="D5" s="39"/>
      <c r="E5" s="39"/>
      <c r="F5" s="39"/>
      <c r="G5" s="39"/>
      <c r="H5" s="58"/>
      <c r="I5" s="39"/>
      <c r="J5" s="39"/>
      <c r="K5" s="39"/>
      <c r="L5" s="39"/>
      <c r="M5" s="39"/>
      <c r="N5" s="39"/>
      <c r="O5" s="39"/>
      <c r="P5" s="39"/>
      <c r="Q5" s="39"/>
      <c r="R5" s="58"/>
      <c r="S5" s="58"/>
      <c r="T5" s="58"/>
      <c r="U5" s="66"/>
      <c r="W5" s="1132"/>
    </row>
    <row r="6" spans="1:26" ht="13.5" customHeight="1" thickBot="1" x14ac:dyDescent="0.3">
      <c r="A6" s="59"/>
      <c r="B6" s="40"/>
      <c r="C6" s="40"/>
      <c r="D6" s="40"/>
      <c r="E6" s="40"/>
      <c r="F6" s="40"/>
      <c r="G6" s="40"/>
      <c r="H6" s="41"/>
      <c r="I6" s="40"/>
      <c r="J6" s="40"/>
      <c r="K6" s="40"/>
      <c r="L6" s="40"/>
      <c r="M6" s="40"/>
      <c r="N6" s="40"/>
      <c r="O6" s="40"/>
      <c r="P6" s="40"/>
      <c r="Q6" s="40"/>
      <c r="R6" s="60"/>
      <c r="S6" s="60"/>
      <c r="T6" s="60"/>
      <c r="U6" s="67"/>
    </row>
    <row r="7" spans="1:26" ht="13.5" customHeight="1" thickTop="1" x14ac:dyDescent="0.25">
      <c r="E7" s="43" t="s">
        <v>78</v>
      </c>
      <c r="F7" s="3"/>
      <c r="G7" s="3"/>
      <c r="H7" s="581"/>
      <c r="I7" s="3"/>
      <c r="J7" s="3"/>
      <c r="K7" s="3"/>
      <c r="L7" s="3"/>
      <c r="M7" s="3"/>
      <c r="N7" s="3"/>
      <c r="O7" s="1524" t="str">
        <f>IF('Chart Data'!W14="Bid Item Not In Drop-Down List",CONCATENATE('Chart Data'!W19," ",'Chart Data'!W20," ",'Chart Data'!W21," ",'Chart Data'!W22,'Chart Data'!W23," ",'Chart Data'!W24),"")</f>
        <v/>
      </c>
      <c r="P7" s="1525"/>
      <c r="Q7" s="1525"/>
      <c r="R7" s="1525"/>
      <c r="S7" s="1525"/>
      <c r="T7" s="1525"/>
      <c r="U7" s="1525"/>
    </row>
    <row r="8" spans="1:26" ht="13.5" customHeight="1" x14ac:dyDescent="0.2">
      <c r="A8" s="7" t="s">
        <v>1228</v>
      </c>
      <c r="B8"/>
      <c r="C8" s="951"/>
      <c r="D8"/>
      <c r="E8" s="43"/>
      <c r="F8" s="605" t="s">
        <v>1127</v>
      </c>
      <c r="H8" s="614"/>
      <c r="I8" s="621" t="s">
        <v>2390</v>
      </c>
      <c r="J8" s="43"/>
      <c r="K8" s="1532"/>
      <c r="L8" s="1532"/>
      <c r="M8" s="7"/>
      <c r="N8" s="1120" t="s">
        <v>1460</v>
      </c>
      <c r="O8" s="975" t="str">
        <f>'Chart Data'!W14</f>
        <v/>
      </c>
      <c r="P8" s="43"/>
      <c r="R8" s="61"/>
      <c r="S8" s="61"/>
      <c r="T8" s="61"/>
      <c r="U8" s="61"/>
    </row>
    <row r="9" spans="1:26" ht="13.5" customHeight="1" x14ac:dyDescent="0.25">
      <c r="A9" s="7"/>
      <c r="B9" s="10"/>
      <c r="C9" s="10" t="s">
        <v>74</v>
      </c>
      <c r="H9" s="4"/>
      <c r="O9" s="5"/>
      <c r="R9" s="6"/>
      <c r="S9" s="6"/>
      <c r="T9" s="6"/>
      <c r="U9" s="6"/>
    </row>
    <row r="10" spans="1:26" ht="13.5" customHeight="1" x14ac:dyDescent="0.2">
      <c r="A10" s="62" t="s">
        <v>1128</v>
      </c>
      <c r="B10" s="34"/>
      <c r="C10" s="1563"/>
      <c r="D10" s="1564"/>
      <c r="E10"/>
      <c r="F10" s="7" t="s">
        <v>79</v>
      </c>
      <c r="G10" s="10"/>
      <c r="H10" s="947"/>
      <c r="I10" s="7" t="s">
        <v>80</v>
      </c>
      <c r="J10" s="8"/>
      <c r="K10" s="1532"/>
      <c r="L10" s="1532"/>
      <c r="M10" s="315"/>
      <c r="N10" s="8"/>
      <c r="O10" s="7" t="s">
        <v>1231</v>
      </c>
      <c r="P10"/>
      <c r="R10" s="10" t="str">
        <f>'Chart Data'!J7</f>
        <v/>
      </c>
      <c r="S10" s="436"/>
      <c r="T10" s="436"/>
      <c r="U10" s="436"/>
      <c r="X10"/>
      <c r="Y10"/>
      <c r="Z10"/>
    </row>
    <row r="11" spans="1:26" ht="13.5" customHeight="1" x14ac:dyDescent="0.2">
      <c r="A11" s="7"/>
      <c r="B11" s="10"/>
      <c r="C11" s="10" t="s">
        <v>74</v>
      </c>
      <c r="D11" s="8"/>
      <c r="E11" s="8"/>
      <c r="F11" s="7"/>
      <c r="G11" s="8"/>
      <c r="H11" s="10" t="s">
        <v>74</v>
      </c>
      <c r="I11" s="7"/>
      <c r="J11"/>
      <c r="K11" s="10"/>
      <c r="L11"/>
      <c r="M11"/>
      <c r="N11" s="8"/>
      <c r="O11" s="7"/>
      <c r="P11" s="8"/>
      <c r="R11" s="6"/>
      <c r="S11"/>
      <c r="T11"/>
      <c r="U11"/>
    </row>
    <row r="12" spans="1:26" ht="13.5" customHeight="1" x14ac:dyDescent="0.2">
      <c r="A12" s="7" t="s">
        <v>1804</v>
      </c>
      <c r="B12" s="10"/>
      <c r="C12" s="1575"/>
      <c r="D12" s="1533"/>
      <c r="E12" s="1533"/>
      <c r="F12" s="7" t="s">
        <v>1022</v>
      </c>
      <c r="G12" s="63"/>
      <c r="H12" s="891"/>
      <c r="I12" s="7" t="s">
        <v>82</v>
      </c>
      <c r="J12"/>
      <c r="K12" s="10" t="s">
        <v>1230</v>
      </c>
      <c r="L12"/>
      <c r="M12"/>
      <c r="N12" s="8"/>
      <c r="O12" s="7" t="s">
        <v>1257</v>
      </c>
      <c r="P12" s="8"/>
      <c r="Q12" s="114"/>
      <c r="R12" s="6"/>
      <c r="S12" s="46"/>
      <c r="T12" s="1119" t="s">
        <v>88</v>
      </c>
      <c r="U12" s="3"/>
      <c r="W12"/>
    </row>
    <row r="13" spans="1:26" ht="13.5" customHeight="1" thickBot="1" x14ac:dyDescent="0.25">
      <c r="A13" s="7"/>
      <c r="B13" s="8"/>
      <c r="C13" s="1533"/>
      <c r="D13" s="1533"/>
      <c r="E13" s="1533"/>
      <c r="F13" s="8"/>
      <c r="G13" s="8"/>
      <c r="H13" s="99"/>
      <c r="I13" s="1077"/>
      <c r="J13"/>
      <c r="K13" s="10"/>
      <c r="L13"/>
      <c r="M13"/>
      <c r="N13" s="8"/>
      <c r="O13" s="110" t="s">
        <v>944</v>
      </c>
      <c r="P13" s="5"/>
      <c r="R13" s="6"/>
      <c r="S13" s="9"/>
      <c r="T13" s="1119"/>
      <c r="U13" s="3"/>
    </row>
    <row r="14" spans="1:26" ht="13.5" customHeight="1" thickTop="1" thickBot="1" x14ac:dyDescent="0.25">
      <c r="A14" s="7" t="s">
        <v>1258</v>
      </c>
      <c r="B14" s="8"/>
      <c r="C14" s="1574" t="str">
        <f>IF('Project Items'!A6="","Enter Project(s) &amp; Line Item(s)",IF('Project Items'!A8="",CONCATENATE('Project Items'!A6," (",'Project Items'!B6,")"),"Multiple Projects Selected"))</f>
        <v>Enter Project(s) &amp; Line Item(s)</v>
      </c>
      <c r="D14" s="1574"/>
      <c r="E14" s="1574"/>
      <c r="F14" s="7" t="s">
        <v>89</v>
      </c>
      <c r="G14" s="47"/>
      <c r="H14" s="889"/>
      <c r="I14" s="7" t="s">
        <v>90</v>
      </c>
      <c r="J14"/>
      <c r="N14" s="8"/>
      <c r="O14" s="7" t="s">
        <v>91</v>
      </c>
      <c r="P14" s="8"/>
      <c r="Q14" s="976" t="e">
        <f>IF('Chart Data'!AO2="","",'Chart Data'!AO2)</f>
        <v>#N/A</v>
      </c>
      <c r="R14" s="6"/>
      <c r="S14" s="133" t="s">
        <v>92</v>
      </c>
      <c r="T14" s="583" t="s">
        <v>93</v>
      </c>
      <c r="U14" s="586" t="s">
        <v>94</v>
      </c>
    </row>
    <row r="15" spans="1:26" ht="13.5" customHeight="1" thickTop="1" x14ac:dyDescent="0.2">
      <c r="A15" s="1077"/>
      <c r="B15" s="8"/>
      <c r="C15" s="1574" t="str">
        <f>IF('Project Items'!A6="","On 'Project Items' Tab.",IF('Project Items'!A7="","",IF('Project Items'!A8="",CONCATENATE('Project Items'!A7," (",'Project Items'!B7,")"),"See 'Project Items' Tab.")))</f>
        <v>On 'Project Items' Tab.</v>
      </c>
      <c r="D15" s="1574"/>
      <c r="E15" s="1574"/>
      <c r="F15" s="8"/>
      <c r="G15" s="8"/>
      <c r="H15" s="99"/>
      <c r="I15" s="10" t="str">
        <f>IF(ISERROR(VLOOKUP(Q14,'Chart Data'!AM1:AN137,2,FALSE)),"",VLOOKUP(Q14,'Chart Data'!AM1:AN137,2,FALSE))</f>
        <v/>
      </c>
      <c r="J15" s="10"/>
      <c r="K15" s="10"/>
      <c r="L15" s="989"/>
      <c r="M15" s="989"/>
      <c r="N15" s="10"/>
      <c r="P15" s="5"/>
      <c r="Q15" s="1078"/>
      <c r="R15" s="6"/>
      <c r="S15" s="222" t="s">
        <v>95</v>
      </c>
      <c r="T15" s="584">
        <v>100</v>
      </c>
      <c r="U15" s="587">
        <v>100</v>
      </c>
    </row>
    <row r="16" spans="1:26" ht="13.5" customHeight="1" x14ac:dyDescent="0.2">
      <c r="A16" s="62" t="s">
        <v>1439</v>
      </c>
      <c r="B16" s="34"/>
      <c r="C16" s="34"/>
      <c r="D16" s="34"/>
      <c r="E16" s="34"/>
      <c r="F16" s="7" t="s">
        <v>96</v>
      </c>
      <c r="G16" s="64"/>
      <c r="H16" s="890"/>
      <c r="I16" s="7" t="s">
        <v>97</v>
      </c>
      <c r="J16"/>
      <c r="K16" s="1533"/>
      <c r="L16" s="1533"/>
      <c r="M16"/>
      <c r="N16" s="8"/>
      <c r="O16" s="7" t="s">
        <v>98</v>
      </c>
      <c r="P16" s="8"/>
      <c r="Q16" s="11" t="str">
        <f>'Chart Data'!H48</f>
        <v/>
      </c>
      <c r="R16" s="6"/>
      <c r="S16" s="222" t="s">
        <v>99</v>
      </c>
      <c r="T16" s="585"/>
      <c r="U16" s="612"/>
    </row>
    <row r="17" spans="1:28" ht="13.5" customHeight="1" x14ac:dyDescent="0.2">
      <c r="A17" s="8" t="str">
        <f>IF(ISERROR(VLOOKUP(H18,'Chart Data'!AH1:AI35,2,FALSE)),"",VLOOKUP(H18,'Chart Data'!AH1:AI35,2,FALSE))</f>
        <v/>
      </c>
      <c r="B17" s="65"/>
      <c r="C17" s="10"/>
      <c r="D17" s="8"/>
      <c r="E17" s="65"/>
      <c r="F17"/>
      <c r="G17"/>
      <c r="H17" s="969"/>
      <c r="I17" s="34"/>
      <c r="J17"/>
      <c r="K17" s="98"/>
      <c r="L17"/>
      <c r="M17"/>
      <c r="N17" s="34"/>
      <c r="O17"/>
      <c r="P17"/>
      <c r="Q17"/>
      <c r="R17"/>
      <c r="S17" s="222" t="s">
        <v>100</v>
      </c>
      <c r="T17" s="585"/>
      <c r="U17" s="612"/>
    </row>
    <row r="18" spans="1:28" ht="13.5" customHeight="1" x14ac:dyDescent="0.2">
      <c r="A18" s="7" t="s">
        <v>101</v>
      </c>
      <c r="B18" s="8"/>
      <c r="C18" s="578" t="str">
        <f>'Chart Data'!W15</f>
        <v/>
      </c>
      <c r="D18" s="403"/>
      <c r="E18" s="48"/>
      <c r="F18" s="62" t="s">
        <v>102</v>
      </c>
      <c r="G18" s="34"/>
      <c r="H18" s="964" t="str">
        <f>IF('Chart Data'!AJ2="","",'Chart Data'!AJ2)</f>
        <v/>
      </c>
      <c r="I18" s="990" t="s">
        <v>1233</v>
      </c>
      <c r="J18"/>
      <c r="K18" s="1574" t="str">
        <f>IF('Chart Data'!H48="","",IF('Chart Data'!H48=20025,"240 (deg. F)",IF('Chart Data'!K38=TRUE,VLOOKUP('Chart Data'!F48,'Chart Data'!J39:K40,2,FALSE),(IF(ISERROR(VLOOKUP('Chart Data'!F48,'Chart Data'!J28:K31,2,FALSE)),"See Applicable Spec.",VLOOKUP('Chart Data'!F48,'Chart Data'!J28:K31,2,FALSE))))))</f>
        <v/>
      </c>
      <c r="L18" s="1574"/>
      <c r="M18"/>
      <c r="N18"/>
      <c r="O18" s="7"/>
      <c r="P18"/>
      <c r="Q18"/>
      <c r="R18" s="68"/>
      <c r="S18" s="222" t="s">
        <v>103</v>
      </c>
      <c r="T18" s="585"/>
      <c r="U18" s="612"/>
      <c r="V18" s="8"/>
      <c r="W18" s="986"/>
      <c r="X18" s="8"/>
      <c r="Y18" s="8"/>
    </row>
    <row r="19" spans="1:28" ht="13.5" customHeight="1" x14ac:dyDescent="0.2">
      <c r="A19" s="1445" t="str" cm="1">
        <f t="array" ref="A19">IF(SUM(COUNTIF(J23:J28,{"*RAP*","*Shingles*"})), "See Recycle Data Tab", "")</f>
        <v/>
      </c>
      <c r="B19" s="1440"/>
      <c r="C19" s="1440"/>
      <c r="D19" s="1440"/>
      <c r="E19" s="34"/>
      <c r="F19" s="62" t="s">
        <v>2432</v>
      </c>
      <c r="G19"/>
      <c r="H19" s="1224"/>
      <c r="I19" s="7" t="s">
        <v>2433</v>
      </c>
      <c r="J19"/>
      <c r="K19" s="1534"/>
      <c r="L19" s="1534"/>
      <c r="M19"/>
      <c r="N19"/>
      <c r="O19"/>
      <c r="P19"/>
      <c r="Q19"/>
      <c r="R19"/>
      <c r="S19" s="222" t="s">
        <v>104</v>
      </c>
      <c r="T19" s="585"/>
      <c r="U19" s="612"/>
      <c r="V19" s="8"/>
      <c r="W19" s="8"/>
      <c r="X19" s="8"/>
      <c r="Y19" s="8"/>
    </row>
    <row r="20" spans="1:28" ht="13.5" customHeight="1" x14ac:dyDescent="0.2">
      <c r="A20" s="7" t="s">
        <v>105</v>
      </c>
      <c r="B20" s="8"/>
      <c r="C20" s="10" t="str">
        <f>IF(ISERROR('Chart Data'!Y2),"",'Chart Data'!Y2)</f>
        <v/>
      </c>
      <c r="D20"/>
      <c r="E20"/>
      <c r="F20" s="62" t="s">
        <v>106</v>
      </c>
      <c r="G20"/>
      <c r="H20" s="607" t="str">
        <f>IF(ISERROR('Chart Data'!W16),"",'Chart Data'!W16)</f>
        <v/>
      </c>
      <c r="I20" s="62" t="s">
        <v>107</v>
      </c>
      <c r="J20"/>
      <c r="K20" s="1534"/>
      <c r="L20" s="1534"/>
      <c r="M20"/>
      <c r="N20"/>
      <c r="O20" s="7"/>
      <c r="P20"/>
      <c r="Q20"/>
      <c r="R20" s="68"/>
      <c r="S20" s="222" t="s">
        <v>108</v>
      </c>
      <c r="T20" s="585"/>
      <c r="U20" s="593"/>
      <c r="V20" s="34"/>
      <c r="W20" s="34"/>
      <c r="X20" s="34"/>
      <c r="Y20" s="34"/>
    </row>
    <row r="21" spans="1:28" ht="13.5" customHeight="1" thickBot="1" x14ac:dyDescent="0.25">
      <c r="A21" s="1218" t="str">
        <f>IF('Chart Data'!L47="","",IF(OR('Chart Data'!L47="A",'Chart Data'!L47="B"),"Please Indicate Polish-Resistant Source(s) by Checkboxes   ↓",""))</f>
        <v/>
      </c>
      <c r="B21" s="9"/>
      <c r="C21" s="3"/>
      <c r="D21"/>
      <c r="E21"/>
      <c r="F21" s="99"/>
      <c r="G21" s="3"/>
      <c r="H21"/>
      <c r="I21" s="48" t="str">
        <f>IF(AND(F21="",K20=""),"(Enter depth from surface (mm))","")</f>
        <v>(Enter depth from surface (mm))</v>
      </c>
      <c r="L21"/>
      <c r="N21"/>
      <c r="O21"/>
      <c r="P21"/>
      <c r="Q21"/>
      <c r="R21" s="6"/>
      <c r="S21" s="222" t="s">
        <v>109</v>
      </c>
      <c r="T21" s="992" t="s">
        <v>110</v>
      </c>
      <c r="U21" s="595" t="s">
        <v>110</v>
      </c>
      <c r="Z21" s="241"/>
    </row>
    <row r="22" spans="1:28" ht="13.5" customHeight="1" thickTop="1" thickBot="1" x14ac:dyDescent="0.25">
      <c r="A22" s="69" t="s">
        <v>111</v>
      </c>
      <c r="B22" s="70"/>
      <c r="C22" s="77" t="s">
        <v>112</v>
      </c>
      <c r="D22" s="78"/>
      <c r="E22" s="79"/>
      <c r="F22" s="71"/>
      <c r="G22" s="71"/>
      <c r="H22" s="72" t="s">
        <v>113</v>
      </c>
      <c r="I22" s="72"/>
      <c r="J22" s="51" t="s">
        <v>114</v>
      </c>
      <c r="K22" s="73"/>
      <c r="L22" s="52" t="s">
        <v>115</v>
      </c>
      <c r="M22" s="53" t="s">
        <v>116</v>
      </c>
      <c r="N22" s="144" t="s">
        <v>117</v>
      </c>
      <c r="O22" s="223"/>
      <c r="P22"/>
      <c r="Q22" s="224" t="s">
        <v>118</v>
      </c>
      <c r="R22" s="225"/>
      <c r="S22" s="96" t="s">
        <v>119</v>
      </c>
      <c r="T22" s="585"/>
      <c r="U22" s="593"/>
      <c r="V22"/>
      <c r="W22" s="1056"/>
      <c r="X22"/>
      <c r="Y22"/>
      <c r="Z22" s="241"/>
    </row>
    <row r="23" spans="1:28" ht="13.5" customHeight="1" thickTop="1" thickBot="1" x14ac:dyDescent="0.25">
      <c r="A23" s="1565"/>
      <c r="B23" s="1566"/>
      <c r="C23" s="1561"/>
      <c r="D23" s="1576"/>
      <c r="E23" s="1576"/>
      <c r="F23" s="1576"/>
      <c r="G23" s="1577"/>
      <c r="H23" s="1530" t="str">
        <f>IF(J23="","",VALUE(VLOOKUP(J23,'Chart Data'!$AR$1:$AS$137,2,FALSE)))</f>
        <v/>
      </c>
      <c r="I23" s="1531"/>
      <c r="J23" s="1599"/>
      <c r="K23" s="1600"/>
      <c r="L23" s="226"/>
      <c r="M23" s="115"/>
      <c r="N23" s="227" t="s">
        <v>120</v>
      </c>
      <c r="O23" s="228" t="str">
        <f>IF(I95="","",(1/I95*100))</f>
        <v/>
      </c>
      <c r="P23"/>
      <c r="Q23" s="229" t="s">
        <v>117</v>
      </c>
      <c r="R23" s="230"/>
      <c r="S23" s="96" t="s">
        <v>121</v>
      </c>
      <c r="T23" s="585"/>
      <c r="U23" s="593"/>
      <c r="V23"/>
      <c r="W23"/>
      <c r="X23"/>
      <c r="Y23"/>
      <c r="Z23" s="241"/>
    </row>
    <row r="24" spans="1:28" ht="13.5" customHeight="1" thickTop="1" thickBot="1" x14ac:dyDescent="0.25">
      <c r="A24" s="1571"/>
      <c r="B24" s="1572"/>
      <c r="C24" s="1458"/>
      <c r="D24" s="1459"/>
      <c r="E24" s="1459"/>
      <c r="F24" s="1459"/>
      <c r="G24" s="1460"/>
      <c r="H24" s="1526" t="str">
        <f>IF(J24="","",VALUE(VLOOKUP(J24,'Chart Data'!$AR$1:$AS$137,2,FALSE)))</f>
        <v/>
      </c>
      <c r="I24" s="1527"/>
      <c r="J24" s="1586"/>
      <c r="K24" s="1587"/>
      <c r="L24" s="226"/>
      <c r="M24" s="115"/>
      <c r="N24" s="231" t="s">
        <v>122</v>
      </c>
      <c r="O24" s="232" t="str">
        <f>IF(Q25="","",(100-Q25)/((100/R28)-(Q25/O25)))</f>
        <v/>
      </c>
      <c r="P24"/>
      <c r="Q24" s="233" t="s">
        <v>123</v>
      </c>
      <c r="R24" s="234" t="s">
        <v>124</v>
      </c>
      <c r="S24" s="96" t="s">
        <v>125</v>
      </c>
      <c r="T24" s="585"/>
      <c r="U24" s="593"/>
      <c r="V24"/>
      <c r="W24" s="315"/>
      <c r="X24"/>
      <c r="Y24"/>
      <c r="Z24" s="1449"/>
      <c r="AA24" s="1449"/>
      <c r="AB24" s="1449"/>
    </row>
    <row r="25" spans="1:28" ht="13.5" customHeight="1" thickTop="1" thickBot="1" x14ac:dyDescent="0.25">
      <c r="A25" s="1571"/>
      <c r="B25" s="1572"/>
      <c r="C25" s="1458"/>
      <c r="D25" s="1459"/>
      <c r="E25" s="1459"/>
      <c r="F25" s="1459"/>
      <c r="G25" s="1460"/>
      <c r="H25" s="1526" t="str">
        <f>IF(J25="","",VALUE(VLOOKUP(J25,'Chart Data'!$AR$1:$AS$137,2,FALSE)))</f>
        <v/>
      </c>
      <c r="I25" s="1527"/>
      <c r="J25" s="1586"/>
      <c r="K25" s="1587"/>
      <c r="L25" s="226"/>
      <c r="M25" s="115"/>
      <c r="N25" s="572" t="s">
        <v>126</v>
      </c>
      <c r="O25" s="573">
        <v>1.03</v>
      </c>
      <c r="P25"/>
      <c r="Q25" s="235"/>
      <c r="R25" s="150"/>
      <c r="S25" s="97" t="s">
        <v>127</v>
      </c>
      <c r="T25" s="585"/>
      <c r="U25" s="593"/>
      <c r="V25"/>
      <c r="W25" s="6"/>
      <c r="X25"/>
      <c r="Y25"/>
    </row>
    <row r="26" spans="1:28" ht="13.5" customHeight="1" thickTop="1" x14ac:dyDescent="0.2">
      <c r="A26" s="1573"/>
      <c r="B26" s="1572"/>
      <c r="C26" s="1585"/>
      <c r="D26" s="1459"/>
      <c r="E26" s="1459"/>
      <c r="F26" s="1459"/>
      <c r="G26" s="1460"/>
      <c r="H26" s="1526" t="str">
        <f>IF(J26="","",VALUE(VLOOKUP(J26,'Chart Data'!$AR$1:$AS$137,2,FALSE)))</f>
        <v/>
      </c>
      <c r="I26" s="1527"/>
      <c r="J26" s="1586"/>
      <c r="K26" s="1587"/>
      <c r="L26" s="226"/>
      <c r="M26" s="1071"/>
      <c r="N26" s="1070" t="str">
        <f>IF('Chart Data'!S55="Recycle","Recycle MSG","")</f>
        <v/>
      </c>
      <c r="O26" s="313"/>
      <c r="P26"/>
      <c r="Q26" s="236"/>
      <c r="R26" s="151"/>
      <c r="S26" s="97" t="s">
        <v>128</v>
      </c>
      <c r="T26" s="585"/>
      <c r="U26" s="593"/>
      <c r="V26" s="6"/>
      <c r="W26" s="449"/>
      <c r="Z26" s="1450"/>
      <c r="AA26" s="1450"/>
      <c r="AB26" s="1450"/>
    </row>
    <row r="27" spans="1:28" ht="13.5" customHeight="1" x14ac:dyDescent="0.2">
      <c r="A27" s="1571"/>
      <c r="B27" s="1572"/>
      <c r="C27" s="1458"/>
      <c r="D27" s="1459"/>
      <c r="E27" s="1459"/>
      <c r="F27" s="1459"/>
      <c r="G27" s="1460"/>
      <c r="H27" s="1526" t="str">
        <f>IF(J27="","",VALUE(VLOOKUP(J27,'Chart Data'!$AR$1:$AS$137,2,FALSE)))</f>
        <v/>
      </c>
      <c r="I27" s="1527"/>
      <c r="J27" s="1586"/>
      <c r="K27" s="1587"/>
      <c r="L27" s="226"/>
      <c r="M27" s="1072"/>
      <c r="N27" s="1590">
        <f>'Chart Data'!R105</f>
        <v>0</v>
      </c>
      <c r="O27" s="1590"/>
      <c r="P27" s="1074"/>
      <c r="Q27" s="237" t="s">
        <v>74</v>
      </c>
      <c r="R27" s="151"/>
      <c r="S27" s="97" t="s">
        <v>129</v>
      </c>
      <c r="T27" s="585"/>
      <c r="U27" s="615"/>
      <c r="V27" s="6"/>
      <c r="W27" s="6"/>
      <c r="X27" s="6"/>
      <c r="Y27" s="6"/>
      <c r="AA27"/>
    </row>
    <row r="28" spans="1:28" ht="13.5" customHeight="1" thickBot="1" x14ac:dyDescent="0.25">
      <c r="A28" s="1583"/>
      <c r="B28" s="1584"/>
      <c r="C28" s="1591"/>
      <c r="D28" s="1592"/>
      <c r="E28" s="1592"/>
      <c r="F28" s="1592"/>
      <c r="G28" s="1593"/>
      <c r="H28" s="1595" t="str">
        <f>IF(J28="","",VALUE(VLOOKUP(J28,'Chart Data'!$AR$1:$AS$137,2,FALSE)))</f>
        <v/>
      </c>
      <c r="I28" s="1596"/>
      <c r="J28" s="1597"/>
      <c r="K28" s="1598"/>
      <c r="L28" s="238"/>
      <c r="M28" s="1073"/>
      <c r="N28" s="1075" t="str">
        <f>IF('Chart Data'!S55="Recycle","Rap Gsb =","")</f>
        <v/>
      </c>
      <c r="O28" s="1076">
        <f>'Chart Data'!R111</f>
        <v>0</v>
      </c>
      <c r="P28" s="1074">
        <f>IF(AND(N27="",O27=""),"",AVERAGE(N27:O27))</f>
        <v>0</v>
      </c>
      <c r="Q28" s="112" t="s">
        <v>130</v>
      </c>
      <c r="R28" s="239" t="str">
        <f>IF(Q25="","",AVERAGE(R25:R27))</f>
        <v/>
      </c>
      <c r="S28" s="29" t="s">
        <v>131</v>
      </c>
      <c r="T28" s="118"/>
      <c r="U28" s="594"/>
      <c r="V28" s="6"/>
      <c r="W28" s="315"/>
      <c r="X28" s="6"/>
      <c r="Y28" s="6"/>
      <c r="Z28" s="1450"/>
      <c r="AA28" s="1450"/>
      <c r="AB28" s="1450"/>
    </row>
    <row r="29" spans="1:28" ht="13.5" customHeight="1" thickTop="1" thickBot="1" x14ac:dyDescent="0.25">
      <c r="A29" s="45"/>
      <c r="B29" s="45"/>
      <c r="C29" s="44"/>
      <c r="D29" s="45"/>
      <c r="E29" s="75"/>
      <c r="F29" s="45"/>
      <c r="G29" s="45"/>
      <c r="H29" s="45"/>
      <c r="I29" s="451" t="str">
        <f>IF('Chart Data'!S55="Recycle","Fill in Recycle Info. on 'Recycle Data' sheet and the Backcalculated Gsb will be automatically utilized for the Agg. Gravity for Recycle.","")</f>
        <v/>
      </c>
      <c r="J29" s="44"/>
      <c r="K29" s="74"/>
      <c r="L29" s="75"/>
      <c r="N29" s="5"/>
      <c r="P29" s="11"/>
      <c r="Q29" s="1594"/>
      <c r="R29" s="1594"/>
      <c r="S29" s="1594"/>
      <c r="T29" s="1528"/>
      <c r="U29" s="1529"/>
      <c r="V29" s="6"/>
      <c r="X29" s="6"/>
    </row>
    <row r="30" spans="1:28" ht="13.5" customHeight="1" thickTop="1" x14ac:dyDescent="0.2">
      <c r="A30" s="28" t="s">
        <v>132</v>
      </c>
      <c r="B30" s="25" t="s">
        <v>133</v>
      </c>
      <c r="C30" s="33"/>
      <c r="D30" s="42" t="s">
        <v>134</v>
      </c>
      <c r="E30" s="26"/>
      <c r="F30" s="25" t="s">
        <v>135</v>
      </c>
      <c r="G30" s="25" t="s">
        <v>136</v>
      </c>
      <c r="H30" s="25" t="s">
        <v>137</v>
      </c>
      <c r="I30" s="25" t="s">
        <v>138</v>
      </c>
      <c r="J30" s="27" t="s">
        <v>139</v>
      </c>
      <c r="K30" s="25" t="s">
        <v>140</v>
      </c>
      <c r="L30" s="25" t="s">
        <v>141</v>
      </c>
      <c r="M30" s="25" t="s">
        <v>142</v>
      </c>
      <c r="N30" s="25" t="s">
        <v>143</v>
      </c>
      <c r="O30" s="25" t="s">
        <v>144</v>
      </c>
      <c r="P30" s="25" t="s">
        <v>145</v>
      </c>
      <c r="Q30" s="25" t="s">
        <v>146</v>
      </c>
      <c r="R30" s="256" t="s">
        <v>147</v>
      </c>
      <c r="S30" s="263"/>
      <c r="T30" s="258" t="s">
        <v>147</v>
      </c>
      <c r="U30" s="261"/>
      <c r="V30" s="11"/>
      <c r="W30" s="449"/>
      <c r="X30"/>
      <c r="Y30"/>
      <c r="Z30" s="1451"/>
      <c r="AA30" s="1451"/>
      <c r="AB30" s="1451"/>
    </row>
    <row r="31" spans="1:28" ht="13.5" customHeight="1" thickBot="1" x14ac:dyDescent="0.25">
      <c r="A31" s="29"/>
      <c r="B31" s="23" t="s">
        <v>148</v>
      </c>
      <c r="C31" s="23" t="s">
        <v>149</v>
      </c>
      <c r="D31" s="23" t="s">
        <v>150</v>
      </c>
      <c r="E31" s="23" t="s">
        <v>151</v>
      </c>
      <c r="F31" s="23" t="s">
        <v>152</v>
      </c>
      <c r="G31" s="170" t="s">
        <v>153</v>
      </c>
      <c r="H31" s="23" t="s">
        <v>154</v>
      </c>
      <c r="I31" s="23" t="s">
        <v>155</v>
      </c>
      <c r="J31" s="170" t="s">
        <v>153</v>
      </c>
      <c r="K31" s="23" t="s">
        <v>148</v>
      </c>
      <c r="L31" s="23"/>
      <c r="M31" s="170" t="s">
        <v>153</v>
      </c>
      <c r="N31" s="170" t="s">
        <v>153</v>
      </c>
      <c r="O31" s="23" t="s">
        <v>156</v>
      </c>
      <c r="P31" s="170" t="s">
        <v>157</v>
      </c>
      <c r="Q31" s="23" t="s">
        <v>158</v>
      </c>
      <c r="R31" s="257" t="s">
        <v>159</v>
      </c>
      <c r="S31" s="214"/>
      <c r="T31" s="259" t="s">
        <v>160</v>
      </c>
      <c r="U31" s="262"/>
      <c r="V31" s="8"/>
      <c r="W31" s="315"/>
      <c r="X31"/>
      <c r="Y31"/>
      <c r="Z31"/>
    </row>
    <row r="32" spans="1:28" ht="15.95" customHeight="1" thickTop="1" x14ac:dyDescent="0.2">
      <c r="A32" s="116">
        <v>1</v>
      </c>
      <c r="B32" s="26" t="s">
        <v>74</v>
      </c>
      <c r="C32" s="120"/>
      <c r="D32" s="121"/>
      <c r="E32" s="120"/>
      <c r="F32" s="245" t="str">
        <f>IF(E32="","",E32-D32)</f>
        <v/>
      </c>
      <c r="G32" s="246" t="str">
        <f t="shared" ref="G32:G42" si="0">IF(ISERROR(C32/F32),"",(C32/F32))</f>
        <v/>
      </c>
      <c r="H32" s="244" t="str">
        <f>IF(ISERROR(G32*62.4),"",(G32*62.4))</f>
        <v/>
      </c>
      <c r="I32" s="246"/>
      <c r="J32" s="171"/>
      <c r="K32" s="247"/>
      <c r="L32" s="247"/>
      <c r="M32" s="247"/>
      <c r="N32" s="198"/>
      <c r="O32" s="198"/>
      <c r="P32" s="244" t="str">
        <f>IF(OR(R32="",T32=""),"",((C32/F32)*(T32/R32))*100/I34)</f>
        <v/>
      </c>
      <c r="Q32" s="171"/>
      <c r="R32" s="1463"/>
      <c r="S32" s="1490"/>
      <c r="T32" s="1463"/>
      <c r="U32" s="1464"/>
      <c r="V32" s="8"/>
      <c r="W32" s="315"/>
      <c r="X32"/>
      <c r="Y32"/>
      <c r="Z32" s="8"/>
    </row>
    <row r="33" spans="1:27" ht="15.95" customHeight="1" x14ac:dyDescent="0.2">
      <c r="A33" s="117">
        <v>2</v>
      </c>
      <c r="B33" s="13"/>
      <c r="C33" s="122"/>
      <c r="D33" s="123"/>
      <c r="E33" s="122"/>
      <c r="F33" s="14" t="str">
        <f>IF(E33="","",E33-D33)</f>
        <v/>
      </c>
      <c r="G33" s="15" t="str">
        <f t="shared" si="0"/>
        <v/>
      </c>
      <c r="H33" s="172" t="str">
        <f>IF(ISERROR(G33*62.4),"",(G33*62.4))</f>
        <v/>
      </c>
      <c r="I33" s="15"/>
      <c r="J33" s="12"/>
      <c r="K33" s="16"/>
      <c r="L33" s="16"/>
      <c r="M33" s="16"/>
      <c r="N33" s="185"/>
      <c r="O33" s="185"/>
      <c r="P33" s="172" t="str">
        <f>IF(R33="","",((C33/F33)*(T33/R33))*100/I34)</f>
        <v/>
      </c>
      <c r="Q33" s="12"/>
      <c r="R33" s="1487"/>
      <c r="S33" s="1488"/>
      <c r="T33" s="1487"/>
      <c r="U33" s="1489"/>
      <c r="V33" s="8"/>
      <c r="X33"/>
      <c r="Y33"/>
      <c r="Z33" s="8"/>
    </row>
    <row r="34" spans="1:27" ht="15.95" customHeight="1" thickBot="1" x14ac:dyDescent="0.25">
      <c r="A34" s="30" t="s">
        <v>161</v>
      </c>
      <c r="B34" s="118"/>
      <c r="C34" s="17"/>
      <c r="D34" s="18"/>
      <c r="E34" s="19" t="s">
        <v>74</v>
      </c>
      <c r="F34" s="18"/>
      <c r="G34" s="20" t="str">
        <f>IF(G32="","",AVERAGE(G32:G33))</f>
        <v/>
      </c>
      <c r="H34" s="21" t="str">
        <f>IF(H32="","",AVERAGE(H32:H33))</f>
        <v/>
      </c>
      <c r="I34" s="20" t="str">
        <f>IF(B34="","",100/((B34/1.03)+((100-B34)/$O$24)))</f>
        <v/>
      </c>
      <c r="J34" s="21" t="str">
        <f>IF(I34="","",((I34-G34)/I34)*100)</f>
        <v/>
      </c>
      <c r="K34" s="22" t="str">
        <f>IF(B34="","",($O$24-$O$23)/($O$24*$O$23)*$O$25*(100-B34))</f>
        <v/>
      </c>
      <c r="L34" s="21" t="str">
        <f>IF(B34="","",(B34-K34))</f>
        <v/>
      </c>
      <c r="M34" s="21" t="str">
        <f>IF(B34="","",100-(G34*(100-B34)/$O$23))</f>
        <v/>
      </c>
      <c r="N34" s="199" t="str">
        <f>IF(M34="","",(100*(M34-J34)/M34))</f>
        <v/>
      </c>
      <c r="O34" s="186" t="str">
        <f>IF(L34="","",(10*((L34/100)/($H$98*(1-L34/100))/0.00003937)+0.5)/10)</f>
        <v/>
      </c>
      <c r="P34" s="21" t="str">
        <f>IF(P32="","",AVERAGE(P32:P33))</f>
        <v/>
      </c>
      <c r="Q34" s="21" t="str">
        <f>IF($L$34="","",($T$28/L34))</f>
        <v/>
      </c>
      <c r="R34" s="264"/>
      <c r="S34" s="213"/>
      <c r="T34" s="264"/>
      <c r="U34" s="260"/>
      <c r="V34" s="8"/>
      <c r="W34" s="449"/>
      <c r="X34"/>
      <c r="Y34"/>
      <c r="Z34" s="8"/>
    </row>
    <row r="35" spans="1:27" ht="15.95" customHeight="1" thickTop="1" x14ac:dyDescent="0.2">
      <c r="A35" s="116">
        <v>3</v>
      </c>
      <c r="B35" s="172" t="s">
        <v>133</v>
      </c>
      <c r="C35" s="120"/>
      <c r="D35" s="121"/>
      <c r="E35" s="120"/>
      <c r="F35" s="14" t="str">
        <f>IF(E35="","",E35-D35)</f>
        <v/>
      </c>
      <c r="G35" s="15" t="str">
        <f t="shared" si="0"/>
        <v/>
      </c>
      <c r="H35" s="172" t="str">
        <f>IF(ISERROR(G35*62.4),"",(G35*62.4))</f>
        <v/>
      </c>
      <c r="I35" s="15"/>
      <c r="J35" s="12"/>
      <c r="K35" s="16"/>
      <c r="L35" s="16"/>
      <c r="M35" s="16"/>
      <c r="N35" s="198"/>
      <c r="O35" s="185"/>
      <c r="P35" s="172" t="str">
        <f>IF(R35="","",((C35/F35)*(T35/R35))*100/I37)</f>
        <v/>
      </c>
      <c r="Q35" s="171"/>
      <c r="R35" s="1463"/>
      <c r="S35" s="1490"/>
      <c r="T35" s="1463"/>
      <c r="U35" s="1464"/>
      <c r="V35" s="8"/>
      <c r="W35" s="315"/>
      <c r="X35"/>
      <c r="Y35"/>
      <c r="Z35" s="8"/>
    </row>
    <row r="36" spans="1:27" ht="15.95" customHeight="1" x14ac:dyDescent="0.2">
      <c r="A36" s="117">
        <v>4</v>
      </c>
      <c r="B36" s="12"/>
      <c r="C36" s="122"/>
      <c r="D36" s="123"/>
      <c r="E36" s="122"/>
      <c r="F36" s="14" t="str">
        <f>IF(E36="","",E36-D36)</f>
        <v/>
      </c>
      <c r="G36" s="15" t="str">
        <f t="shared" si="0"/>
        <v/>
      </c>
      <c r="H36" s="172" t="str">
        <f>IF(ISERROR(G36*62.4),"",(G36*62.4))</f>
        <v/>
      </c>
      <c r="I36" s="15"/>
      <c r="J36" s="12"/>
      <c r="K36" s="16"/>
      <c r="L36" s="16"/>
      <c r="M36" s="16"/>
      <c r="N36" s="185"/>
      <c r="O36" s="185"/>
      <c r="P36" s="172" t="str">
        <f>IF(R36="","",((C36/F36)*(T36/R36))*100/I37)</f>
        <v/>
      </c>
      <c r="Q36" s="12"/>
      <c r="R36" s="1487"/>
      <c r="S36" s="1488"/>
      <c r="T36" s="1487"/>
      <c r="U36" s="1489"/>
      <c r="V36" s="8"/>
      <c r="W36" s="315"/>
      <c r="X36"/>
      <c r="Y36"/>
      <c r="Z36" s="8"/>
    </row>
    <row r="37" spans="1:27" ht="15.95" customHeight="1" thickBot="1" x14ac:dyDescent="0.25">
      <c r="A37" s="30" t="s">
        <v>161</v>
      </c>
      <c r="B37" s="119"/>
      <c r="C37" s="24"/>
      <c r="D37" s="18" t="s">
        <v>74</v>
      </c>
      <c r="E37" s="19"/>
      <c r="F37" s="18"/>
      <c r="G37" s="20" t="str">
        <f>IF(G35="","",AVERAGE(G35:G36))</f>
        <v/>
      </c>
      <c r="H37" s="21" t="str">
        <f>IF(H35="","",AVERAGE(H35:H36))</f>
        <v/>
      </c>
      <c r="I37" s="20" t="str">
        <f>IF(B37="","",100/((B37/1.03)+((100-B37)/$O$24)))</f>
        <v/>
      </c>
      <c r="J37" s="21" t="str">
        <f>IF(I37="","",((I37-G37)/I37)*100)</f>
        <v/>
      </c>
      <c r="K37" s="22" t="str">
        <f>IF(B37="","",($O$24-$O$23)/($O$24*$O$23)*$O$25*(100-B37))</f>
        <v/>
      </c>
      <c r="L37" s="21" t="str">
        <f>IF(B37="","",(B37-K37))</f>
        <v/>
      </c>
      <c r="M37" s="21" t="str">
        <f>IF(B37="","",100-(G37*(100-B37)/$O$23))</f>
        <v/>
      </c>
      <c r="N37" s="199" t="str">
        <f>IF(M37="","",(100*(M37-J37)/M37))</f>
        <v/>
      </c>
      <c r="O37" s="186" t="str">
        <f>IF(L37="","",(10*((L37/100)/($H$98*(1-L37/100))/0.00003937)+0.5)/10)</f>
        <v/>
      </c>
      <c r="P37" s="21" t="str">
        <f>IF(P35="","",AVERAGE(P35:P36))</f>
        <v/>
      </c>
      <c r="Q37" s="21" t="str">
        <f>IF($L$37="","",($T$28/L37))</f>
        <v/>
      </c>
      <c r="R37" s="264"/>
      <c r="S37" s="213"/>
      <c r="T37" s="264"/>
      <c r="U37" s="260"/>
      <c r="V37" s="8"/>
      <c r="W37" s="6"/>
      <c r="X37"/>
      <c r="Y37"/>
      <c r="Z37" s="8"/>
    </row>
    <row r="38" spans="1:27" ht="15.95" customHeight="1" thickTop="1" x14ac:dyDescent="0.2">
      <c r="A38" s="116">
        <v>5</v>
      </c>
      <c r="B38" s="172" t="s">
        <v>133</v>
      </c>
      <c r="C38" s="120"/>
      <c r="D38" s="121"/>
      <c r="E38" s="120"/>
      <c r="F38" s="14" t="str">
        <f>IF(E38="","",E38-D38)</f>
        <v/>
      </c>
      <c r="G38" s="15" t="str">
        <f t="shared" si="0"/>
        <v/>
      </c>
      <c r="H38" s="172" t="str">
        <f>IF(ISERROR(G38*62.4),"",(G38*62.4))</f>
        <v/>
      </c>
      <c r="I38" s="15"/>
      <c r="J38" s="12"/>
      <c r="K38" s="16"/>
      <c r="L38" s="16"/>
      <c r="M38" s="16"/>
      <c r="N38" s="198"/>
      <c r="O38" s="185"/>
      <c r="P38" s="172" t="str">
        <f>IF(R38="","",((C38/F38)*(T38/R38))*100/I40)</f>
        <v/>
      </c>
      <c r="Q38" s="171"/>
      <c r="R38" s="1463"/>
      <c r="S38" s="1490"/>
      <c r="T38" s="1463"/>
      <c r="U38" s="1464"/>
      <c r="V38" s="8"/>
      <c r="W38" s="6"/>
      <c r="X38"/>
      <c r="Y38"/>
      <c r="Z38" s="8"/>
    </row>
    <row r="39" spans="1:27" ht="15.95" customHeight="1" x14ac:dyDescent="0.2">
      <c r="A39" s="117">
        <v>6</v>
      </c>
      <c r="B39" s="12"/>
      <c r="C39" s="122"/>
      <c r="D39" s="123"/>
      <c r="E39" s="122"/>
      <c r="F39" s="14" t="str">
        <f>IF(E39="","",E39-D39)</f>
        <v/>
      </c>
      <c r="G39" s="15" t="str">
        <f t="shared" si="0"/>
        <v/>
      </c>
      <c r="H39" s="172" t="str">
        <f>IF(ISERROR(G39*62.4),"",(G39*62.4))</f>
        <v/>
      </c>
      <c r="I39" s="15"/>
      <c r="J39" s="12"/>
      <c r="K39" s="16"/>
      <c r="L39" s="16"/>
      <c r="M39" s="16"/>
      <c r="N39" s="185"/>
      <c r="O39" s="185"/>
      <c r="P39" s="172" t="str">
        <f>IF(R39="","",((C39/F39)*(T39/R39))*100/I40)</f>
        <v/>
      </c>
      <c r="Q39" s="12"/>
      <c r="R39" s="1487"/>
      <c r="S39" s="1488"/>
      <c r="T39" s="1487"/>
      <c r="U39" s="1489"/>
      <c r="V39" s="8"/>
      <c r="W39" s="6"/>
      <c r="X39"/>
      <c r="Y39"/>
      <c r="Z39" s="8"/>
    </row>
    <row r="40" spans="1:27" ht="15.95" customHeight="1" thickBot="1" x14ac:dyDescent="0.25">
      <c r="A40" s="30" t="s">
        <v>161</v>
      </c>
      <c r="B40" s="119"/>
      <c r="C40" s="24"/>
      <c r="D40" s="18" t="s">
        <v>74</v>
      </c>
      <c r="E40" s="19"/>
      <c r="F40" s="18"/>
      <c r="G40" s="20" t="str">
        <f>IF(G38="","",AVERAGE(G38:G39))</f>
        <v/>
      </c>
      <c r="H40" s="21" t="str">
        <f>IF(H38="","",AVERAGE(H38:H39))</f>
        <v/>
      </c>
      <c r="I40" s="20" t="str">
        <f>IF(B40="","",100/((B40/1.03)+((100-B40)/$O$24)))</f>
        <v/>
      </c>
      <c r="J40" s="21" t="str">
        <f>IF(I40="","",((I40-G40)/I40)*100)</f>
        <v/>
      </c>
      <c r="K40" s="22" t="str">
        <f>IF(B40="","",($O$24-$O$23)/($O$24*$O$23)*$O$25*(100-B40))</f>
        <v/>
      </c>
      <c r="L40" s="21" t="str">
        <f>IF(B40="","",(B40-K40))</f>
        <v/>
      </c>
      <c r="M40" s="21" t="str">
        <f>IF(B40="","",100-(G40*(100-B40)/$O$23))</f>
        <v/>
      </c>
      <c r="N40" s="199" t="str">
        <f>IF(M40="","",(100*(M40-J40)/M40))</f>
        <v/>
      </c>
      <c r="O40" s="186" t="str">
        <f>IF(L40="","",(10*((L40/100)/($H$98*(1-L40/100))/0.00003937)+0.5)/10)</f>
        <v/>
      </c>
      <c r="P40" s="21" t="str">
        <f>IF(P38="","",AVERAGE(P38:P39))</f>
        <v/>
      </c>
      <c r="Q40" s="21" t="str">
        <f>IF($L$40="","",($T$28/L40))</f>
        <v/>
      </c>
      <c r="R40" s="264"/>
      <c r="S40" s="213"/>
      <c r="T40" s="264"/>
      <c r="U40" s="260"/>
      <c r="V40" s="11"/>
      <c r="W40" s="6"/>
      <c r="X40"/>
      <c r="Y40"/>
      <c r="Z40" s="8"/>
    </row>
    <row r="41" spans="1:27" ht="15.95" customHeight="1" thickTop="1" x14ac:dyDescent="0.2">
      <c r="A41" s="116">
        <v>7</v>
      </c>
      <c r="B41" s="172" t="s">
        <v>133</v>
      </c>
      <c r="C41" s="120"/>
      <c r="D41" s="121"/>
      <c r="E41" s="120"/>
      <c r="F41" s="14" t="str">
        <f>IF(E41="","",E41-D41)</f>
        <v/>
      </c>
      <c r="G41" s="15" t="str">
        <f t="shared" si="0"/>
        <v/>
      </c>
      <c r="H41" s="172" t="str">
        <f>IF(ISERROR(G41*62.4),"",(G41*62.4))</f>
        <v/>
      </c>
      <c r="I41" s="15"/>
      <c r="J41" s="12"/>
      <c r="K41" s="16"/>
      <c r="L41" s="16"/>
      <c r="M41" s="16"/>
      <c r="N41" s="198"/>
      <c r="O41" s="185"/>
      <c r="P41" s="172" t="str">
        <f>IF(R41="","",((C41/F41)*(T41/R41))*100/I43)</f>
        <v/>
      </c>
      <c r="Q41" s="171"/>
      <c r="R41" s="1463"/>
      <c r="S41" s="1490"/>
      <c r="T41" s="1463"/>
      <c r="U41" s="1464"/>
      <c r="V41" s="11"/>
      <c r="W41" s="11"/>
      <c r="X41"/>
      <c r="Y41"/>
      <c r="Z41" s="8"/>
    </row>
    <row r="42" spans="1:27" ht="15.95" customHeight="1" x14ac:dyDescent="0.2">
      <c r="A42" s="117">
        <v>8</v>
      </c>
      <c r="B42" s="12"/>
      <c r="C42" s="122"/>
      <c r="D42" s="123"/>
      <c r="E42" s="122"/>
      <c r="F42" s="14" t="str">
        <f>IF(E42="","",E42-D42)</f>
        <v/>
      </c>
      <c r="G42" s="15" t="str">
        <f t="shared" si="0"/>
        <v/>
      </c>
      <c r="H42" s="172" t="str">
        <f>IF(ISERROR(G42*62.4),"",(G42*62.4))</f>
        <v/>
      </c>
      <c r="I42" s="15"/>
      <c r="J42" s="12"/>
      <c r="K42" s="16"/>
      <c r="L42" s="16"/>
      <c r="M42" s="16"/>
      <c r="N42" s="185"/>
      <c r="O42" s="185"/>
      <c r="P42" s="172" t="str">
        <f>IF(R42="","",((C42/F42)*(T42/R42))*100/I43)</f>
        <v/>
      </c>
      <c r="Q42" s="12"/>
      <c r="R42" s="1487"/>
      <c r="S42" s="1488"/>
      <c r="T42" s="1487"/>
      <c r="U42" s="1489"/>
      <c r="V42" s="11"/>
      <c r="W42" s="11"/>
      <c r="X42"/>
      <c r="Y42"/>
      <c r="Z42" s="8"/>
    </row>
    <row r="43" spans="1:27" ht="15.95" customHeight="1" thickBot="1" x14ac:dyDescent="0.25">
      <c r="A43" s="30" t="s">
        <v>161</v>
      </c>
      <c r="B43" s="119"/>
      <c r="C43" s="19"/>
      <c r="D43" s="18"/>
      <c r="E43" s="23"/>
      <c r="F43" s="18"/>
      <c r="G43" s="20" t="str">
        <f>IF(G41="","",AVERAGE(G41:G42))</f>
        <v/>
      </c>
      <c r="H43" s="21" t="str">
        <f>IF(H41="","",AVERAGE(H41:H42))</f>
        <v/>
      </c>
      <c r="I43" s="20" t="str">
        <f>IF(B43="","",100/((B43/1.03)+((100-B43)/$O$24)))</f>
        <v/>
      </c>
      <c r="J43" s="21" t="str">
        <f>IF(I43="","",((I43-G43)/I43)*100)</f>
        <v/>
      </c>
      <c r="K43" s="22" t="str">
        <f>IF(B43="","",($O$24-$O$23)/($O$24*$O$23)*$O$25*(100-B43))</f>
        <v/>
      </c>
      <c r="L43" s="21" t="str">
        <f>IF(B43="","",(B43-K43))</f>
        <v/>
      </c>
      <c r="M43" s="21" t="str">
        <f>IF(B43="","",100-(G43*(100-B43)/$O$23))</f>
        <v/>
      </c>
      <c r="N43" s="646" t="str">
        <f>IF(M43="","",(100*(M43-J43)/M43))</f>
        <v/>
      </c>
      <c r="O43" s="186" t="str">
        <f>IF(L43="","",(10*((L43/100)/($H$98*(1-L43/100))/0.00003937)+0.5)/10)</f>
        <v/>
      </c>
      <c r="P43" s="21" t="str">
        <f>IF(P41="","",AVERAGE(P41:P42))</f>
        <v/>
      </c>
      <c r="Q43" s="21" t="str">
        <f>IF($L$43="","",($T$28/L43))</f>
        <v/>
      </c>
      <c r="R43" s="264"/>
      <c r="S43" s="214"/>
      <c r="T43" s="264"/>
      <c r="U43" s="262"/>
      <c r="V43" s="11"/>
      <c r="W43" s="11"/>
      <c r="X43"/>
      <c r="Y43"/>
      <c r="Z43" s="8"/>
    </row>
    <row r="44" spans="1:27" ht="12" customHeight="1" thickTop="1" thickBot="1" x14ac:dyDescent="0.25">
      <c r="A44" s="110" t="s">
        <v>162</v>
      </c>
      <c r="B44" s="613"/>
      <c r="C44" s="252"/>
      <c r="D44" s="253"/>
      <c r="E44" s="11"/>
      <c r="F44" s="253"/>
      <c r="G44" s="189"/>
      <c r="H44" s="100"/>
      <c r="I44" s="189"/>
      <c r="J44" s="100"/>
      <c r="K44" s="111"/>
      <c r="L44" s="100"/>
      <c r="M44" s="100"/>
      <c r="N44" s="254"/>
      <c r="O44" s="100"/>
      <c r="P44" s="100"/>
      <c r="Q44" s="100"/>
      <c r="R44" s="265"/>
      <c r="S44" s="45"/>
      <c r="T44" s="265"/>
      <c r="U44" s="45"/>
      <c r="V44" s="11"/>
      <c r="W44" s="11"/>
      <c r="X44" s="11"/>
      <c r="Y44" s="11"/>
      <c r="Z44" s="8"/>
    </row>
    <row r="45" spans="1:27" ht="12.75" customHeight="1" thickTop="1" x14ac:dyDescent="0.2">
      <c r="A45" s="28" t="s">
        <v>132</v>
      </c>
      <c r="B45" s="25" t="s">
        <v>133</v>
      </c>
      <c r="C45" s="33"/>
      <c r="D45" s="42" t="s">
        <v>134</v>
      </c>
      <c r="E45" s="26"/>
      <c r="F45" s="25" t="s">
        <v>135</v>
      </c>
      <c r="G45" s="25" t="s">
        <v>136</v>
      </c>
      <c r="H45" s="25" t="s">
        <v>137</v>
      </c>
      <c r="I45" s="25" t="s">
        <v>138</v>
      </c>
      <c r="J45" s="27" t="s">
        <v>139</v>
      </c>
      <c r="K45" s="25" t="s">
        <v>140</v>
      </c>
      <c r="L45" s="25" t="s">
        <v>141</v>
      </c>
      <c r="M45" s="25" t="s">
        <v>142</v>
      </c>
      <c r="N45" s="25" t="s">
        <v>143</v>
      </c>
      <c r="O45" s="25" t="s">
        <v>144</v>
      </c>
      <c r="P45" s="25" t="s">
        <v>145</v>
      </c>
      <c r="Q45" s="25" t="s">
        <v>146</v>
      </c>
      <c r="R45" s="25" t="s">
        <v>147</v>
      </c>
      <c r="S45" s="25" t="s">
        <v>147</v>
      </c>
      <c r="T45" s="255" t="s">
        <v>147</v>
      </c>
      <c r="U45" s="248" t="s">
        <v>145</v>
      </c>
      <c r="V45" s="8"/>
      <c r="W45"/>
      <c r="X45"/>
      <c r="Y45"/>
      <c r="Z45"/>
    </row>
    <row r="46" spans="1:27" ht="12" customHeight="1" thickBot="1" x14ac:dyDescent="0.25">
      <c r="A46" s="29"/>
      <c r="B46" s="23" t="s">
        <v>148</v>
      </c>
      <c r="C46" s="23" t="s">
        <v>149</v>
      </c>
      <c r="D46" s="23" t="s">
        <v>150</v>
      </c>
      <c r="E46" s="23" t="s">
        <v>151</v>
      </c>
      <c r="F46" s="23" t="s">
        <v>152</v>
      </c>
      <c r="G46" s="170" t="s">
        <v>153</v>
      </c>
      <c r="H46" s="23" t="s">
        <v>154</v>
      </c>
      <c r="I46" s="23" t="s">
        <v>155</v>
      </c>
      <c r="J46" s="170" t="s">
        <v>153</v>
      </c>
      <c r="K46" s="23" t="s">
        <v>148</v>
      </c>
      <c r="L46" s="23"/>
      <c r="M46" s="170" t="s">
        <v>153</v>
      </c>
      <c r="N46" s="170" t="s">
        <v>153</v>
      </c>
      <c r="O46" s="23" t="s">
        <v>156</v>
      </c>
      <c r="P46" s="170" t="s">
        <v>157</v>
      </c>
      <c r="Q46" s="23" t="s">
        <v>158</v>
      </c>
      <c r="R46" s="170" t="s">
        <v>159</v>
      </c>
      <c r="S46" s="170" t="s">
        <v>163</v>
      </c>
      <c r="T46" s="170" t="s">
        <v>164</v>
      </c>
      <c r="U46" s="249" t="s">
        <v>165</v>
      </c>
      <c r="V46" s="11"/>
      <c r="W46"/>
      <c r="X46"/>
      <c r="Y46"/>
      <c r="Z46"/>
    </row>
    <row r="47" spans="1:27" ht="15.95" customHeight="1" thickTop="1" x14ac:dyDescent="0.2">
      <c r="A47" s="116" t="s">
        <v>166</v>
      </c>
      <c r="B47" s="244" t="s">
        <v>133</v>
      </c>
      <c r="C47" s="120"/>
      <c r="D47" s="121"/>
      <c r="E47" s="120"/>
      <c r="F47" s="245" t="str">
        <f>IF(E47="","",E47-D47)</f>
        <v/>
      </c>
      <c r="G47" s="246" t="str">
        <f>IF(ISERROR(C47/F47),"",((C47/F47)*(T47/S47)))</f>
        <v/>
      </c>
      <c r="H47" s="244" t="str">
        <f>IF(ISERROR(G47*62.4),"",(G47*62.4))</f>
        <v/>
      </c>
      <c r="I47" s="246"/>
      <c r="J47" s="171"/>
      <c r="K47" s="247"/>
      <c r="L47" s="247"/>
      <c r="M47" s="247"/>
      <c r="N47" s="198"/>
      <c r="O47" s="198"/>
      <c r="P47" s="244" t="str">
        <f>IF(T47="","",((C47/F47)*(T47/R47))*100/I49)</f>
        <v/>
      </c>
      <c r="Q47" s="171"/>
      <c r="R47" s="124"/>
      <c r="S47" s="124"/>
      <c r="T47" s="124"/>
      <c r="U47" s="250" t="str">
        <f>IF(T47="","",((C47/F47)*(T47/T47))*100/I49)</f>
        <v/>
      </c>
      <c r="V47"/>
      <c r="W47" s="1226">
        <f>(C47+C48)/2</f>
        <v>0</v>
      </c>
      <c r="X47" s="1226" t="str">
        <f>IF(W47=0,"",(115/W48))</f>
        <v/>
      </c>
      <c r="Y47" s="436"/>
      <c r="Z47" s="436"/>
      <c r="AA47"/>
    </row>
    <row r="48" spans="1:27" ht="15.95" customHeight="1" x14ac:dyDescent="0.2">
      <c r="A48" s="117" t="s">
        <v>167</v>
      </c>
      <c r="B48" s="12"/>
      <c r="C48" s="122"/>
      <c r="D48" s="123"/>
      <c r="E48" s="122"/>
      <c r="F48" s="14" t="str">
        <f>IF(E48="","",E48-D48)</f>
        <v/>
      </c>
      <c r="G48" s="571" t="str">
        <f>IF(ISERROR(C48/F48),"",((C48/F48)*(T48/S48)))</f>
        <v/>
      </c>
      <c r="H48" s="172" t="str">
        <f>IF(ISERROR(G48*62.4),"",(G48*62.4))</f>
        <v/>
      </c>
      <c r="I48" s="15"/>
      <c r="J48" s="12"/>
      <c r="K48" s="16"/>
      <c r="L48" s="16"/>
      <c r="M48" s="16"/>
      <c r="N48" s="185"/>
      <c r="O48" s="185"/>
      <c r="P48" s="172" t="str">
        <f>IF(T48="","",((C48/F48)*(T48/R48))*100/I49)</f>
        <v/>
      </c>
      <c r="Q48" s="12"/>
      <c r="R48" s="125"/>
      <c r="S48" s="125"/>
      <c r="T48" s="125"/>
      <c r="U48" s="251" t="str">
        <f>IF(T48="","",((C48/F48)*(T48/T48))*100/I49)</f>
        <v/>
      </c>
      <c r="V48"/>
      <c r="W48" s="1226">
        <f>(S47+S48)/2</f>
        <v>0</v>
      </c>
      <c r="X48" s="1226" t="str">
        <f>IF(W47=0,"",+X47*W47)</f>
        <v/>
      </c>
      <c r="Y48" s="436"/>
      <c r="Z48" s="436"/>
      <c r="AA48"/>
    </row>
    <row r="49" spans="1:31" ht="15.95" customHeight="1" thickBot="1" x14ac:dyDescent="0.25">
      <c r="A49" s="30" t="s">
        <v>161</v>
      </c>
      <c r="B49" s="118"/>
      <c r="C49" s="19"/>
      <c r="D49" s="18"/>
      <c r="E49" s="23"/>
      <c r="F49" s="18"/>
      <c r="G49" s="20" t="str">
        <f>IF(G47="","",AVERAGE(G47:G48))</f>
        <v/>
      </c>
      <c r="H49" s="21" t="str">
        <f>IF(H47="","",AVERAGE(H47:H48))</f>
        <v/>
      </c>
      <c r="I49" s="20" t="str">
        <f>IF(B49="","",100/((B49/1.03)+((100-B49)/$O$24)))</f>
        <v/>
      </c>
      <c r="J49" s="21" t="str">
        <f>IF(I49="","",((I49-G49)/I49)*100)</f>
        <v/>
      </c>
      <c r="K49" s="22" t="str">
        <f>IF(B49="","",($O$24-$O$23)/($O$24*$O$23)*$O$25*(100-B49))</f>
        <v/>
      </c>
      <c r="L49" s="21" t="str">
        <f>IF(B49="","",(B49-K49))</f>
        <v/>
      </c>
      <c r="M49" s="21" t="str">
        <f>IF(B49="","",100-(G49*(100-B49)/$O$23))</f>
        <v/>
      </c>
      <c r="N49" s="202" t="str">
        <f>IF(M49="","",(100*(M49-J49)/M49))</f>
        <v/>
      </c>
      <c r="O49" s="186" t="str">
        <f>IF(L49="","",(10*((L49/100)/($H$98*(1-L49/100))/0.00003937)+0.5)/10)</f>
        <v/>
      </c>
      <c r="P49" s="21" t="str">
        <f>IF(P47="","",AVERAGE(P47:P48))</f>
        <v/>
      </c>
      <c r="Q49" s="21" t="str">
        <f>IF($L$49="","",($T$28/L49))</f>
        <v/>
      </c>
      <c r="R49" s="21"/>
      <c r="S49" s="21"/>
      <c r="T49" s="21"/>
      <c r="U49" s="104" t="str">
        <f>IF(U47="","",AVERAGE(U47:U48))</f>
        <v/>
      </c>
      <c r="V49"/>
      <c r="W49" s="436"/>
      <c r="X49" s="436"/>
      <c r="Y49" s="436"/>
      <c r="Z49" s="436"/>
      <c r="AA49" s="1218"/>
    </row>
    <row r="50" spans="1:31" ht="18" customHeight="1" thickTop="1" thickBot="1" x14ac:dyDescent="0.25">
      <c r="A50"/>
      <c r="B50"/>
      <c r="C50"/>
      <c r="D50"/>
      <c r="E50"/>
      <c r="F50"/>
      <c r="G50"/>
      <c r="H50"/>
      <c r="I50"/>
      <c r="J50"/>
      <c r="K50"/>
      <c r="L50"/>
      <c r="M50"/>
      <c r="N50"/>
      <c r="O50"/>
      <c r="P50"/>
      <c r="Q50"/>
      <c r="R50"/>
      <c r="S50"/>
      <c r="T50"/>
      <c r="U50"/>
      <c r="V50" s="11"/>
      <c r="W50" s="436"/>
      <c r="X50" s="436"/>
      <c r="Y50" s="436"/>
      <c r="Z50" s="436"/>
      <c r="AC50" s="65"/>
      <c r="AD50" s="3"/>
    </row>
    <row r="51" spans="1:31" ht="21.95" customHeight="1" thickTop="1" thickBot="1" x14ac:dyDescent="0.3">
      <c r="A51" s="404" t="s">
        <v>170</v>
      </c>
      <c r="B51" s="405"/>
      <c r="C51" s="406"/>
      <c r="D51" s="407"/>
      <c r="E51" s="408"/>
      <c r="F51" s="405"/>
      <c r="G51" s="405"/>
      <c r="H51" s="405"/>
      <c r="I51" s="406"/>
      <c r="J51" s="409"/>
      <c r="L51" s="200" t="s">
        <v>171</v>
      </c>
      <c r="M51" s="130"/>
      <c r="N51" s="130"/>
      <c r="O51" s="201" t="s">
        <v>172</v>
      </c>
      <c r="P51" s="130" t="s">
        <v>173</v>
      </c>
      <c r="Q51" s="134"/>
      <c r="R51" s="6"/>
      <c r="S51" s="144" t="s">
        <v>174</v>
      </c>
      <c r="T51" s="131"/>
      <c r="U51" s="143"/>
      <c r="W51" s="436"/>
      <c r="X51" s="436"/>
      <c r="Y51" s="436"/>
      <c r="Z51" s="436"/>
      <c r="AC51" s="271"/>
      <c r="AD51" s="3"/>
    </row>
    <row r="52" spans="1:31" ht="20.100000000000001" customHeight="1" thickTop="1" x14ac:dyDescent="0.2">
      <c r="A52" s="410" t="s">
        <v>177</v>
      </c>
      <c r="B52" s="411"/>
      <c r="C52" s="412"/>
      <c r="D52" s="413"/>
      <c r="E52" s="414"/>
      <c r="F52" s="411"/>
      <c r="G52" s="411"/>
      <c r="H52" s="411"/>
      <c r="I52" s="415"/>
      <c r="J52" s="416"/>
      <c r="L52" s="173" t="s">
        <v>178</v>
      </c>
      <c r="M52" s="177"/>
      <c r="N52" s="177"/>
      <c r="O52" s="1121"/>
      <c r="P52" s="177" t="str">
        <f>IF(ISTEXT(H20),"",IF(K20="","ENTER",IF(OR(H20&lt;&gt;"",K20&lt;&gt;""),IF(H20&lt;=3,'Chart Data'!BO9,'Chart Data'!BP9),"")))</f>
        <v/>
      </c>
      <c r="Q52" s="215"/>
      <c r="R52" s="6"/>
      <c r="S52" s="148" t="s">
        <v>179</v>
      </c>
      <c r="T52" s="1561" t="str">
        <f t="shared" ref="T52:U54" si="1">IF($N$80="","","N/A")</f>
        <v/>
      </c>
      <c r="U52" s="1562" t="str">
        <f t="shared" si="1"/>
        <v/>
      </c>
      <c r="W52" s="436"/>
      <c r="X52" s="436"/>
      <c r="Y52" s="436"/>
      <c r="Z52" s="436"/>
      <c r="AC52" s="271"/>
      <c r="AD52" s="271"/>
    </row>
    <row r="53" spans="1:31" ht="20.100000000000001" customHeight="1" thickBot="1" x14ac:dyDescent="0.25">
      <c r="A53" s="417" t="s">
        <v>183</v>
      </c>
      <c r="B53" s="418"/>
      <c r="C53" s="419"/>
      <c r="D53" s="420"/>
      <c r="E53" s="421"/>
      <c r="F53" s="422"/>
      <c r="G53" s="422"/>
      <c r="H53" s="423"/>
      <c r="I53" s="424"/>
      <c r="J53" s="425"/>
      <c r="L53" s="174" t="s">
        <v>184</v>
      </c>
      <c r="M53" s="177"/>
      <c r="N53" s="177"/>
      <c r="O53" s="208"/>
      <c r="P53" s="216" t="str">
        <f>IF(ISTEXT(H20),"",IF(K20="","DEPTH",IF(OR(H20&lt;&gt;"",K20&lt;&gt;""),'Chart Data'!BP17)))</f>
        <v/>
      </c>
      <c r="Q53" s="217"/>
      <c r="R53"/>
      <c r="S53" s="147" t="s">
        <v>250</v>
      </c>
      <c r="T53" s="1588" t="str">
        <f t="shared" si="1"/>
        <v/>
      </c>
      <c r="U53" s="1589" t="str">
        <f t="shared" si="1"/>
        <v/>
      </c>
      <c r="W53" s="436"/>
      <c r="X53" s="436"/>
      <c r="Y53" s="436"/>
      <c r="Z53" s="436"/>
      <c r="AC53" s="271"/>
      <c r="AD53" s="271"/>
    </row>
    <row r="54" spans="1:31" ht="20.100000000000001" customHeight="1" thickTop="1" thickBot="1" x14ac:dyDescent="0.25">
      <c r="A54" s="426"/>
      <c r="B54" s="427"/>
      <c r="C54" s="428"/>
      <c r="D54" s="609" t="str">
        <f>IF('Chart Data'!K48="M","Metric Tons =","English Tons =")</f>
        <v>English Tons =</v>
      </c>
      <c r="E54" s="405"/>
      <c r="F54" s="430"/>
      <c r="G54" s="431"/>
      <c r="H54" s="432"/>
      <c r="I54" s="427"/>
      <c r="J54" s="433"/>
      <c r="L54" s="173" t="s">
        <v>186</v>
      </c>
      <c r="M54" s="177"/>
      <c r="N54" s="177"/>
      <c r="O54" s="209"/>
      <c r="P54" s="216" t="str">
        <f>IF('Chart Data'!J48="NO. 4","N/A",IF(ISTEXT(H20),"",IF(K20="","FROM","10 (maximum)")))</f>
        <v/>
      </c>
      <c r="Q54" s="218"/>
      <c r="R54"/>
      <c r="S54" s="147" t="s">
        <v>187</v>
      </c>
      <c r="T54" s="1458" t="str">
        <f t="shared" si="1"/>
        <v/>
      </c>
      <c r="U54" s="1535" t="str">
        <f t="shared" si="1"/>
        <v/>
      </c>
      <c r="W54" s="436"/>
      <c r="X54" s="436"/>
      <c r="Y54" s="436"/>
      <c r="Z54" s="436"/>
      <c r="AC54" s="271"/>
      <c r="AD54" s="271"/>
    </row>
    <row r="55" spans="1:31" ht="20.100000000000001" customHeight="1" thickTop="1" thickBot="1" x14ac:dyDescent="0.25">
      <c r="A55" s="434" t="s">
        <v>191</v>
      </c>
      <c r="B55" s="435" t="s">
        <v>192</v>
      </c>
      <c r="C55" s="434" t="s">
        <v>191</v>
      </c>
      <c r="D55" s="435" t="s">
        <v>192</v>
      </c>
      <c r="E55" s="434" t="s">
        <v>191</v>
      </c>
      <c r="F55" s="435" t="s">
        <v>192</v>
      </c>
      <c r="G55" s="434" t="s">
        <v>191</v>
      </c>
      <c r="H55" s="435" t="s">
        <v>192</v>
      </c>
      <c r="I55" s="434" t="s">
        <v>191</v>
      </c>
      <c r="J55" s="435" t="s">
        <v>192</v>
      </c>
      <c r="K55"/>
      <c r="L55" s="173" t="s">
        <v>193</v>
      </c>
      <c r="M55" s="177"/>
      <c r="N55" s="177"/>
      <c r="O55" s="208"/>
      <c r="P55" s="216" t="str">
        <f>IF(ISTEXT(H20),"",IF(K20="","SURFACE",IF(H20=2,"40 (minimum)",IF(H20=3,"45 (minimum)","50 (minimum)"))))</f>
        <v/>
      </c>
      <c r="Q55" s="219"/>
      <c r="R55"/>
      <c r="S55" s="146" t="s">
        <v>194</v>
      </c>
      <c r="T55" s="145"/>
      <c r="U55" s="999" t="str">
        <f>IF($N$80="","","N/A")</f>
        <v/>
      </c>
      <c r="W55" s="436"/>
      <c r="X55" s="436"/>
      <c r="Y55" s="436"/>
      <c r="Z55" s="436"/>
      <c r="AC55" s="271"/>
      <c r="AD55" s="271"/>
    </row>
    <row r="56" spans="1:31" ht="20.100000000000001" customHeight="1" thickTop="1" thickBot="1" x14ac:dyDescent="0.25">
      <c r="A56" s="622"/>
      <c r="B56" s="623"/>
      <c r="C56" s="624"/>
      <c r="D56" s="625"/>
      <c r="E56" s="624"/>
      <c r="F56" s="626"/>
      <c r="G56" s="624"/>
      <c r="H56" s="625"/>
      <c r="I56" s="624"/>
      <c r="J56" s="625"/>
      <c r="K56" s="611"/>
      <c r="L56" s="173" t="s">
        <v>143</v>
      </c>
      <c r="M56" s="177"/>
      <c r="N56" s="177"/>
      <c r="O56" s="596" t="str">
        <f>IF(AND(Graphs!K77="",N34=""),"",IF(AND(Graphs!K77="",N34&lt;&gt;0),N34,Graphs!K77))</f>
        <v/>
      </c>
      <c r="P56" s="1539" t="str">
        <f>IF(AND(H20=2,'Chart Data'!J48="NO. 4"),"67 - 77",IF(AND(H20&gt;2,'Chart Data'!J48="NO. 4"),"66 - 77",IF(H20="N/A","",IF(AND(H20=1,'Chart Data'!J48=1.5),"64 - 80",IF(AND(H20=2,'Chart Data'!J48=1.5),"64 - 78",IF(AND(H20=3,'Chart Data'!J48=1.5),"64 - 75",IF(AND(H20=4,'Chart Data'!J48=1.5),"64 - 75",V56)))))))</f>
        <v/>
      </c>
      <c r="Q56" s="1540"/>
      <c r="R56"/>
      <c r="S56" s="146" t="s">
        <v>196</v>
      </c>
      <c r="T56" s="145"/>
      <c r="U56" s="982" t="str">
        <f>IF($N$80="","","N/A")</f>
        <v/>
      </c>
      <c r="V56" s="1227" t="str">
        <f>IF(AND(H20=1,'Chart Data'!J48=1),"67 - 80",IF(H20=1,"70 - 80",IF(H20=2,"65 - 78",IF(AND(H20=3,'Chart Data'!J48=0.38),"73 - 76",IF(H20=3,"65 - 75",IF('Chart Data'!J48=0.38,"73 - 76",IF(AND('Chart Data'!J48&gt;0.38,'Chart Data'!J48&lt;=1.5),"65 - 75","")))))))</f>
        <v/>
      </c>
      <c r="W56" s="436"/>
      <c r="X56" s="436"/>
      <c r="Y56" s="436"/>
      <c r="Z56" s="436"/>
      <c r="AC56" s="271"/>
      <c r="AD56" s="271"/>
    </row>
    <row r="57" spans="1:31" ht="20.100000000000001" customHeight="1" thickTop="1" thickBot="1" x14ac:dyDescent="0.25">
      <c r="A57" s="622"/>
      <c r="B57" s="625"/>
      <c r="C57" s="624"/>
      <c r="D57" s="625"/>
      <c r="E57" s="624"/>
      <c r="F57" s="625"/>
      <c r="G57" s="624"/>
      <c r="H57" s="625"/>
      <c r="I57" s="624"/>
      <c r="J57" s="625"/>
      <c r="K57" s="611"/>
      <c r="L57" s="173" t="s">
        <v>142</v>
      </c>
      <c r="M57" s="177"/>
      <c r="N57" s="177"/>
      <c r="O57" s="596" t="str">
        <f>IF(AND(Graphs!K26="",M34=""),"",IF(AND(Graphs!K26="",M34&lt;&gt;0),M34,Graphs!K26))</f>
        <v/>
      </c>
      <c r="P57" s="177" t="str">
        <f>IF(ISTEXT(H20),"",IF('Chart Data'!W14="Bid Item Not In Drop-Down List",CONCATENATE('Chart Data'!X17 &amp; " (minimum)"),IF('Chart Data'!BS9="","",CONCATENATE('Chart Data'!BS9 &amp; ".0 (minimum)"))))</f>
        <v/>
      </c>
      <c r="Q57" s="182"/>
      <c r="R57"/>
      <c r="S57" s="146" t="s">
        <v>197</v>
      </c>
      <c r="T57" s="145"/>
      <c r="U57" s="149" t="str">
        <f>IF($N$80="","","N/A")</f>
        <v/>
      </c>
      <c r="W57" s="436"/>
      <c r="X57" s="436"/>
      <c r="Y57" s="436"/>
      <c r="Z57" s="436"/>
      <c r="AC57"/>
      <c r="AD57"/>
    </row>
    <row r="58" spans="1:31" ht="20.100000000000001" customHeight="1" thickTop="1" thickBot="1" x14ac:dyDescent="0.25">
      <c r="A58" s="622"/>
      <c r="B58" s="625"/>
      <c r="C58" s="624"/>
      <c r="D58" s="625"/>
      <c r="E58" s="624"/>
      <c r="F58" s="625"/>
      <c r="G58" s="624"/>
      <c r="H58" s="625"/>
      <c r="I58" s="624"/>
      <c r="J58" s="625"/>
      <c r="K58" s="611"/>
      <c r="L58" s="173" t="s">
        <v>198</v>
      </c>
      <c r="M58" s="177"/>
      <c r="N58" s="177"/>
      <c r="O58" s="596" t="str">
        <f>IF(AND(Graphs!K140="",Q34=""),"",IF(AND(Graphs!K140="",Q34&lt;&gt;0),Q34,Graphs!K140))</f>
        <v/>
      </c>
      <c r="P58" s="183" t="str">
        <f>IF('Chart Data'!BP13="","",IF('Chart Data'!BP13="NO. 4", "1.0 - 2.0",IF(OR('Chart Data'!BP13=0.38,'Chart Data'!BP13=0.5),"0.6 - 1.4","0.6 - 1.6")))</f>
        <v/>
      </c>
      <c r="Q58" s="180"/>
      <c r="R58"/>
      <c r="S58" s="1536" t="str">
        <f>IF($N$80="","","(Other information)")</f>
        <v/>
      </c>
      <c r="T58" s="1537" t="str">
        <f>IF($N$80="","","(Other information)")</f>
        <v/>
      </c>
      <c r="U58" s="1538" t="str">
        <f>IF($N$80="","","(Other information)")</f>
        <v/>
      </c>
      <c r="W58" s="1132"/>
      <c r="X58" s="1132"/>
      <c r="Y58" s="1132"/>
      <c r="Z58" s="1132"/>
      <c r="AC58" s="273"/>
      <c r="AD58" s="273"/>
    </row>
    <row r="59" spans="1:31" ht="20.100000000000001" customHeight="1" thickTop="1" thickBot="1" x14ac:dyDescent="0.25">
      <c r="A59" s="622"/>
      <c r="B59" s="625"/>
      <c r="C59" s="624"/>
      <c r="D59" s="625"/>
      <c r="E59" s="624"/>
      <c r="F59" s="625"/>
      <c r="G59" s="624"/>
      <c r="H59" s="625"/>
      <c r="I59" s="624"/>
      <c r="J59" s="625"/>
      <c r="K59"/>
      <c r="L59" s="173" t="s">
        <v>199</v>
      </c>
      <c r="M59" s="177"/>
      <c r="N59" s="177"/>
      <c r="O59" s="1133" t="str">
        <f>IF(AND(Graphs!K20="",P34=""),"",IF(AND(Graphs!K20="",P34&lt;&gt;0),P34,Graphs!K20))</f>
        <v/>
      </c>
      <c r="P59" s="216" t="str">
        <f>IF(ISTEXT(H20),"",IF(K20="","",IF(H20=1,"91.5 (maximum)",IF(H20=2,"90.5 (maximum)","89.0 (maximum)"))))</f>
        <v/>
      </c>
      <c r="Q59" s="181"/>
      <c r="S59"/>
      <c r="T59"/>
      <c r="U59"/>
      <c r="AA59"/>
      <c r="AB59"/>
      <c r="AC59"/>
      <c r="AD59"/>
      <c r="AE59" s="271"/>
    </row>
    <row r="60" spans="1:31" ht="20.100000000000001" customHeight="1" thickTop="1" thickBot="1" x14ac:dyDescent="0.25">
      <c r="A60" s="622"/>
      <c r="B60" s="625"/>
      <c r="C60" s="624"/>
      <c r="D60" s="625"/>
      <c r="E60" s="624"/>
      <c r="F60" s="625"/>
      <c r="G60" s="624"/>
      <c r="H60" s="625"/>
      <c r="I60" s="624"/>
      <c r="J60" s="625"/>
      <c r="K60"/>
      <c r="L60" s="173" t="s">
        <v>200</v>
      </c>
      <c r="M60" s="177"/>
      <c r="N60" s="177"/>
      <c r="O60" s="596" t="str">
        <f>U49</f>
        <v/>
      </c>
      <c r="P60" s="216" t="str">
        <f>IF(ISTEXT(H20),"",IF(K20="","","98.5 (maximum)"))</f>
        <v/>
      </c>
      <c r="Q60" s="181"/>
      <c r="R60"/>
      <c r="S60" s="138" t="s">
        <v>92</v>
      </c>
      <c r="T60" s="139" t="s">
        <v>93</v>
      </c>
      <c r="U60" s="140" t="s">
        <v>201</v>
      </c>
      <c r="W60"/>
      <c r="X60"/>
      <c r="Y60"/>
    </row>
    <row r="61" spans="1:31" ht="20.100000000000001" customHeight="1" thickTop="1" thickBot="1" x14ac:dyDescent="0.25">
      <c r="A61" s="622"/>
      <c r="B61" s="625"/>
      <c r="C61" s="624"/>
      <c r="D61" s="625"/>
      <c r="E61" s="624"/>
      <c r="F61" s="625"/>
      <c r="G61" s="624"/>
      <c r="H61" s="625"/>
      <c r="I61" s="624"/>
      <c r="J61" s="625"/>
      <c r="K61"/>
      <c r="L61" s="173" t="s">
        <v>202</v>
      </c>
      <c r="M61" s="177"/>
      <c r="N61" s="177"/>
      <c r="O61" s="596" t="str">
        <f>IF(AND(Graphs!K23="",J34=""),"",IF(AND(Graphs!K23="",J34&lt;&gt;0),J34,Graphs!K23))</f>
        <v/>
      </c>
      <c r="P61" s="184" t="str">
        <f>IF(ISNUMBER(H20),3.5,"")</f>
        <v/>
      </c>
      <c r="Q61" s="179"/>
      <c r="R61"/>
      <c r="S61" s="142" t="str">
        <f t="shared" ref="S61:S74" si="2">S15</f>
        <v>2 "</v>
      </c>
      <c r="T61" s="76">
        <f t="shared" ref="T61:T74" si="3">IF(T15="","",T15)</f>
        <v>100</v>
      </c>
      <c r="U61" s="141">
        <v>100</v>
      </c>
      <c r="W61"/>
      <c r="X61"/>
      <c r="Y61"/>
      <c r="AA61"/>
      <c r="AB61"/>
      <c r="AC61"/>
      <c r="AD61"/>
      <c r="AE61" s="273"/>
    </row>
    <row r="62" spans="1:31" ht="20.100000000000001" customHeight="1" thickTop="1" thickBot="1" x14ac:dyDescent="0.25">
      <c r="A62" s="622"/>
      <c r="B62" s="625"/>
      <c r="C62" s="624"/>
      <c r="D62" s="625"/>
      <c r="E62" s="624"/>
      <c r="F62" s="625"/>
      <c r="G62" s="624"/>
      <c r="H62" s="625"/>
      <c r="I62" s="624"/>
      <c r="J62" s="625"/>
      <c r="K62"/>
      <c r="L62" s="173" t="s">
        <v>203</v>
      </c>
      <c r="M62" s="177"/>
      <c r="N62" s="177"/>
      <c r="O62" s="596" t="str">
        <f>IF(AND(Graphs!K80="",H34=""),"",IF(AND(Graphs!K80="",H34&lt;&gt;0),H34,Graphs!K80))</f>
        <v/>
      </c>
      <c r="P62" s="177"/>
      <c r="Q62" s="179"/>
      <c r="R62"/>
      <c r="S62" s="49" t="str">
        <f t="shared" si="2"/>
        <v>1 1/2 "</v>
      </c>
      <c r="T62" s="76" t="str">
        <f t="shared" si="3"/>
        <v/>
      </c>
      <c r="U62" s="211"/>
      <c r="W62"/>
      <c r="X62"/>
      <c r="Y62"/>
    </row>
    <row r="63" spans="1:31" ht="20.100000000000001" customHeight="1" thickTop="1" thickBot="1" x14ac:dyDescent="0.25">
      <c r="A63" s="622"/>
      <c r="B63" s="625"/>
      <c r="C63" s="624"/>
      <c r="D63" s="625"/>
      <c r="E63" s="624"/>
      <c r="F63" s="625"/>
      <c r="G63" s="624"/>
      <c r="H63" s="625"/>
      <c r="I63" s="624"/>
      <c r="J63" s="625"/>
      <c r="K63"/>
      <c r="L63" s="175" t="s">
        <v>133</v>
      </c>
      <c r="M63" s="177"/>
      <c r="N63" s="177"/>
      <c r="O63" s="596" t="str">
        <f>IF(AND(Graphs!K17="",B34=""),"",IF(AND(Graphs!K17="",B34&lt;&gt;0),B34,Graphs!K17))</f>
        <v/>
      </c>
      <c r="P63" s="616" t="str">
        <f>IF(AND(ISNUMBER(H20),'Chart Data'!J48=0.5,O63&lt;5.3,'Chart Data'!H48&lt;&gt;20550),"AC% OUT OF SPEC.",IF(AND(ISNUMBER(H20),'Chart Data'!J48=0.38,O63&lt;5.6),"AC% OUT OF SPEC.",""))</f>
        <v/>
      </c>
      <c r="Q63" s="179"/>
      <c r="R63"/>
      <c r="S63" s="49" t="str">
        <f t="shared" si="2"/>
        <v>1 "</v>
      </c>
      <c r="T63" s="76" t="str">
        <f t="shared" si="3"/>
        <v/>
      </c>
      <c r="U63" s="211"/>
      <c r="W63"/>
      <c r="X63"/>
      <c r="Y63"/>
    </row>
    <row r="64" spans="1:31" ht="20.100000000000001" customHeight="1" thickTop="1" thickBot="1" x14ac:dyDescent="0.25">
      <c r="A64" s="622"/>
      <c r="B64" s="625"/>
      <c r="C64" s="624"/>
      <c r="D64" s="625"/>
      <c r="E64" s="624"/>
      <c r="F64" s="625"/>
      <c r="G64" s="624"/>
      <c r="H64" s="625"/>
      <c r="I64" s="624"/>
      <c r="J64" s="625"/>
      <c r="K64"/>
      <c r="L64" s="176" t="s">
        <v>204</v>
      </c>
      <c r="M64" s="177"/>
      <c r="N64" s="177"/>
      <c r="O64" s="596" t="str">
        <f>Graphs!K134</f>
        <v/>
      </c>
      <c r="P64" s="1128"/>
      <c r="Q64" s="179"/>
      <c r="R64"/>
      <c r="S64" s="49" t="str">
        <f t="shared" si="2"/>
        <v>3/4 "</v>
      </c>
      <c r="T64" s="76" t="str">
        <f t="shared" si="3"/>
        <v/>
      </c>
      <c r="U64" s="211"/>
      <c r="W64"/>
      <c r="X64"/>
      <c r="Y64"/>
    </row>
    <row r="65" spans="1:28" ht="20.100000000000001" customHeight="1" thickTop="1" thickBot="1" x14ac:dyDescent="0.25">
      <c r="A65" s="622"/>
      <c r="B65" s="625"/>
      <c r="C65" s="624"/>
      <c r="D65" s="625"/>
      <c r="E65" s="624"/>
      <c r="F65" s="625"/>
      <c r="G65" s="624"/>
      <c r="H65" s="625"/>
      <c r="I65" s="624"/>
      <c r="J65" s="625"/>
      <c r="K65"/>
      <c r="L65" s="175" t="s">
        <v>205</v>
      </c>
      <c r="M65" s="177"/>
      <c r="N65" s="177"/>
      <c r="O65" s="1134" t="str">
        <f>IF(AND(Graphs!K83="",I34=""),"",IF(AND(Graphs!K83="",I34&lt;&gt;0),I34,Graphs!K83))</f>
        <v/>
      </c>
      <c r="P65" s="177"/>
      <c r="Q65" s="179"/>
      <c r="R65"/>
      <c r="S65" s="49" t="str">
        <f t="shared" si="2"/>
        <v>1/2 "</v>
      </c>
      <c r="T65" s="76" t="str">
        <f t="shared" si="3"/>
        <v/>
      </c>
      <c r="U65" s="211"/>
      <c r="W65"/>
      <c r="X65"/>
      <c r="Y65"/>
    </row>
    <row r="66" spans="1:28" ht="20.100000000000001" customHeight="1" thickTop="1" thickBot="1" x14ac:dyDescent="0.25">
      <c r="A66" s="624"/>
      <c r="B66" s="625"/>
      <c r="C66" s="624"/>
      <c r="D66" s="625"/>
      <c r="E66" s="624"/>
      <c r="F66" s="625"/>
      <c r="G66" s="624"/>
      <c r="H66" s="625"/>
      <c r="I66" s="624"/>
      <c r="J66" s="625"/>
      <c r="K66"/>
      <c r="L66" s="176" t="s">
        <v>206</v>
      </c>
      <c r="M66" s="177"/>
      <c r="N66" s="177"/>
      <c r="O66" s="1135" t="str">
        <f>IF(AND(K49="",K34=""),"",IF(K49="",K34,K49))</f>
        <v/>
      </c>
      <c r="P66" s="177"/>
      <c r="Q66" s="179"/>
      <c r="R66"/>
      <c r="S66" s="49" t="str">
        <f t="shared" si="2"/>
        <v>3/8 "</v>
      </c>
      <c r="T66" s="76" t="str">
        <f t="shared" si="3"/>
        <v/>
      </c>
      <c r="U66" s="211"/>
      <c r="W66"/>
      <c r="X66"/>
      <c r="Y66"/>
    </row>
    <row r="67" spans="1:28" ht="20.100000000000001" customHeight="1" thickTop="1" thickBot="1" x14ac:dyDescent="0.25">
      <c r="A67" s="624"/>
      <c r="B67" s="625"/>
      <c r="C67" s="624"/>
      <c r="D67" s="625"/>
      <c r="E67" s="624"/>
      <c r="F67" s="625"/>
      <c r="G67" s="624"/>
      <c r="H67" s="625"/>
      <c r="I67" s="624"/>
      <c r="J67" s="625"/>
      <c r="K67"/>
      <c r="L67" s="173" t="s">
        <v>207</v>
      </c>
      <c r="M67" s="177"/>
      <c r="N67" s="177"/>
      <c r="O67" s="1135" t="str">
        <f>O23</f>
        <v/>
      </c>
      <c r="P67" s="177"/>
      <c r="Q67" s="180"/>
      <c r="R67"/>
      <c r="S67" s="49" t="str">
        <f t="shared" si="2"/>
        <v>1/4 "</v>
      </c>
      <c r="T67" s="76" t="str">
        <f t="shared" si="3"/>
        <v>N / A</v>
      </c>
      <c r="U67" s="580" t="str">
        <f>T67</f>
        <v>N / A</v>
      </c>
      <c r="W67"/>
      <c r="X67"/>
      <c r="Y67"/>
    </row>
    <row r="68" spans="1:28" ht="20.100000000000001" customHeight="1" thickTop="1" thickBot="1" x14ac:dyDescent="0.25">
      <c r="A68" s="624"/>
      <c r="B68" s="625"/>
      <c r="C68" s="624"/>
      <c r="D68" s="625"/>
      <c r="E68" s="624"/>
      <c r="F68" s="625"/>
      <c r="G68" s="624"/>
      <c r="H68" s="625"/>
      <c r="I68" s="624"/>
      <c r="J68" s="625"/>
      <c r="K68"/>
      <c r="L68" s="173" t="s">
        <v>208</v>
      </c>
      <c r="M68" s="177"/>
      <c r="N68" s="177"/>
      <c r="O68" s="1136" t="str">
        <f>O24</f>
        <v/>
      </c>
      <c r="P68" s="177"/>
      <c r="Q68" s="179"/>
      <c r="R68"/>
      <c r="S68" s="54" t="str">
        <f t="shared" si="2"/>
        <v>#4</v>
      </c>
      <c r="T68" s="76" t="str">
        <f t="shared" si="3"/>
        <v/>
      </c>
      <c r="U68" s="210"/>
      <c r="W68"/>
      <c r="X68"/>
      <c r="Y68"/>
    </row>
    <row r="69" spans="1:28" ht="20.100000000000001" customHeight="1" thickTop="1" thickBot="1" x14ac:dyDescent="0.25">
      <c r="A69" s="624"/>
      <c r="B69" s="625"/>
      <c r="C69" s="624"/>
      <c r="D69" s="625"/>
      <c r="E69" s="624"/>
      <c r="F69" s="625"/>
      <c r="G69" s="624"/>
      <c r="H69" s="625"/>
      <c r="I69" s="624"/>
      <c r="J69" s="625"/>
      <c r="K69"/>
      <c r="L69" s="173" t="s">
        <v>209</v>
      </c>
      <c r="M69" s="177"/>
      <c r="N69" s="177"/>
      <c r="O69" s="596" t="str">
        <f>IF(AND(Graphs!K137="",O34=""),"",IF(AND(Graphs!K137="",O34&lt;&gt;0),O34,Graphs!K137))</f>
        <v/>
      </c>
      <c r="P69" s="177"/>
      <c r="Q69" s="179"/>
      <c r="R69"/>
      <c r="S69" s="54" t="str">
        <f t="shared" si="2"/>
        <v>#8</v>
      </c>
      <c r="T69" s="76" t="str">
        <f t="shared" si="3"/>
        <v/>
      </c>
      <c r="U69" s="210"/>
      <c r="W69"/>
      <c r="X69"/>
      <c r="Y69"/>
    </row>
    <row r="70" spans="1:28" ht="20.100000000000001" customHeight="1" thickTop="1" thickBot="1" x14ac:dyDescent="0.25">
      <c r="A70" s="624"/>
      <c r="B70" s="625"/>
      <c r="C70" s="624"/>
      <c r="D70" s="625"/>
      <c r="E70" s="624"/>
      <c r="F70" s="625"/>
      <c r="G70" s="624"/>
      <c r="H70" s="625"/>
      <c r="I70" s="624"/>
      <c r="J70" s="625"/>
      <c r="K70"/>
      <c r="L70" s="173" t="s">
        <v>210</v>
      </c>
      <c r="M70" s="177"/>
      <c r="N70" s="177"/>
      <c r="O70" s="208" t="str">
        <f>IF(X48="","",X48)</f>
        <v/>
      </c>
      <c r="P70" s="177"/>
      <c r="Q70" s="180"/>
      <c r="R70"/>
      <c r="S70" s="54" t="str">
        <f t="shared" si="2"/>
        <v>#16</v>
      </c>
      <c r="T70" s="76" t="str">
        <f t="shared" si="3"/>
        <v/>
      </c>
      <c r="U70" s="210"/>
      <c r="W70"/>
      <c r="X70"/>
      <c r="Y70"/>
    </row>
    <row r="71" spans="1:28" ht="20.100000000000001" customHeight="1" thickTop="1" thickBot="1" x14ac:dyDescent="0.25">
      <c r="A71" s="624"/>
      <c r="B71" s="625"/>
      <c r="C71" s="624"/>
      <c r="D71" s="625"/>
      <c r="E71" s="624"/>
      <c r="F71" s="625"/>
      <c r="G71" s="624"/>
      <c r="H71" s="625"/>
      <c r="I71" s="624"/>
      <c r="J71" s="625"/>
      <c r="K71"/>
      <c r="L71" s="190" t="s">
        <v>211</v>
      </c>
      <c r="M71" s="177"/>
      <c r="N71" s="452"/>
      <c r="O71" s="453"/>
      <c r="P71" s="454"/>
      <c r="Q71" s="455"/>
      <c r="R71"/>
      <c r="S71" s="50" t="str">
        <f t="shared" si="2"/>
        <v>#30</v>
      </c>
      <c r="T71" s="76" t="str">
        <f t="shared" si="3"/>
        <v/>
      </c>
      <c r="U71" s="210"/>
      <c r="W71"/>
      <c r="X71"/>
      <c r="Y71"/>
    </row>
    <row r="72" spans="1:28" ht="20.100000000000001" customHeight="1" thickTop="1" thickBot="1" x14ac:dyDescent="0.25">
      <c r="A72" s="624"/>
      <c r="B72" s="625"/>
      <c r="C72" s="624"/>
      <c r="D72" s="625"/>
      <c r="E72" s="624"/>
      <c r="F72" s="625"/>
      <c r="G72" s="624"/>
      <c r="H72" s="625"/>
      <c r="I72" s="624"/>
      <c r="J72" s="625"/>
      <c r="K72"/>
      <c r="L72" s="173" t="s">
        <v>212</v>
      </c>
      <c r="M72" s="177"/>
      <c r="N72" s="177"/>
      <c r="O72" s="208" t="str">
        <f>TSR!G57</f>
        <v/>
      </c>
      <c r="P72" s="177" t="str">
        <f>IF(ISNUMBER(H20),"80 (minimum)","")</f>
        <v/>
      </c>
      <c r="Q72" s="180"/>
      <c r="R72"/>
      <c r="S72" s="50" t="str">
        <f t="shared" si="2"/>
        <v>#50</v>
      </c>
      <c r="T72" s="76" t="str">
        <f t="shared" si="3"/>
        <v/>
      </c>
      <c r="U72" s="210"/>
      <c r="W72"/>
      <c r="X72"/>
      <c r="Y72"/>
    </row>
    <row r="73" spans="1:28" ht="20.100000000000001" customHeight="1" thickTop="1" thickBot="1" x14ac:dyDescent="0.25">
      <c r="A73" s="624"/>
      <c r="B73" s="625"/>
      <c r="C73" s="624"/>
      <c r="D73" s="625"/>
      <c r="E73" s="624"/>
      <c r="F73" s="625"/>
      <c r="G73" s="624"/>
      <c r="H73" s="625"/>
      <c r="I73" s="624"/>
      <c r="J73" s="625"/>
      <c r="K73"/>
      <c r="L73" s="173" t="s">
        <v>213</v>
      </c>
      <c r="M73" s="177"/>
      <c r="N73" s="177"/>
      <c r="O73" s="208" t="str">
        <f>TSR!N57</f>
        <v/>
      </c>
      <c r="P73" s="177" t="str">
        <f>IF(ISNUMBER(H20),"80 (minimum)","")</f>
        <v/>
      </c>
      <c r="Q73" s="179"/>
      <c r="R73"/>
      <c r="S73" s="50" t="str">
        <f t="shared" si="2"/>
        <v>#100</v>
      </c>
      <c r="T73" s="76" t="str">
        <f t="shared" si="3"/>
        <v/>
      </c>
      <c r="U73" s="210"/>
      <c r="W73"/>
      <c r="X73"/>
      <c r="Y73"/>
    </row>
    <row r="74" spans="1:28" ht="20.100000000000001" customHeight="1" thickTop="1" thickBot="1" x14ac:dyDescent="0.25">
      <c r="A74" s="624"/>
      <c r="B74" s="625"/>
      <c r="C74" s="624"/>
      <c r="D74" s="625"/>
      <c r="E74" s="624"/>
      <c r="F74" s="625"/>
      <c r="G74" s="624"/>
      <c r="H74" s="625"/>
      <c r="I74" s="624"/>
      <c r="J74" s="625"/>
      <c r="K74"/>
      <c r="L74" s="190" t="s">
        <v>214</v>
      </c>
      <c r="M74" s="177"/>
      <c r="N74" s="177"/>
      <c r="O74" s="457" t="str">
        <f>IF(TSR!G18="","",IF(TSR!H18="","N/A",TSR!H18))</f>
        <v/>
      </c>
      <c r="P74" s="454"/>
      <c r="Q74" s="455"/>
      <c r="R74"/>
      <c r="S74" s="55" t="str">
        <f t="shared" si="2"/>
        <v>#200</v>
      </c>
      <c r="T74" s="80" t="str">
        <f t="shared" si="3"/>
        <v/>
      </c>
      <c r="U74" s="212"/>
      <c r="W74"/>
      <c r="X74"/>
      <c r="Y74"/>
    </row>
    <row r="75" spans="1:28" ht="20.100000000000001" customHeight="1" thickTop="1" thickBot="1" x14ac:dyDescent="0.25">
      <c r="A75" s="624"/>
      <c r="B75" s="625"/>
      <c r="C75" s="624"/>
      <c r="D75" s="625"/>
      <c r="E75" s="624"/>
      <c r="F75" s="625"/>
      <c r="G75" s="624"/>
      <c r="H75" s="625"/>
      <c r="I75" s="624"/>
      <c r="J75" s="625"/>
      <c r="K75"/>
      <c r="L75" s="456" t="s">
        <v>215</v>
      </c>
      <c r="M75" s="178"/>
      <c r="N75" s="178"/>
      <c r="O75" s="1556" t="str">
        <f>IF(TSR!G18="","",IF(TSR!G20="","None Required",TSR!G20))</f>
        <v/>
      </c>
      <c r="P75" s="1557"/>
      <c r="Q75" s="1558"/>
      <c r="R75"/>
      <c r="S75"/>
      <c r="T75"/>
      <c r="U75"/>
    </row>
    <row r="76" spans="1:28" ht="20.100000000000001" customHeight="1" thickTop="1" thickBot="1" x14ac:dyDescent="0.25">
      <c r="A76" s="624"/>
      <c r="B76" s="625"/>
      <c r="C76" s="624"/>
      <c r="D76" s="625"/>
      <c r="E76" s="624"/>
      <c r="F76" s="625"/>
      <c r="G76" s="624"/>
      <c r="H76" s="625"/>
      <c r="I76" s="624"/>
      <c r="J76" s="625"/>
      <c r="K76"/>
      <c r="L76" s="638" t="s">
        <v>216</v>
      </c>
      <c r="M76" s="1567"/>
      <c r="N76" s="1567"/>
      <c r="O76" s="1567"/>
      <c r="P76" s="1567"/>
      <c r="Q76" s="1568"/>
      <c r="R76"/>
      <c r="S76" s="463" t="str">
        <f>IF(I29="","","Recycle Information")</f>
        <v/>
      </c>
      <c r="T76" s="130"/>
      <c r="U76" s="462"/>
    </row>
    <row r="77" spans="1:28" ht="20.100000000000001" customHeight="1" thickTop="1" thickBot="1" x14ac:dyDescent="0.25">
      <c r="A77" s="624"/>
      <c r="B77" s="625"/>
      <c r="C77" s="624"/>
      <c r="D77" s="625"/>
      <c r="E77" s="624"/>
      <c r="F77" s="625"/>
      <c r="G77" s="624"/>
      <c r="H77" s="625"/>
      <c r="I77" s="624"/>
      <c r="J77" s="625"/>
      <c r="K77"/>
      <c r="L77" s="639"/>
      <c r="M77" s="1569"/>
      <c r="N77" s="1569"/>
      <c r="O77" s="1569"/>
      <c r="P77" s="1569"/>
      <c r="Q77" s="1570"/>
      <c r="R77"/>
      <c r="S77" s="443" t="str">
        <f>IF(I29="","","%AC in Recycle:")</f>
        <v/>
      </c>
      <c r="T77" s="1067"/>
      <c r="U77" s="1448"/>
    </row>
    <row r="78" spans="1:28" ht="20.100000000000001" customHeight="1" thickTop="1" thickBot="1" x14ac:dyDescent="0.25">
      <c r="A78" s="624"/>
      <c r="B78" s="625"/>
      <c r="C78" s="624"/>
      <c r="D78" s="625"/>
      <c r="E78" s="624"/>
      <c r="F78" s="625"/>
      <c r="G78" s="624"/>
      <c r="H78" s="625"/>
      <c r="I78" s="624"/>
      <c r="J78" s="625"/>
      <c r="K78"/>
      <c r="L78" s="266" t="str">
        <f>IF(Q80="","","(Enter Reference Info. Above)")</f>
        <v/>
      </c>
      <c r="M78" s="34"/>
      <c r="N78" s="34"/>
      <c r="O78"/>
      <c r="P78"/>
      <c r="Q78"/>
      <c r="R78"/>
      <c r="S78" s="445" t="str">
        <f>IF(I29="","","%Virgin AC in mix:")</f>
        <v/>
      </c>
      <c r="T78" s="1068"/>
      <c r="U78" s="1448" t="str">
        <f>IF(I29="","",'Chart Data'!Q116)</f>
        <v/>
      </c>
      <c r="AA78"/>
      <c r="AB78"/>
    </row>
    <row r="79" spans="1:28" ht="20.100000000000001" customHeight="1" thickTop="1" thickBot="1" x14ac:dyDescent="0.25">
      <c r="A79" s="624"/>
      <c r="B79" s="625"/>
      <c r="C79" s="624"/>
      <c r="D79" s="625"/>
      <c r="E79" s="624"/>
      <c r="F79" s="625"/>
      <c r="G79" s="624"/>
      <c r="H79" s="625"/>
      <c r="I79" s="624"/>
      <c r="J79" s="625"/>
      <c r="K79"/>
      <c r="L79" s="591" t="str">
        <f>IF(OR(H20=1,H20=2),"","Complete SGC Des.")</f>
        <v>Complete SGC Des.</v>
      </c>
      <c r="M79" s="466"/>
      <c r="N79" s="465"/>
      <c r="O79" s="592" t="str">
        <f>IF(OR(H20=1,H20=2),"","1-Pt. SGC Des.")</f>
        <v>1-Pt. SGC Des.</v>
      </c>
      <c r="P79" s="466"/>
      <c r="Q79" s="465"/>
      <c r="R79"/>
      <c r="S79" s="446" t="str">
        <f>IF(I29="","","%Recycle AC in mix:")</f>
        <v/>
      </c>
      <c r="T79" s="1069"/>
      <c r="U79" s="1448" t="str">
        <f>IF(I29="","",'Chart Data'!Q117)</f>
        <v/>
      </c>
    </row>
    <row r="80" spans="1:28" ht="20.100000000000001" customHeight="1" thickTop="1" thickBot="1" x14ac:dyDescent="0.25">
      <c r="A80" s="624"/>
      <c r="B80" s="625"/>
      <c r="C80" s="624"/>
      <c r="D80" s="625"/>
      <c r="E80" s="624"/>
      <c r="F80" s="625"/>
      <c r="G80" s="624"/>
      <c r="H80" s="625"/>
      <c r="I80" s="624"/>
      <c r="J80" s="625"/>
      <c r="K80"/>
      <c r="L80" s="464" t="s">
        <v>217</v>
      </c>
      <c r="M80" s="466"/>
      <c r="N80" s="465"/>
      <c r="O80" s="71" t="s">
        <v>218</v>
      </c>
      <c r="P80" s="466"/>
      <c r="Q80" s="465"/>
      <c r="R80"/>
      <c r="S80" s="446" t="str">
        <f>IF(I29="","","Total %AC in mix:")</f>
        <v/>
      </c>
      <c r="T80" s="1069"/>
      <c r="U80" s="1448" t="str">
        <f>IF(I29="","",'Chart Data'!Q118)</f>
        <v/>
      </c>
    </row>
    <row r="81" spans="1:21" ht="20.100000000000001" customHeight="1" thickTop="1" thickBot="1" x14ac:dyDescent="0.25">
      <c r="A81" s="624"/>
      <c r="B81" s="625"/>
      <c r="C81" s="624"/>
      <c r="D81" s="625"/>
      <c r="E81" s="624"/>
      <c r="F81" s="625"/>
      <c r="G81" s="624"/>
      <c r="H81" s="625"/>
      <c r="I81" s="624"/>
      <c r="J81" s="625"/>
      <c r="K81"/>
      <c r="L81" s="464" t="s">
        <v>219</v>
      </c>
      <c r="M81" s="466"/>
      <c r="N81" s="465"/>
      <c r="O81" s="71" t="s">
        <v>220</v>
      </c>
      <c r="P81" s="466"/>
      <c r="Q81" s="465"/>
      <c r="R81"/>
      <c r="S81" s="440" t="s">
        <v>221</v>
      </c>
      <c r="T81" s="441"/>
      <c r="U81" s="442"/>
    </row>
    <row r="82" spans="1:21" ht="20.100000000000001" customHeight="1" thickTop="1" thickBot="1" x14ac:dyDescent="0.25">
      <c r="A82" s="624"/>
      <c r="B82" s="625"/>
      <c r="C82" s="624"/>
      <c r="D82" s="625"/>
      <c r="E82" s="624"/>
      <c r="F82" s="625"/>
      <c r="G82" s="624"/>
      <c r="H82" s="625"/>
      <c r="I82" s="624"/>
      <c r="J82" s="625"/>
      <c r="K82"/>
      <c r="L82" s="458" t="s">
        <v>222</v>
      </c>
      <c r="M82" s="459"/>
      <c r="N82" s="460"/>
      <c r="O82" s="461"/>
      <c r="P82" s="459"/>
      <c r="Q82" s="444"/>
      <c r="R82" s="34"/>
      <c r="S82" s="1553"/>
      <c r="T82" s="1554"/>
      <c r="U82" s="1555"/>
    </row>
    <row r="83" spans="1:21" ht="14.25" thickTop="1" thickBot="1" x14ac:dyDescent="0.25">
      <c r="B83" s="610"/>
      <c r="C83" s="610"/>
      <c r="L83"/>
      <c r="M83"/>
      <c r="N83"/>
      <c r="O83"/>
      <c r="P83"/>
      <c r="Q83"/>
      <c r="R83"/>
      <c r="S83"/>
      <c r="T83"/>
      <c r="U83"/>
    </row>
    <row r="84" spans="1:21" ht="14.25" thickTop="1" thickBot="1" x14ac:dyDescent="0.25">
      <c r="A84" s="105"/>
      <c r="B84" s="106"/>
      <c r="C84" s="108" t="s">
        <v>223</v>
      </c>
      <c r="D84" s="106"/>
      <c r="E84" s="106"/>
      <c r="F84" s="107"/>
      <c r="L84"/>
      <c r="M84"/>
      <c r="N84"/>
      <c r="O84"/>
      <c r="P84"/>
      <c r="Q84"/>
      <c r="S84"/>
      <c r="T84"/>
      <c r="U84"/>
    </row>
    <row r="85" spans="1:21" ht="14.25" thickTop="1" thickBot="1" x14ac:dyDescent="0.25">
      <c r="A85" s="153" t="s">
        <v>224</v>
      </c>
      <c r="B85" s="154" t="s">
        <v>225</v>
      </c>
      <c r="C85" s="153" t="s">
        <v>224</v>
      </c>
      <c r="D85" s="154" t="s">
        <v>226</v>
      </c>
      <c r="E85" s="153" t="s">
        <v>224</v>
      </c>
      <c r="F85" s="154" t="s">
        <v>227</v>
      </c>
      <c r="G85" s="157"/>
      <c r="H85" s="158" t="s">
        <v>228</v>
      </c>
      <c r="I85" s="191"/>
      <c r="L85"/>
      <c r="M85"/>
      <c r="N85"/>
      <c r="O85"/>
      <c r="P85"/>
      <c r="Q85"/>
      <c r="R85"/>
      <c r="S85"/>
      <c r="T85"/>
      <c r="U85"/>
    </row>
    <row r="86" spans="1:21" ht="14.25" thickTop="1" thickBot="1" x14ac:dyDescent="0.25">
      <c r="A86" s="101" t="str">
        <f>IF($B$34="","",$B$34)</f>
        <v/>
      </c>
      <c r="B86" s="102" t="str">
        <f>P34</f>
        <v/>
      </c>
      <c r="C86" s="101" t="str">
        <f>IF($B$34="","",$B$34)</f>
        <v/>
      </c>
      <c r="D86" s="102" t="str">
        <f>J34</f>
        <v/>
      </c>
      <c r="E86" s="101" t="str">
        <f>IF($B$34="","",$B$34)</f>
        <v/>
      </c>
      <c r="F86" s="102" t="str">
        <f>M34</f>
        <v/>
      </c>
      <c r="G86" s="155"/>
      <c r="H86" s="582"/>
      <c r="I86" s="156"/>
      <c r="L86"/>
      <c r="M86"/>
      <c r="N86"/>
      <c r="O86"/>
      <c r="P86" s="450" t="s">
        <v>229</v>
      </c>
      <c r="Q86" s="134"/>
      <c r="R86"/>
      <c r="S86"/>
      <c r="T86"/>
      <c r="U86"/>
    </row>
    <row r="87" spans="1:21" ht="14.25" thickTop="1" thickBot="1" x14ac:dyDescent="0.25">
      <c r="A87" s="101" t="str">
        <f>IF($B$37="","",$B$37)</f>
        <v/>
      </c>
      <c r="B87" s="102" t="str">
        <f>P37</f>
        <v/>
      </c>
      <c r="C87" s="101" t="str">
        <f>IF($B$37="","",$B$37)</f>
        <v/>
      </c>
      <c r="D87" s="102" t="str">
        <f>J37</f>
        <v/>
      </c>
      <c r="E87" s="101" t="str">
        <f>IF($B$37="","",$B$37)</f>
        <v/>
      </c>
      <c r="F87" s="102" t="str">
        <f>M37</f>
        <v/>
      </c>
      <c r="G87" s="6"/>
      <c r="H87" s="6"/>
      <c r="I87" s="6"/>
      <c r="L87" s="267"/>
      <c r="M87"/>
      <c r="N87"/>
      <c r="O87"/>
      <c r="P87" s="467" t="s">
        <v>230</v>
      </c>
      <c r="Q87" s="437" t="str">
        <f>IF(H20=2,7,IF(H20=3,7,IF(H20=4,7,"")))</f>
        <v/>
      </c>
      <c r="R87"/>
      <c r="S87"/>
      <c r="T87"/>
      <c r="U87"/>
    </row>
    <row r="88" spans="1:21" ht="13.5" thickTop="1" x14ac:dyDescent="0.2">
      <c r="A88" s="101" t="str">
        <f>IF($B$40="","",$B$40)</f>
        <v/>
      </c>
      <c r="B88" s="102" t="str">
        <f>P40</f>
        <v/>
      </c>
      <c r="C88" s="101" t="str">
        <f>IF($B$40="","",$B$40)</f>
        <v/>
      </c>
      <c r="D88" s="102" t="str">
        <f>J40</f>
        <v/>
      </c>
      <c r="E88" s="101" t="str">
        <f>IF($B$40="","",$B$40)</f>
        <v/>
      </c>
      <c r="F88" s="102" t="str">
        <f>M40</f>
        <v/>
      </c>
      <c r="G88" s="157" t="s">
        <v>231</v>
      </c>
      <c r="H88" s="163"/>
      <c r="I88" s="159"/>
      <c r="L88" s="268"/>
      <c r="M88"/>
      <c r="N88"/>
      <c r="O88"/>
      <c r="P88" s="468" t="s">
        <v>232</v>
      </c>
      <c r="Q88" s="438" t="str">
        <f>IF(H20=2,65,IF(H20=3,65,IF(H20=4,65,"")))</f>
        <v/>
      </c>
      <c r="R88"/>
      <c r="S88"/>
      <c r="T88"/>
      <c r="U88"/>
    </row>
    <row r="89" spans="1:21" ht="13.5" thickBot="1" x14ac:dyDescent="0.25">
      <c r="A89" s="101" t="str">
        <f>IF($B$43="","",$B$43)</f>
        <v/>
      </c>
      <c r="B89" s="104" t="str">
        <f>P43</f>
        <v/>
      </c>
      <c r="C89" s="101" t="str">
        <f>IF($B$43="","",$B$43)</f>
        <v/>
      </c>
      <c r="D89" s="102" t="str">
        <f>J43</f>
        <v/>
      </c>
      <c r="E89" s="101" t="str">
        <f>IF($B$43="","",$B$43)</f>
        <v/>
      </c>
      <c r="F89" s="104" t="str">
        <f>M43</f>
        <v/>
      </c>
      <c r="G89" s="160" t="str">
        <f>IF(L23="","",L23)</f>
        <v/>
      </c>
      <c r="H89" s="168" t="str">
        <f>IF(M23="","",M23)</f>
        <v/>
      </c>
      <c r="I89" s="113" t="str">
        <f t="shared" ref="I89:I94" si="4">IF(ISERROR(H89/G89),"",H89/G89)</f>
        <v/>
      </c>
      <c r="L89" s="267"/>
      <c r="M89"/>
      <c r="N89"/>
      <c r="O89"/>
      <c r="P89" s="469" t="s">
        <v>233</v>
      </c>
      <c r="Q89" s="439" t="str">
        <f>IF(H20=2,105,IF(H20=3,105,IF(H20=4,105,"")))</f>
        <v/>
      </c>
      <c r="R89"/>
      <c r="S89"/>
      <c r="T89"/>
      <c r="U89"/>
    </row>
    <row r="90" spans="1:21" ht="13.5" thickTop="1" x14ac:dyDescent="0.2">
      <c r="A90" s="153" t="s">
        <v>224</v>
      </c>
      <c r="B90" s="154" t="s">
        <v>234</v>
      </c>
      <c r="C90" s="153" t="s">
        <v>224</v>
      </c>
      <c r="D90" s="154" t="s">
        <v>235</v>
      </c>
      <c r="E90" s="153" t="s">
        <v>224</v>
      </c>
      <c r="F90" s="154" t="s">
        <v>236</v>
      </c>
      <c r="G90" s="160" t="str">
        <f>IF(L24="","",L24)</f>
        <v/>
      </c>
      <c r="H90" s="168" t="str">
        <f>IF(M24="","",M24)</f>
        <v/>
      </c>
      <c r="I90" s="113" t="str">
        <f t="shared" si="4"/>
        <v/>
      </c>
      <c r="L90" s="267"/>
      <c r="M90" s="269"/>
      <c r="N90" s="267"/>
      <c r="O90" s="269"/>
      <c r="P90"/>
      <c r="Q90"/>
      <c r="R90"/>
      <c r="S90"/>
      <c r="T90"/>
      <c r="U90"/>
    </row>
    <row r="91" spans="1:21" x14ac:dyDescent="0.2">
      <c r="A91" s="101" t="str">
        <f>IF($B$34="","",$B$34)</f>
        <v/>
      </c>
      <c r="B91" s="102" t="str">
        <f>N34</f>
        <v/>
      </c>
      <c r="C91" s="101" t="str">
        <f>IF($B$34="","",$B$34)</f>
        <v/>
      </c>
      <c r="D91" s="102" t="str">
        <f>H34</f>
        <v/>
      </c>
      <c r="E91" s="101" t="str">
        <f>IF($B$34="","",$B$34)</f>
        <v/>
      </c>
      <c r="F91" s="152" t="str">
        <f>I34</f>
        <v/>
      </c>
      <c r="G91" s="160" t="str">
        <f t="shared" ref="G91:H94" si="5">IF(L25="","",L25)</f>
        <v/>
      </c>
      <c r="H91" s="168" t="str">
        <f t="shared" si="5"/>
        <v/>
      </c>
      <c r="I91" s="113" t="str">
        <f t="shared" si="4"/>
        <v/>
      </c>
      <c r="L91" s="267"/>
      <c r="M91" s="269"/>
      <c r="N91" s="267"/>
      <c r="O91" s="269"/>
      <c r="P91"/>
      <c r="Q91"/>
      <c r="R91"/>
      <c r="S91"/>
      <c r="T91"/>
      <c r="U91"/>
    </row>
    <row r="92" spans="1:21" ht="13.5" thickBot="1" x14ac:dyDescent="0.25">
      <c r="A92" s="101" t="str">
        <f>IF($B$37="","",$B$37)</f>
        <v/>
      </c>
      <c r="B92" s="102" t="str">
        <f>N37</f>
        <v/>
      </c>
      <c r="C92" s="101" t="str">
        <f>IF($B$37="","",$B$37)</f>
        <v/>
      </c>
      <c r="D92" s="102" t="str">
        <f>H37</f>
        <v/>
      </c>
      <c r="E92" s="101" t="str">
        <f>IF($B$37="","",$B$37)</f>
        <v/>
      </c>
      <c r="F92" s="152" t="str">
        <f>I37</f>
        <v/>
      </c>
      <c r="G92" s="160" t="str">
        <f t="shared" si="5"/>
        <v/>
      </c>
      <c r="H92" s="168" t="str">
        <f t="shared" si="5"/>
        <v/>
      </c>
      <c r="I92" s="113" t="str">
        <f t="shared" si="4"/>
        <v/>
      </c>
      <c r="L92"/>
      <c r="M92"/>
      <c r="N92"/>
      <c r="O92"/>
      <c r="P92"/>
      <c r="Q92"/>
      <c r="S92"/>
      <c r="T92"/>
      <c r="U92"/>
    </row>
    <row r="93" spans="1:21" ht="14.25" thickTop="1" thickBot="1" x14ac:dyDescent="0.25">
      <c r="A93" s="101" t="str">
        <f>IF($B$40="","",$B$40)</f>
        <v/>
      </c>
      <c r="B93" s="102" t="str">
        <f>N40</f>
        <v/>
      </c>
      <c r="C93" s="101" t="str">
        <f>IF($B$40="","",$B$40)</f>
        <v/>
      </c>
      <c r="D93" s="102" t="str">
        <f>H40</f>
        <v/>
      </c>
      <c r="E93" s="101" t="str">
        <f>IF($B$40="","",$B$40)</f>
        <v/>
      </c>
      <c r="F93" s="152" t="str">
        <f>I40</f>
        <v/>
      </c>
      <c r="G93" s="160" t="str">
        <f t="shared" si="5"/>
        <v/>
      </c>
      <c r="H93" s="168" t="str">
        <f t="shared" si="5"/>
        <v/>
      </c>
      <c r="I93" s="113" t="str">
        <f t="shared" si="4"/>
        <v/>
      </c>
      <c r="L93" s="1518" t="s">
        <v>2391</v>
      </c>
      <c r="M93" s="1519"/>
      <c r="N93" s="1519"/>
      <c r="O93" s="1519"/>
      <c r="P93" s="1519"/>
      <c r="Q93" s="1519"/>
      <c r="R93" s="1520"/>
      <c r="U93" s="598"/>
    </row>
    <row r="94" spans="1:21" ht="14.25" thickTop="1" thickBot="1" x14ac:dyDescent="0.25">
      <c r="A94" s="101" t="str">
        <f>IF($B$43="","",$B$43)</f>
        <v/>
      </c>
      <c r="B94" s="104" t="str">
        <f>N43</f>
        <v/>
      </c>
      <c r="C94" s="101" t="str">
        <f>IF($B$43="","",$B$43)</f>
        <v/>
      </c>
      <c r="D94" s="104" t="str">
        <f>H43</f>
        <v/>
      </c>
      <c r="E94" s="101" t="str">
        <f>IF($B$43="","",$B$43)</f>
        <v/>
      </c>
      <c r="F94" s="188" t="str">
        <f>I43</f>
        <v/>
      </c>
      <c r="G94" s="160" t="str">
        <f t="shared" si="5"/>
        <v/>
      </c>
      <c r="H94" s="168" t="str">
        <f t="shared" si="5"/>
        <v/>
      </c>
      <c r="I94" s="113" t="str">
        <f t="shared" si="4"/>
        <v/>
      </c>
      <c r="L94" s="1521" t="s">
        <v>2429</v>
      </c>
      <c r="M94" s="1522"/>
      <c r="N94" s="1522"/>
      <c r="O94" s="1523"/>
      <c r="P94" s="1465"/>
      <c r="Q94" s="1466"/>
      <c r="R94" s="1467"/>
      <c r="U94" s="598"/>
    </row>
    <row r="95" spans="1:21" ht="14.25" thickTop="1" thickBot="1" x14ac:dyDescent="0.25">
      <c r="A95" s="153" t="s">
        <v>224</v>
      </c>
      <c r="B95" s="154" t="s">
        <v>237</v>
      </c>
      <c r="C95" s="153" t="s">
        <v>224</v>
      </c>
      <c r="D95" s="154" t="s">
        <v>238</v>
      </c>
      <c r="E95" s="153" t="s">
        <v>224</v>
      </c>
      <c r="F95" s="154" t="s">
        <v>146</v>
      </c>
      <c r="G95" s="161"/>
      <c r="H95" s="162" t="s">
        <v>239</v>
      </c>
      <c r="I95" s="32" t="str">
        <f>IF(I89="","",SUM(I89:I94))</f>
        <v/>
      </c>
      <c r="L95" s="1468" t="s">
        <v>2392</v>
      </c>
      <c r="M95" s="1469"/>
      <c r="N95" s="1469"/>
      <c r="O95" s="1470"/>
      <c r="P95" s="1471"/>
      <c r="Q95" s="1472"/>
      <c r="R95" s="1473"/>
      <c r="U95" s="598"/>
    </row>
    <row r="96" spans="1:21" ht="14.25" thickTop="1" thickBot="1" x14ac:dyDescent="0.25">
      <c r="A96" s="101" t="str">
        <f>IF($B$34="","",$B$34)</f>
        <v/>
      </c>
      <c r="B96" s="196" t="str">
        <f>IF(L34="","",L34)</f>
        <v/>
      </c>
      <c r="C96" s="101" t="str">
        <f>IF($B$34="","",$B$34)</f>
        <v/>
      </c>
      <c r="D96" s="196" t="str">
        <f>IF(O34="","",O34)</f>
        <v/>
      </c>
      <c r="E96" s="101" t="str">
        <f>IF($B$34="","",$B$34)</f>
        <v/>
      </c>
      <c r="F96" s="196" t="str">
        <f>IF(Q34="","",Q34)</f>
        <v/>
      </c>
      <c r="L96" s="1474" t="s">
        <v>2398</v>
      </c>
      <c r="M96" s="1475"/>
      <c r="N96" s="1475"/>
      <c r="O96" s="1476"/>
      <c r="P96" s="1477"/>
      <c r="Q96" s="1478"/>
      <c r="R96" s="1479"/>
      <c r="U96" s="598"/>
    </row>
    <row r="97" spans="1:21" ht="14.25" thickTop="1" thickBot="1" x14ac:dyDescent="0.25">
      <c r="A97" s="101" t="str">
        <f>IF($B$37="","",$B$37)</f>
        <v/>
      </c>
      <c r="B97" s="196" t="str">
        <f>IF(L37="","",L37)</f>
        <v/>
      </c>
      <c r="C97" s="101" t="str">
        <f>IF($B$37="","",$B$37)</f>
        <v/>
      </c>
      <c r="D97" s="196" t="str">
        <f>IF(O37="","",O37)</f>
        <v/>
      </c>
      <c r="E97" s="101" t="str">
        <f>IF($B$37="","",$B$37)</f>
        <v/>
      </c>
      <c r="F97" s="196" t="str">
        <f>IF(Q37="","",Q37)</f>
        <v/>
      </c>
      <c r="G97" s="164" t="s">
        <v>240</v>
      </c>
      <c r="H97" s="165" t="str">
        <f>IF(T74="","",(2+(2*T68+4*T69+8*T70+14*T71+30*T72+60*I98+160*T74)/100)*O23/2.65)</f>
        <v/>
      </c>
      <c r="I97" s="187"/>
      <c r="J97" s="31" t="str">
        <f>IF(T74="","",(2+(2*T68+4*T69+8*T70+14*T71+30*(T72+1)+60*(I98+1)+160*(T74+1.5))/100)*O23/2.65)</f>
        <v/>
      </c>
      <c r="L97" s="267"/>
      <c r="O97" s="598"/>
      <c r="P97" s="268"/>
      <c r="Q97"/>
      <c r="R97"/>
      <c r="U97" s="598"/>
    </row>
    <row r="98" spans="1:21" ht="14.25" thickTop="1" thickBot="1" x14ac:dyDescent="0.25">
      <c r="A98" s="101" t="str">
        <f>IF($B$40="","",$B$40)</f>
        <v/>
      </c>
      <c r="B98" s="196" t="str">
        <f>IF(L40="","",L40)</f>
        <v/>
      </c>
      <c r="C98" s="101" t="str">
        <f>IF($B$40="","",$B$40)</f>
        <v/>
      </c>
      <c r="D98" s="196" t="str">
        <f>IF(O40="","",O40)</f>
        <v/>
      </c>
      <c r="E98" s="101" t="str">
        <f>IF($B$40="","",$B$40)</f>
        <v/>
      </c>
      <c r="F98" s="196" t="str">
        <f>IF(Q40="","",Q40)</f>
        <v/>
      </c>
      <c r="G98" s="166" t="s">
        <v>241</v>
      </c>
      <c r="H98" s="167" t="str">
        <f>IF(H97="","",(1.96*O25*O23*H97))</f>
        <v/>
      </c>
      <c r="I98" s="220" t="str">
        <f>IF($T$74="","",($T$72-((0.3-0.15)/(0.3-0.075))*($T$72-$T$74)))</f>
        <v/>
      </c>
      <c r="J98" s="32" t="str">
        <f>IF(J97="","",(1.96*O25*O23*J97))</f>
        <v/>
      </c>
      <c r="L98" s="1518" t="s">
        <v>2431</v>
      </c>
      <c r="M98" s="1519"/>
      <c r="N98" s="1519"/>
      <c r="O98" s="1519"/>
      <c r="P98" s="1519"/>
      <c r="Q98" s="1519"/>
      <c r="R98" s="1520"/>
      <c r="U98" s="598"/>
    </row>
    <row r="99" spans="1:21" ht="14.25" thickTop="1" thickBot="1" x14ac:dyDescent="0.25">
      <c r="A99" s="103" t="str">
        <f>IF($B$43="","",$B$43)</f>
        <v/>
      </c>
      <c r="B99" s="206" t="str">
        <f>IF(L43="","",L43)</f>
        <v/>
      </c>
      <c r="C99" s="103" t="str">
        <f>IF($B$43="","",$B$43)</f>
        <v/>
      </c>
      <c r="D99" s="206" t="str">
        <f>IF(O43="","",O43)</f>
        <v/>
      </c>
      <c r="E99" s="103" t="str">
        <f>IF($B$43="","",$B$43)</f>
        <v/>
      </c>
      <c r="F99" s="206" t="str">
        <f>IF(Q43="","",Q43)</f>
        <v/>
      </c>
      <c r="G99" s="135" t="s">
        <v>74</v>
      </c>
      <c r="H99" s="136" t="s">
        <v>74</v>
      </c>
      <c r="L99" s="1521" t="s">
        <v>2429</v>
      </c>
      <c r="M99" s="1522"/>
      <c r="N99" s="1522"/>
      <c r="O99" s="1523"/>
      <c r="P99" s="1465"/>
      <c r="Q99" s="1466"/>
      <c r="R99" s="1467"/>
      <c r="S99" s="597"/>
      <c r="T99" s="597"/>
      <c r="U99" s="598"/>
    </row>
    <row r="100" spans="1:21" ht="14.25" thickTop="1" thickBot="1" x14ac:dyDescent="0.25">
      <c r="A100" s="100"/>
      <c r="B100" s="168"/>
      <c r="C100" s="100"/>
      <c r="D100" s="189"/>
      <c r="E100"/>
      <c r="F100"/>
      <c r="G100" s="135"/>
      <c r="H100" s="136"/>
      <c r="L100" s="1468" t="s">
        <v>2430</v>
      </c>
      <c r="M100" s="1469"/>
      <c r="N100" s="1469"/>
      <c r="O100" s="1470"/>
      <c r="P100" s="1471"/>
      <c r="Q100" s="1472"/>
      <c r="R100" s="1473"/>
      <c r="S100" s="100"/>
      <c r="T100" s="100"/>
    </row>
    <row r="101" spans="1:21" ht="14.25" thickTop="1" thickBot="1" x14ac:dyDescent="0.25">
      <c r="A101" s="105"/>
      <c r="B101" s="106"/>
      <c r="C101" s="108" t="s">
        <v>242</v>
      </c>
      <c r="D101" s="106"/>
      <c r="E101" s="106"/>
      <c r="F101" s="107"/>
      <c r="H101"/>
      <c r="I101"/>
      <c r="L101" s="1474" t="s">
        <v>2398</v>
      </c>
      <c r="M101" s="1475"/>
      <c r="N101" s="1475"/>
      <c r="O101" s="1476"/>
      <c r="P101" s="1477"/>
      <c r="Q101" s="1478"/>
      <c r="R101" s="1479"/>
      <c r="S101"/>
      <c r="T101"/>
      <c r="U101" s="599"/>
    </row>
    <row r="102" spans="1:21" ht="13.5" thickTop="1" x14ac:dyDescent="0.2">
      <c r="A102" s="157" t="s">
        <v>243</v>
      </c>
      <c r="B102" s="195"/>
      <c r="C102" s="194" t="s">
        <v>244</v>
      </c>
      <c r="D102" s="195"/>
      <c r="E102" s="194" t="s">
        <v>245</v>
      </c>
      <c r="F102" s="195"/>
      <c r="H102"/>
      <c r="I102"/>
      <c r="S102"/>
      <c r="T102"/>
      <c r="U102"/>
    </row>
    <row r="103" spans="1:21" x14ac:dyDescent="0.2">
      <c r="A103" s="192" t="str">
        <f>A86</f>
        <v/>
      </c>
      <c r="B103" s="196" t="str">
        <f>IF(A103="","",IF(H20=1,91.5,IF(H20=2,90.5,89)))</f>
        <v/>
      </c>
      <c r="C103" s="192" t="str">
        <f>C86</f>
        <v/>
      </c>
      <c r="D103" s="196" t="str">
        <f>IF(C103="","",3.5)</f>
        <v/>
      </c>
      <c r="E103" s="192" t="str">
        <f>E86</f>
        <v/>
      </c>
      <c r="F103" s="197" t="str">
        <f>IF(E103="","",IF(ISNUMBER(H20),'Chart Data'!BS9,""))</f>
        <v/>
      </c>
      <c r="H103"/>
      <c r="I103"/>
      <c r="S103"/>
      <c r="T103"/>
      <c r="U103"/>
    </row>
    <row r="104" spans="1:21" ht="13.5" thickBot="1" x14ac:dyDescent="0.25">
      <c r="A104" s="192" t="str">
        <f>A89</f>
        <v/>
      </c>
      <c r="B104" s="196" t="str">
        <f>IF(A104="","",IF(H20=1,91.5,IF(H20=2,90.5,89)))</f>
        <v/>
      </c>
      <c r="C104" s="192" t="str">
        <f>C89</f>
        <v/>
      </c>
      <c r="D104" s="196" t="str">
        <f>IF(C104="","",3.5)</f>
        <v/>
      </c>
      <c r="E104" s="207" t="str">
        <f>E89</f>
        <v/>
      </c>
      <c r="F104" s="204" t="str">
        <f>IF(E104="","",IF(ISNUMBER(H20),'Chart Data'!BS9,""))</f>
        <v/>
      </c>
      <c r="H104"/>
      <c r="I104"/>
      <c r="S104"/>
      <c r="T104"/>
      <c r="U104"/>
    </row>
    <row r="105" spans="1:21" ht="13.5" thickTop="1" x14ac:dyDescent="0.2">
      <c r="A105" s="194" t="s">
        <v>246</v>
      </c>
      <c r="B105" s="195"/>
      <c r="C105" s="194" t="s">
        <v>247</v>
      </c>
      <c r="D105" s="195"/>
      <c r="E105"/>
      <c r="F105"/>
      <c r="H105"/>
      <c r="I105"/>
      <c r="S105"/>
      <c r="T105"/>
      <c r="U105"/>
    </row>
    <row r="106" spans="1:21" x14ac:dyDescent="0.2">
      <c r="A106" s="192" t="str">
        <f>A91</f>
        <v/>
      </c>
      <c r="B106" s="197" t="str">
        <f>IF(P56="","",VALUE(LEFT(P56,2)))</f>
        <v/>
      </c>
      <c r="C106" s="192" t="str">
        <f>E96</f>
        <v/>
      </c>
      <c r="D106" s="193" t="str">
        <f>IF(C106="","",0.6)</f>
        <v/>
      </c>
      <c r="E106"/>
      <c r="F106"/>
      <c r="S106" s="449"/>
      <c r="T106" s="449"/>
      <c r="U106" s="449"/>
    </row>
    <row r="107" spans="1:21" x14ac:dyDescent="0.2">
      <c r="A107" s="192" t="str">
        <f>A94</f>
        <v/>
      </c>
      <c r="B107" s="197" t="str">
        <f>B106</f>
        <v/>
      </c>
      <c r="C107" s="192" t="str">
        <f>E99</f>
        <v/>
      </c>
      <c r="D107" s="193" t="str">
        <f>IF(C107="","",0.6)</f>
        <v/>
      </c>
      <c r="E107"/>
      <c r="F107"/>
      <c r="S107"/>
      <c r="T107"/>
      <c r="U107"/>
    </row>
    <row r="108" spans="1:21" x14ac:dyDescent="0.2">
      <c r="A108" s="192" t="str">
        <f>A91</f>
        <v/>
      </c>
      <c r="B108" s="197" t="str">
        <f>IF(P56="","",VALUE(RIGHT(P56,2)))</f>
        <v/>
      </c>
      <c r="C108" s="101" t="str">
        <f>E96</f>
        <v/>
      </c>
      <c r="D108" s="193" t="str">
        <f>IF(P58="","",VALUE(RIGHT(P58,3)))</f>
        <v/>
      </c>
      <c r="E108"/>
      <c r="F108"/>
      <c r="S108"/>
      <c r="T108"/>
      <c r="U108"/>
    </row>
    <row r="109" spans="1:21" ht="13.5" thickBot="1" x14ac:dyDescent="0.25">
      <c r="A109" s="103" t="str">
        <f>A94</f>
        <v/>
      </c>
      <c r="B109" s="204" t="str">
        <f>B108</f>
        <v/>
      </c>
      <c r="C109" s="103" t="str">
        <f>E99</f>
        <v/>
      </c>
      <c r="D109" s="205" t="str">
        <f>IF(P58="","",VALUE(RIGHT(P58,3)))</f>
        <v/>
      </c>
      <c r="E109"/>
      <c r="F109"/>
    </row>
    <row r="110" spans="1:21" ht="12" customHeight="1" thickTop="1" thickBot="1" x14ac:dyDescent="0.25">
      <c r="A110"/>
      <c r="B110"/>
      <c r="C110"/>
      <c r="D110"/>
      <c r="E110"/>
      <c r="F110"/>
    </row>
    <row r="111" spans="1:21" ht="12" customHeight="1" thickTop="1" thickBot="1" x14ac:dyDescent="0.25">
      <c r="A111" s="1455" t="s">
        <v>1262</v>
      </c>
      <c r="B111" s="1456"/>
      <c r="C111" s="1456"/>
      <c r="D111" s="1456"/>
      <c r="E111" s="1456"/>
      <c r="F111" s="1456"/>
      <c r="G111" s="1456"/>
      <c r="H111" s="1456"/>
      <c r="I111" s="1456"/>
      <c r="J111" s="1456"/>
      <c r="K111" s="1456"/>
      <c r="L111" s="1456"/>
      <c r="M111" s="1456"/>
      <c r="N111" s="1456"/>
      <c r="O111" s="1456"/>
      <c r="P111" s="1457"/>
    </row>
    <row r="112" spans="1:21" ht="12" customHeight="1" thickTop="1" thickBot="1" x14ac:dyDescent="0.25">
      <c r="A112" s="69" t="s">
        <v>111</v>
      </c>
      <c r="B112" s="70"/>
      <c r="C112" s="77" t="s">
        <v>112</v>
      </c>
      <c r="D112" s="78"/>
      <c r="E112" s="79"/>
      <c r="F112" s="71"/>
      <c r="G112" s="71"/>
      <c r="H112" s="72" t="s">
        <v>113</v>
      </c>
      <c r="I112" s="72"/>
      <c r="J112" s="51" t="s">
        <v>114</v>
      </c>
      <c r="K112" s="73"/>
      <c r="L112" s="52" t="s">
        <v>1260</v>
      </c>
      <c r="M112" s="52" t="s">
        <v>1261</v>
      </c>
      <c r="N112" s="1480" t="s">
        <v>1259</v>
      </c>
      <c r="O112" s="1480"/>
      <c r="P112" s="1481"/>
    </row>
    <row r="113" spans="1:18" ht="12" customHeight="1" thickTop="1" x14ac:dyDescent="0.2">
      <c r="A113" s="1559" t="str">
        <f t="shared" ref="A113:A118" si="6">IF(A23="","",A23)</f>
        <v/>
      </c>
      <c r="B113" s="1560"/>
      <c r="C113" s="1580" t="str">
        <f t="shared" ref="C113:C118" si="7">IF(C23="","",C23)</f>
        <v/>
      </c>
      <c r="D113" s="1581"/>
      <c r="E113" s="1581"/>
      <c r="F113" s="1581"/>
      <c r="G113" s="1582"/>
      <c r="H113" s="1578" t="str">
        <f t="shared" ref="H113:H118" si="8">IF(H23="","",H23)</f>
        <v/>
      </c>
      <c r="I113" s="1579"/>
      <c r="J113" s="1578" t="str">
        <f t="shared" ref="J113:J118" si="9">IF(J23="","",J23)</f>
        <v/>
      </c>
      <c r="K113" s="1579"/>
      <c r="L113" s="640" t="str">
        <f t="shared" ref="L113:L118" si="10">IF(L23="","",L23)</f>
        <v/>
      </c>
      <c r="M113" s="642"/>
      <c r="N113" s="1482"/>
      <c r="O113" s="1483"/>
      <c r="P113" s="1484"/>
    </row>
    <row r="114" spans="1:18" ht="12" customHeight="1" x14ac:dyDescent="0.2">
      <c r="A114" s="1461" t="str">
        <f t="shared" si="6"/>
        <v/>
      </c>
      <c r="B114" s="1462"/>
      <c r="C114" s="1510" t="str">
        <f t="shared" si="7"/>
        <v/>
      </c>
      <c r="D114" s="1511"/>
      <c r="E114" s="1511"/>
      <c r="F114" s="1511"/>
      <c r="G114" s="1512"/>
      <c r="H114" s="1485" t="str">
        <f t="shared" si="8"/>
        <v/>
      </c>
      <c r="I114" s="1486"/>
      <c r="J114" s="1485" t="str">
        <f t="shared" si="9"/>
        <v/>
      </c>
      <c r="K114" s="1486"/>
      <c r="L114" s="640" t="str">
        <f t="shared" si="10"/>
        <v/>
      </c>
      <c r="M114" s="643"/>
      <c r="N114" s="1452"/>
      <c r="O114" s="1453"/>
      <c r="P114" s="1454"/>
    </row>
    <row r="115" spans="1:18" ht="12" customHeight="1" x14ac:dyDescent="0.2">
      <c r="A115" s="1461" t="str">
        <f t="shared" si="6"/>
        <v/>
      </c>
      <c r="B115" s="1462"/>
      <c r="C115" s="1510" t="str">
        <f t="shared" si="7"/>
        <v/>
      </c>
      <c r="D115" s="1511"/>
      <c r="E115" s="1511"/>
      <c r="F115" s="1511"/>
      <c r="G115" s="1512"/>
      <c r="H115" s="1485" t="str">
        <f t="shared" si="8"/>
        <v/>
      </c>
      <c r="I115" s="1486"/>
      <c r="J115" s="1485" t="str">
        <f t="shared" si="9"/>
        <v/>
      </c>
      <c r="K115" s="1486"/>
      <c r="L115" s="640" t="str">
        <f t="shared" si="10"/>
        <v/>
      </c>
      <c r="M115" s="643"/>
      <c r="N115" s="1452"/>
      <c r="O115" s="1453"/>
      <c r="P115" s="1454"/>
    </row>
    <row r="116" spans="1:18" ht="12" customHeight="1" x14ac:dyDescent="0.2">
      <c r="A116" s="1461" t="str">
        <f t="shared" si="6"/>
        <v/>
      </c>
      <c r="B116" s="1462"/>
      <c r="C116" s="1510" t="str">
        <f t="shared" si="7"/>
        <v/>
      </c>
      <c r="D116" s="1511"/>
      <c r="E116" s="1511"/>
      <c r="F116" s="1511"/>
      <c r="G116" s="1512"/>
      <c r="H116" s="1485" t="str">
        <f t="shared" si="8"/>
        <v/>
      </c>
      <c r="I116" s="1486"/>
      <c r="J116" s="1485" t="str">
        <f t="shared" si="9"/>
        <v/>
      </c>
      <c r="K116" s="1486"/>
      <c r="L116" s="640" t="str">
        <f t="shared" si="10"/>
        <v/>
      </c>
      <c r="M116" s="643"/>
      <c r="N116" s="1452"/>
      <c r="O116" s="1453"/>
      <c r="P116" s="1454"/>
    </row>
    <row r="117" spans="1:18" ht="12" customHeight="1" x14ac:dyDescent="0.2">
      <c r="A117" s="1461" t="str">
        <f t="shared" si="6"/>
        <v/>
      </c>
      <c r="B117" s="1462"/>
      <c r="C117" s="1510" t="str">
        <f t="shared" si="7"/>
        <v/>
      </c>
      <c r="D117" s="1511"/>
      <c r="E117" s="1511"/>
      <c r="F117" s="1511"/>
      <c r="G117" s="1512"/>
      <c r="H117" s="1485" t="str">
        <f t="shared" si="8"/>
        <v/>
      </c>
      <c r="I117" s="1486"/>
      <c r="J117" s="1485" t="str">
        <f t="shared" si="9"/>
        <v/>
      </c>
      <c r="K117" s="1486"/>
      <c r="L117" s="640" t="str">
        <f t="shared" si="10"/>
        <v/>
      </c>
      <c r="M117" s="643"/>
      <c r="N117" s="1452"/>
      <c r="O117" s="1453"/>
      <c r="P117" s="1454"/>
    </row>
    <row r="118" spans="1:18" ht="12" customHeight="1" thickBot="1" x14ac:dyDescent="0.25">
      <c r="A118" s="1513" t="str">
        <f t="shared" si="6"/>
        <v/>
      </c>
      <c r="B118" s="1514"/>
      <c r="C118" s="1515" t="str">
        <f t="shared" si="7"/>
        <v/>
      </c>
      <c r="D118" s="1516"/>
      <c r="E118" s="1516"/>
      <c r="F118" s="1516"/>
      <c r="G118" s="1517"/>
      <c r="H118" s="1508" t="str">
        <f t="shared" si="8"/>
        <v/>
      </c>
      <c r="I118" s="1509"/>
      <c r="J118" s="1508" t="str">
        <f t="shared" si="9"/>
        <v/>
      </c>
      <c r="K118" s="1509"/>
      <c r="L118" s="641" t="str">
        <f t="shared" si="10"/>
        <v/>
      </c>
      <c r="M118" s="644"/>
      <c r="N118" s="1491"/>
      <c r="O118" s="1492"/>
      <c r="P118" s="1493"/>
    </row>
    <row r="119" spans="1:18" ht="12" customHeight="1" thickTop="1" thickBot="1" x14ac:dyDescent="0.25"/>
    <row r="120" spans="1:18" ht="12" customHeight="1" thickTop="1" thickBot="1" x14ac:dyDescent="0.25">
      <c r="A120" s="1550" t="s">
        <v>216</v>
      </c>
      <c r="B120" s="1551"/>
      <c r="C120" s="1551"/>
      <c r="D120" s="1551"/>
      <c r="E120" s="1551"/>
      <c r="F120" s="1551"/>
      <c r="G120" s="1551"/>
      <c r="H120" s="1552"/>
      <c r="J120" s="1494" t="s">
        <v>1263</v>
      </c>
      <c r="K120" s="1495"/>
      <c r="L120" s="1495"/>
      <c r="M120" s="1495"/>
      <c r="N120" s="1495"/>
      <c r="O120" s="1495"/>
      <c r="P120" s="1496"/>
    </row>
    <row r="121" spans="1:18" ht="12" customHeight="1" thickTop="1" thickBot="1" x14ac:dyDescent="0.25">
      <c r="A121" s="1541"/>
      <c r="B121" s="1542"/>
      <c r="C121" s="1542"/>
      <c r="D121" s="1542"/>
      <c r="E121" s="1542"/>
      <c r="F121" s="1542"/>
      <c r="G121" s="1542"/>
      <c r="H121" s="1543"/>
      <c r="J121" s="1497" t="s">
        <v>1264</v>
      </c>
      <c r="K121" s="1480"/>
      <c r="L121" s="1498"/>
      <c r="M121" s="52" t="s">
        <v>1261</v>
      </c>
      <c r="N121" s="1480" t="s">
        <v>1997</v>
      </c>
      <c r="O121" s="1480"/>
      <c r="P121" s="1481"/>
    </row>
    <row r="122" spans="1:18" ht="12" customHeight="1" thickTop="1" x14ac:dyDescent="0.2">
      <c r="A122" s="1544"/>
      <c r="B122" s="1545"/>
      <c r="C122" s="1545"/>
      <c r="D122" s="1545"/>
      <c r="E122" s="1545"/>
      <c r="F122" s="1545"/>
      <c r="G122" s="1545"/>
      <c r="H122" s="1546"/>
      <c r="J122" s="1505"/>
      <c r="K122" s="1506"/>
      <c r="L122" s="1507"/>
      <c r="M122" s="642"/>
      <c r="N122" s="1482"/>
      <c r="O122" s="1483"/>
      <c r="P122" s="1484"/>
    </row>
    <row r="123" spans="1:18" ht="12" customHeight="1" x14ac:dyDescent="0.2">
      <c r="A123" s="1544"/>
      <c r="B123" s="1545"/>
      <c r="C123" s="1545"/>
      <c r="D123" s="1545"/>
      <c r="E123" s="1545"/>
      <c r="F123" s="1545"/>
      <c r="G123" s="1545"/>
      <c r="H123" s="1546"/>
      <c r="J123" s="1499"/>
      <c r="K123" s="1500"/>
      <c r="L123" s="1501"/>
      <c r="M123" s="643"/>
      <c r="N123" s="1452"/>
      <c r="O123" s="1453"/>
      <c r="P123" s="1454"/>
    </row>
    <row r="124" spans="1:18" ht="12" customHeight="1" x14ac:dyDescent="0.2">
      <c r="A124" s="1544"/>
      <c r="B124" s="1545"/>
      <c r="C124" s="1545"/>
      <c r="D124" s="1545"/>
      <c r="E124" s="1545"/>
      <c r="F124" s="1545"/>
      <c r="G124" s="1545"/>
      <c r="H124" s="1546"/>
      <c r="J124" s="1499"/>
      <c r="K124" s="1500"/>
      <c r="L124" s="1501"/>
      <c r="M124" s="643"/>
      <c r="N124" s="1452"/>
      <c r="O124" s="1453"/>
      <c r="P124" s="1454"/>
    </row>
    <row r="125" spans="1:18" ht="12" customHeight="1" x14ac:dyDescent="0.2">
      <c r="A125" s="1544"/>
      <c r="B125" s="1545"/>
      <c r="C125" s="1545"/>
      <c r="D125" s="1545"/>
      <c r="E125" s="1545"/>
      <c r="F125" s="1545"/>
      <c r="G125" s="1545"/>
      <c r="H125" s="1546"/>
      <c r="J125" s="1499"/>
      <c r="K125" s="1500"/>
      <c r="L125" s="1501"/>
      <c r="M125" s="643"/>
      <c r="N125" s="1452"/>
      <c r="O125" s="1453"/>
      <c r="P125" s="1454"/>
    </row>
    <row r="126" spans="1:18" ht="12" customHeight="1" x14ac:dyDescent="0.2">
      <c r="A126" s="1544"/>
      <c r="B126" s="1545"/>
      <c r="C126" s="1545"/>
      <c r="D126" s="1545"/>
      <c r="E126" s="1545"/>
      <c r="F126" s="1545"/>
      <c r="G126" s="1545"/>
      <c r="H126" s="1546"/>
      <c r="J126" s="1499"/>
      <c r="K126" s="1500"/>
      <c r="L126" s="1501"/>
      <c r="M126" s="643"/>
      <c r="N126" s="1452"/>
      <c r="O126" s="1453"/>
      <c r="P126" s="1454"/>
    </row>
    <row r="127" spans="1:18" ht="12" customHeight="1" thickBot="1" x14ac:dyDescent="0.25">
      <c r="A127" s="1547"/>
      <c r="B127" s="1548"/>
      <c r="C127" s="1548"/>
      <c r="D127" s="1548"/>
      <c r="E127" s="1548"/>
      <c r="F127" s="1548"/>
      <c r="G127" s="1548"/>
      <c r="H127" s="1549"/>
      <c r="J127" s="1502"/>
      <c r="K127" s="1503"/>
      <c r="L127" s="1504"/>
      <c r="M127" s="644"/>
      <c r="N127" s="1491"/>
      <c r="O127" s="1492"/>
      <c r="P127" s="1493"/>
      <c r="Q127" s="950" t="s">
        <v>1834</v>
      </c>
      <c r="R127" s="1" t="s">
        <v>1833</v>
      </c>
    </row>
    <row r="128" spans="1:18" ht="13.5" thickTop="1" x14ac:dyDescent="0.2"/>
  </sheetData>
  <mergeCells count="130">
    <mergeCell ref="L96:O96"/>
    <mergeCell ref="P94:R94"/>
    <mergeCell ref="P95:R95"/>
    <mergeCell ref="P96:R96"/>
    <mergeCell ref="K18:L18"/>
    <mergeCell ref="R33:S33"/>
    <mergeCell ref="K19:L19"/>
    <mergeCell ref="K8:L8"/>
    <mergeCell ref="L93:R93"/>
    <mergeCell ref="L94:O94"/>
    <mergeCell ref="L95:O95"/>
    <mergeCell ref="J23:K23"/>
    <mergeCell ref="A28:B28"/>
    <mergeCell ref="C26:G26"/>
    <mergeCell ref="C27:G27"/>
    <mergeCell ref="A24:B24"/>
    <mergeCell ref="J24:K24"/>
    <mergeCell ref="J25:K25"/>
    <mergeCell ref="J26:K26"/>
    <mergeCell ref="C25:G25"/>
    <mergeCell ref="T53:U53"/>
    <mergeCell ref="H26:I26"/>
    <mergeCell ref="R32:S32"/>
    <mergeCell ref="T32:U32"/>
    <mergeCell ref="N27:O27"/>
    <mergeCell ref="C28:G28"/>
    <mergeCell ref="T38:U38"/>
    <mergeCell ref="Q29:S29"/>
    <mergeCell ref="R38:S38"/>
    <mergeCell ref="H28:I28"/>
    <mergeCell ref="J28:K28"/>
    <mergeCell ref="R36:S36"/>
    <mergeCell ref="J27:K27"/>
    <mergeCell ref="A121:H127"/>
    <mergeCell ref="A120:H120"/>
    <mergeCell ref="S82:U82"/>
    <mergeCell ref="O75:Q75"/>
    <mergeCell ref="A113:B113"/>
    <mergeCell ref="T52:U52"/>
    <mergeCell ref="C10:D10"/>
    <mergeCell ref="A23:B23"/>
    <mergeCell ref="M76:Q77"/>
    <mergeCell ref="A25:B25"/>
    <mergeCell ref="A26:B26"/>
    <mergeCell ref="C14:E14"/>
    <mergeCell ref="C15:E15"/>
    <mergeCell ref="C12:E12"/>
    <mergeCell ref="C13:E13"/>
    <mergeCell ref="A27:B27"/>
    <mergeCell ref="C23:G23"/>
    <mergeCell ref="A114:B114"/>
    <mergeCell ref="C114:G114"/>
    <mergeCell ref="H114:I114"/>
    <mergeCell ref="J114:K114"/>
    <mergeCell ref="H113:I113"/>
    <mergeCell ref="J113:K113"/>
    <mergeCell ref="C113:G113"/>
    <mergeCell ref="A116:B116"/>
    <mergeCell ref="C116:G116"/>
    <mergeCell ref="H116:I116"/>
    <mergeCell ref="J116:K116"/>
    <mergeCell ref="C115:G115"/>
    <mergeCell ref="L98:R98"/>
    <mergeCell ref="L99:O99"/>
    <mergeCell ref="N116:P116"/>
    <mergeCell ref="O7:U7"/>
    <mergeCell ref="R35:S35"/>
    <mergeCell ref="H24:I24"/>
    <mergeCell ref="H25:I25"/>
    <mergeCell ref="H27:I27"/>
    <mergeCell ref="T29:U29"/>
    <mergeCell ref="T33:U33"/>
    <mergeCell ref="H23:I23"/>
    <mergeCell ref="K10:L10"/>
    <mergeCell ref="T35:U35"/>
    <mergeCell ref="K16:L16"/>
    <mergeCell ref="K20:L20"/>
    <mergeCell ref="T54:U54"/>
    <mergeCell ref="S58:U58"/>
    <mergeCell ref="P56:Q56"/>
    <mergeCell ref="R42:S42"/>
    <mergeCell ref="N117:P117"/>
    <mergeCell ref="J118:K118"/>
    <mergeCell ref="A117:B117"/>
    <mergeCell ref="C117:G117"/>
    <mergeCell ref="H117:I117"/>
    <mergeCell ref="J117:K117"/>
    <mergeCell ref="A118:B118"/>
    <mergeCell ref="C118:G118"/>
    <mergeCell ref="H118:I118"/>
    <mergeCell ref="N125:P125"/>
    <mergeCell ref="N126:P126"/>
    <mergeCell ref="N127:P127"/>
    <mergeCell ref="N118:P118"/>
    <mergeCell ref="N121:P121"/>
    <mergeCell ref="N122:P122"/>
    <mergeCell ref="N123:P123"/>
    <mergeCell ref="N124:P124"/>
    <mergeCell ref="J120:P120"/>
    <mergeCell ref="J121:L121"/>
    <mergeCell ref="J123:L123"/>
    <mergeCell ref="J125:L125"/>
    <mergeCell ref="J126:L126"/>
    <mergeCell ref="J127:L127"/>
    <mergeCell ref="J124:L124"/>
    <mergeCell ref="J122:L122"/>
    <mergeCell ref="Z24:AB24"/>
    <mergeCell ref="Z28:AB28"/>
    <mergeCell ref="Z30:AB30"/>
    <mergeCell ref="Z26:AB26"/>
    <mergeCell ref="N114:P114"/>
    <mergeCell ref="N115:P115"/>
    <mergeCell ref="A111:P111"/>
    <mergeCell ref="C24:G24"/>
    <mergeCell ref="A115:B115"/>
    <mergeCell ref="T41:U41"/>
    <mergeCell ref="P99:R99"/>
    <mergeCell ref="L100:O100"/>
    <mergeCell ref="P100:R100"/>
    <mergeCell ref="L101:O101"/>
    <mergeCell ref="P101:R101"/>
    <mergeCell ref="N112:P112"/>
    <mergeCell ref="N113:P113"/>
    <mergeCell ref="H115:I115"/>
    <mergeCell ref="J115:K115"/>
    <mergeCell ref="R39:S39"/>
    <mergeCell ref="T36:U36"/>
    <mergeCell ref="R41:S41"/>
    <mergeCell ref="T42:U42"/>
    <mergeCell ref="T39:U39"/>
  </mergeCells>
  <phoneticPr fontId="16" type="noConversion"/>
  <conditionalFormatting sqref="P52">
    <cfRule type="cellIs" dxfId="205" priority="5" stopIfTrue="1" operator="equal">
      <formula>"ENTER"</formula>
    </cfRule>
  </conditionalFormatting>
  <conditionalFormatting sqref="P53">
    <cfRule type="cellIs" dxfId="204" priority="6" stopIfTrue="1" operator="equal">
      <formula>"DEPTH"</formula>
    </cfRule>
  </conditionalFormatting>
  <conditionalFormatting sqref="P54">
    <cfRule type="cellIs" dxfId="203" priority="7" stopIfTrue="1" operator="equal">
      <formula>"FROM"</formula>
    </cfRule>
  </conditionalFormatting>
  <conditionalFormatting sqref="P55">
    <cfRule type="cellIs" dxfId="202" priority="8" stopIfTrue="1" operator="equal">
      <formula>"SURFACE"</formula>
    </cfRule>
  </conditionalFormatting>
  <conditionalFormatting sqref="C14:E14">
    <cfRule type="cellIs" dxfId="201" priority="9" stopIfTrue="1" operator="equal">
      <formula>"Multiple Projects Selected"</formula>
    </cfRule>
  </conditionalFormatting>
  <conditionalFormatting sqref="C15:E15">
    <cfRule type="cellIs" dxfId="200" priority="10" stopIfTrue="1" operator="equal">
      <formula>"See 'Project Items' Tab."</formula>
    </cfRule>
  </conditionalFormatting>
  <conditionalFormatting sqref="A19">
    <cfRule type="expression" dxfId="199" priority="1">
      <formula>ISNUMBER(SEARCH("Not permissible", A19))</formula>
    </cfRule>
  </conditionalFormatting>
  <dataValidations count="8">
    <dataValidation type="textLength" operator="equal" allowBlank="1" showInputMessage="1" showErrorMessage="1" errorTitle="Incorrect Length" error="SiteManager Sample ID must be 14-characters exactly" sqref="C10:D10" xr:uid="{00000000-0002-0000-0000-000000000000}">
      <formula1>14</formula1>
    </dataValidation>
    <dataValidation type="textLength" allowBlank="1" showInputMessage="1" showErrorMessage="1" errorTitle="Length Exceeded" error="NOTES can only accept up to 255 characters." sqref="A121:H127" xr:uid="{00000000-0002-0000-0000-000001000000}">
      <formula1>0</formula1>
      <formula2>255</formula2>
    </dataValidation>
    <dataValidation type="textLength" allowBlank="1" showInputMessage="1" showErrorMessage="1" sqref="H10" xr:uid="{00000000-0002-0000-0000-000002000000}">
      <formula1>1</formula1>
      <formula2>15</formula2>
    </dataValidation>
    <dataValidation type="textLength" allowBlank="1" showInputMessage="1" showErrorMessage="1" error="This notes field is limited to a maximum of 60 characters." sqref="M76:Q77" xr:uid="{00000000-0002-0000-0000-000003000000}">
      <formula1>0</formula1>
      <formula2>60</formula2>
    </dataValidation>
    <dataValidation type="list" allowBlank="1" showInputMessage="1" showErrorMessage="1" sqref="J23:K28" xr:uid="{00000000-0002-0000-0000-000004000000}">
      <formula1>Aggsize</formula1>
    </dataValidation>
    <dataValidation type="list" allowBlank="1" showInputMessage="1" showErrorMessage="1" sqref="H12" xr:uid="{00000000-0002-0000-0000-000005000000}">
      <formula1>LabUnits</formula1>
    </dataValidation>
    <dataValidation type="textLength" allowBlank="1" showInputMessage="1" showErrorMessage="1" errorTitle="Error" error="This cell is limited to 10 characters." sqref="P96:R96 P101:R101 P94:R94 P99:R99" xr:uid="{00000000-0002-0000-0000-000006000000}">
      <formula1>0</formula1>
      <formula2>10</formula2>
    </dataValidation>
    <dataValidation type="textLength" allowBlank="1" showInputMessage="1" showErrorMessage="1" errorTitle="Error" error="This cell is limited to 60 characters." sqref="P95:R95 P100:R100" xr:uid="{00000000-0002-0000-0000-000007000000}">
      <formula1>0</formula1>
      <formula2>60</formula2>
    </dataValidation>
  </dataValidations>
  <printOptions horizontalCentered="1" verticalCentered="1"/>
  <pageMargins left="0.25" right="0.25" top="0.25" bottom="0.25" header="0.5" footer="0.5"/>
  <pageSetup scale="79" fitToHeight="2" orientation="landscape" blackAndWhite="1" horizontalDpi="4294967292" verticalDpi="4294967292" r:id="rId1"/>
  <headerFooter alignWithMargins="0"/>
  <rowBreaks count="1" manualBreakCount="1">
    <brk id="49" max="65535" man="1"/>
  </rowBreaks>
  <ignoredErrors>
    <ignoredError sqref="G34:H34 G37:H37 G40:H40" formula="1"/>
  </ignoredErrors>
  <drawing r:id="rId2"/>
  <legacyDrawing r:id="rId3"/>
  <controls>
    <mc:AlternateContent xmlns:mc="http://schemas.openxmlformats.org/markup-compatibility/2006">
      <mc:Choice Requires="x14">
        <control shapeId="1109" r:id="rId4" name="CheckBox8">
          <controlPr defaultSize="0" autoLine="0" r:id="rId5">
            <anchor moveWithCells="1">
              <from>
                <xdr:col>16</xdr:col>
                <xdr:colOff>295275</xdr:colOff>
                <xdr:row>17</xdr:row>
                <xdr:rowOff>152400</xdr:rowOff>
              </from>
              <to>
                <xdr:col>17</xdr:col>
                <xdr:colOff>457200</xdr:colOff>
                <xdr:row>20</xdr:row>
                <xdr:rowOff>85725</xdr:rowOff>
              </to>
            </anchor>
          </controlPr>
        </control>
      </mc:Choice>
      <mc:Fallback>
        <control shapeId="1109" r:id="rId4" name="CheckBox8"/>
      </mc:Fallback>
    </mc:AlternateContent>
    <mc:AlternateContent xmlns:mc="http://schemas.openxmlformats.org/markup-compatibility/2006">
      <mc:Choice Requires="x14">
        <control shapeId="1108" r:id="rId6" name="CheckBox7">
          <controlPr defaultSize="0" autoLine="0" linkedCell="'Chart Data'!K38" r:id="rId7">
            <anchor moveWithCells="1">
              <from>
                <xdr:col>16</xdr:col>
                <xdr:colOff>295275</xdr:colOff>
                <xdr:row>16</xdr:row>
                <xdr:rowOff>76200</xdr:rowOff>
              </from>
              <to>
                <xdr:col>17</xdr:col>
                <xdr:colOff>304800</xdr:colOff>
                <xdr:row>18</xdr:row>
                <xdr:rowOff>0</xdr:rowOff>
              </to>
            </anchor>
          </controlPr>
        </control>
      </mc:Choice>
      <mc:Fallback>
        <control shapeId="1108" r:id="rId6" name="CheckBox7"/>
      </mc:Fallback>
    </mc:AlternateContent>
    <mc:AlternateContent xmlns:mc="http://schemas.openxmlformats.org/markup-compatibility/2006">
      <mc:Choice Requires="x14">
        <control shapeId="1089" r:id="rId8" name="CheckBox6">
          <controlPr defaultSize="0" autoFill="0" autoLine="0" r:id="rId9">
            <anchor moveWithCells="1">
              <from>
                <xdr:col>6</xdr:col>
                <xdr:colOff>323850</xdr:colOff>
                <xdr:row>27</xdr:row>
                <xdr:rowOff>9525</xdr:rowOff>
              </from>
              <to>
                <xdr:col>6</xdr:col>
                <xdr:colOff>476250</xdr:colOff>
                <xdr:row>27</xdr:row>
                <xdr:rowOff>161925</xdr:rowOff>
              </to>
            </anchor>
          </controlPr>
        </control>
      </mc:Choice>
      <mc:Fallback>
        <control shapeId="1089" r:id="rId8" name="CheckBox6"/>
      </mc:Fallback>
    </mc:AlternateContent>
    <mc:AlternateContent xmlns:mc="http://schemas.openxmlformats.org/markup-compatibility/2006">
      <mc:Choice Requires="x14">
        <control shapeId="1088" r:id="rId10" name="CheckBox5">
          <controlPr defaultSize="0" autoFill="0" autoLine="0" r:id="rId9">
            <anchor moveWithCells="1">
              <from>
                <xdr:col>6</xdr:col>
                <xdr:colOff>323850</xdr:colOff>
                <xdr:row>26</xdr:row>
                <xdr:rowOff>9525</xdr:rowOff>
              </from>
              <to>
                <xdr:col>6</xdr:col>
                <xdr:colOff>476250</xdr:colOff>
                <xdr:row>26</xdr:row>
                <xdr:rowOff>161925</xdr:rowOff>
              </to>
            </anchor>
          </controlPr>
        </control>
      </mc:Choice>
      <mc:Fallback>
        <control shapeId="1088" r:id="rId10" name="CheckBox5"/>
      </mc:Fallback>
    </mc:AlternateContent>
    <mc:AlternateContent xmlns:mc="http://schemas.openxmlformats.org/markup-compatibility/2006">
      <mc:Choice Requires="x14">
        <control shapeId="1087" r:id="rId11" name="CheckBox4">
          <controlPr defaultSize="0" autoFill="0" autoLine="0" r:id="rId9">
            <anchor moveWithCells="1">
              <from>
                <xdr:col>6</xdr:col>
                <xdr:colOff>323850</xdr:colOff>
                <xdr:row>25</xdr:row>
                <xdr:rowOff>19050</xdr:rowOff>
              </from>
              <to>
                <xdr:col>6</xdr:col>
                <xdr:colOff>476250</xdr:colOff>
                <xdr:row>26</xdr:row>
                <xdr:rowOff>0</xdr:rowOff>
              </to>
            </anchor>
          </controlPr>
        </control>
      </mc:Choice>
      <mc:Fallback>
        <control shapeId="1087" r:id="rId11" name="CheckBox4"/>
      </mc:Fallback>
    </mc:AlternateContent>
    <mc:AlternateContent xmlns:mc="http://schemas.openxmlformats.org/markup-compatibility/2006">
      <mc:Choice Requires="x14">
        <control shapeId="1086" r:id="rId12" name="CheckBox3">
          <controlPr defaultSize="0" autoFill="0" autoLine="0" r:id="rId9">
            <anchor moveWithCells="1">
              <from>
                <xdr:col>6</xdr:col>
                <xdr:colOff>323850</xdr:colOff>
                <xdr:row>24</xdr:row>
                <xdr:rowOff>19050</xdr:rowOff>
              </from>
              <to>
                <xdr:col>6</xdr:col>
                <xdr:colOff>476250</xdr:colOff>
                <xdr:row>25</xdr:row>
                <xdr:rowOff>0</xdr:rowOff>
              </to>
            </anchor>
          </controlPr>
        </control>
      </mc:Choice>
      <mc:Fallback>
        <control shapeId="1086" r:id="rId12" name="CheckBox3"/>
      </mc:Fallback>
    </mc:AlternateContent>
    <mc:AlternateContent xmlns:mc="http://schemas.openxmlformats.org/markup-compatibility/2006">
      <mc:Choice Requires="x14">
        <control shapeId="1085" r:id="rId13" name="CheckBox2">
          <controlPr defaultSize="0" autoFill="0" autoLine="0" r:id="rId9">
            <anchor moveWithCells="1">
              <from>
                <xdr:col>6</xdr:col>
                <xdr:colOff>323850</xdr:colOff>
                <xdr:row>23</xdr:row>
                <xdr:rowOff>9525</xdr:rowOff>
              </from>
              <to>
                <xdr:col>6</xdr:col>
                <xdr:colOff>476250</xdr:colOff>
                <xdr:row>23</xdr:row>
                <xdr:rowOff>161925</xdr:rowOff>
              </to>
            </anchor>
          </controlPr>
        </control>
      </mc:Choice>
      <mc:Fallback>
        <control shapeId="1085" r:id="rId13" name="CheckBox2"/>
      </mc:Fallback>
    </mc:AlternateContent>
    <mc:AlternateContent xmlns:mc="http://schemas.openxmlformats.org/markup-compatibility/2006">
      <mc:Choice Requires="x14">
        <control shapeId="1084" r:id="rId14" name="CheckBox1">
          <controlPr defaultSize="0" autoFill="0" autoLine="0" r:id="rId9">
            <anchor moveWithCells="1">
              <from>
                <xdr:col>6</xdr:col>
                <xdr:colOff>323850</xdr:colOff>
                <xdr:row>22</xdr:row>
                <xdr:rowOff>19050</xdr:rowOff>
              </from>
              <to>
                <xdr:col>6</xdr:col>
                <xdr:colOff>476250</xdr:colOff>
                <xdr:row>23</xdr:row>
                <xdr:rowOff>0</xdr:rowOff>
              </to>
            </anchor>
          </controlPr>
        </control>
      </mc:Choice>
      <mc:Fallback>
        <control shapeId="1084" r:id="rId14" name="CheckBox1"/>
      </mc:Fallback>
    </mc:AlternateContent>
    <mc:AlternateContent xmlns:mc="http://schemas.openxmlformats.org/markup-compatibility/2006">
      <mc:Choice Requires="x14">
        <control shapeId="1077" r:id="rId15" name="ComboBox7">
          <controlPr defaultSize="0" autoLine="0" linkedCell="'Chart Data'!W25" listFillRange="'Chart Data'!T63:T65" r:id="rId16">
            <anchor moveWithCells="1">
              <from>
                <xdr:col>24</xdr:col>
                <xdr:colOff>0</xdr:colOff>
                <xdr:row>9</xdr:row>
                <xdr:rowOff>0</xdr:rowOff>
              </from>
              <to>
                <xdr:col>26</xdr:col>
                <xdr:colOff>238125</xdr:colOff>
                <xdr:row>10</xdr:row>
                <xdr:rowOff>76200</xdr:rowOff>
              </to>
            </anchor>
          </controlPr>
        </control>
      </mc:Choice>
      <mc:Fallback>
        <control shapeId="1077" r:id="rId15" name="ComboBox7"/>
      </mc:Fallback>
    </mc:AlternateContent>
    <mc:AlternateContent xmlns:mc="http://schemas.openxmlformats.org/markup-compatibility/2006">
      <mc:Choice Requires="x14">
        <control shapeId="1076" r:id="rId17" name="Label8">
          <controlPr defaultSize="0" autoLine="0" r:id="rId18">
            <anchor moveWithCells="1">
              <from>
                <xdr:col>22</xdr:col>
                <xdr:colOff>0</xdr:colOff>
                <xdr:row>9</xdr:row>
                <xdr:rowOff>0</xdr:rowOff>
              </from>
              <to>
                <xdr:col>24</xdr:col>
                <xdr:colOff>0</xdr:colOff>
                <xdr:row>10</xdr:row>
                <xdr:rowOff>76200</xdr:rowOff>
              </to>
            </anchor>
          </controlPr>
        </control>
      </mc:Choice>
      <mc:Fallback>
        <control shapeId="1076" r:id="rId17" name="Label8"/>
      </mc:Fallback>
    </mc:AlternateContent>
    <mc:AlternateContent xmlns:mc="http://schemas.openxmlformats.org/markup-compatibility/2006">
      <mc:Choice Requires="x14">
        <control shapeId="1075" r:id="rId19" name="Label7">
          <controlPr defaultSize="0" autoLine="0" r:id="rId20">
            <anchor moveWithCells="1">
              <from>
                <xdr:col>22</xdr:col>
                <xdr:colOff>0</xdr:colOff>
                <xdr:row>19</xdr:row>
                <xdr:rowOff>0</xdr:rowOff>
              </from>
              <to>
                <xdr:col>24</xdr:col>
                <xdr:colOff>0</xdr:colOff>
                <xdr:row>20</xdr:row>
                <xdr:rowOff>76200</xdr:rowOff>
              </to>
            </anchor>
          </controlPr>
        </control>
      </mc:Choice>
      <mc:Fallback>
        <control shapeId="1075" r:id="rId19" name="Label7"/>
      </mc:Fallback>
    </mc:AlternateContent>
    <mc:AlternateContent xmlns:mc="http://schemas.openxmlformats.org/markup-compatibility/2006">
      <mc:Choice Requires="x14">
        <control shapeId="1074" r:id="rId21" name="Label6">
          <controlPr defaultSize="0" autoLine="0" r:id="rId22">
            <anchor moveWithCells="1">
              <from>
                <xdr:col>22</xdr:col>
                <xdr:colOff>0</xdr:colOff>
                <xdr:row>17</xdr:row>
                <xdr:rowOff>0</xdr:rowOff>
              </from>
              <to>
                <xdr:col>24</xdr:col>
                <xdr:colOff>0</xdr:colOff>
                <xdr:row>18</xdr:row>
                <xdr:rowOff>76200</xdr:rowOff>
              </to>
            </anchor>
          </controlPr>
        </control>
      </mc:Choice>
      <mc:Fallback>
        <control shapeId="1074" r:id="rId21" name="Label6"/>
      </mc:Fallback>
    </mc:AlternateContent>
    <mc:AlternateContent xmlns:mc="http://schemas.openxmlformats.org/markup-compatibility/2006">
      <mc:Choice Requires="x14">
        <control shapeId="1073" r:id="rId23" name="Label5">
          <controlPr defaultSize="0" autoLine="0" r:id="rId24">
            <anchor moveWithCells="1">
              <from>
                <xdr:col>22</xdr:col>
                <xdr:colOff>0</xdr:colOff>
                <xdr:row>15</xdr:row>
                <xdr:rowOff>0</xdr:rowOff>
              </from>
              <to>
                <xdr:col>24</xdr:col>
                <xdr:colOff>0</xdr:colOff>
                <xdr:row>16</xdr:row>
                <xdr:rowOff>76200</xdr:rowOff>
              </to>
            </anchor>
          </controlPr>
        </control>
      </mc:Choice>
      <mc:Fallback>
        <control shapeId="1073" r:id="rId23" name="Label5"/>
      </mc:Fallback>
    </mc:AlternateContent>
    <mc:AlternateContent xmlns:mc="http://schemas.openxmlformats.org/markup-compatibility/2006">
      <mc:Choice Requires="x14">
        <control shapeId="1072" r:id="rId25" name="Label4">
          <controlPr defaultSize="0" autoLine="0" r:id="rId26">
            <anchor moveWithCells="1">
              <from>
                <xdr:col>22</xdr:col>
                <xdr:colOff>0</xdr:colOff>
                <xdr:row>13</xdr:row>
                <xdr:rowOff>0</xdr:rowOff>
              </from>
              <to>
                <xdr:col>24</xdr:col>
                <xdr:colOff>0</xdr:colOff>
                <xdr:row>14</xdr:row>
                <xdr:rowOff>76200</xdr:rowOff>
              </to>
            </anchor>
          </controlPr>
        </control>
      </mc:Choice>
      <mc:Fallback>
        <control shapeId="1072" r:id="rId25" name="Label4"/>
      </mc:Fallback>
    </mc:AlternateContent>
    <mc:AlternateContent xmlns:mc="http://schemas.openxmlformats.org/markup-compatibility/2006">
      <mc:Choice Requires="x14">
        <control shapeId="1071" r:id="rId27" name="Label3">
          <controlPr defaultSize="0" autoLine="0" r:id="rId28">
            <anchor moveWithCells="1">
              <from>
                <xdr:col>22</xdr:col>
                <xdr:colOff>0</xdr:colOff>
                <xdr:row>11</xdr:row>
                <xdr:rowOff>0</xdr:rowOff>
              </from>
              <to>
                <xdr:col>24</xdr:col>
                <xdr:colOff>0</xdr:colOff>
                <xdr:row>12</xdr:row>
                <xdr:rowOff>76200</xdr:rowOff>
              </to>
            </anchor>
          </controlPr>
        </control>
      </mc:Choice>
      <mc:Fallback>
        <control shapeId="1071" r:id="rId27" name="Label3"/>
      </mc:Fallback>
    </mc:AlternateContent>
    <mc:AlternateContent xmlns:mc="http://schemas.openxmlformats.org/markup-compatibility/2006">
      <mc:Choice Requires="x14">
        <control shapeId="1070" r:id="rId29" name="Label2">
          <controlPr defaultSize="0" autoLine="0" r:id="rId30">
            <anchor moveWithCells="1">
              <from>
                <xdr:col>22</xdr:col>
                <xdr:colOff>0</xdr:colOff>
                <xdr:row>7</xdr:row>
                <xdr:rowOff>0</xdr:rowOff>
              </from>
              <to>
                <xdr:col>24</xdr:col>
                <xdr:colOff>0</xdr:colOff>
                <xdr:row>8</xdr:row>
                <xdr:rowOff>76200</xdr:rowOff>
              </to>
            </anchor>
          </controlPr>
        </control>
      </mc:Choice>
      <mc:Fallback>
        <control shapeId="1070" r:id="rId29" name="Label2"/>
      </mc:Fallback>
    </mc:AlternateContent>
    <mc:AlternateContent xmlns:mc="http://schemas.openxmlformats.org/markup-compatibility/2006">
      <mc:Choice Requires="x14">
        <control shapeId="1068" r:id="rId31" name="Label1">
          <controlPr defaultSize="0" autoLine="0" r:id="rId32">
            <anchor moveWithCells="1">
              <from>
                <xdr:col>22</xdr:col>
                <xdr:colOff>0</xdr:colOff>
                <xdr:row>4</xdr:row>
                <xdr:rowOff>142875</xdr:rowOff>
              </from>
              <to>
                <xdr:col>26</xdr:col>
                <xdr:colOff>190500</xdr:colOff>
                <xdr:row>6</xdr:row>
                <xdr:rowOff>114300</xdr:rowOff>
              </to>
            </anchor>
          </controlPr>
        </control>
      </mc:Choice>
      <mc:Fallback>
        <control shapeId="1068" r:id="rId31" name="Label1"/>
      </mc:Fallback>
    </mc:AlternateContent>
    <mc:AlternateContent xmlns:mc="http://schemas.openxmlformats.org/markup-compatibility/2006">
      <mc:Choice Requires="x14">
        <control shapeId="1067" r:id="rId33" name="TextBox1">
          <controlPr defaultSize="0" autoLine="0" autoPict="0" linkedCell="'Chart Data'!W19" r:id="rId34">
            <anchor moveWithCells="1">
              <from>
                <xdr:col>24</xdr:col>
                <xdr:colOff>0</xdr:colOff>
                <xdr:row>7</xdr:row>
                <xdr:rowOff>0</xdr:rowOff>
              </from>
              <to>
                <xdr:col>26</xdr:col>
                <xdr:colOff>200025</xdr:colOff>
                <xdr:row>8</xdr:row>
                <xdr:rowOff>76200</xdr:rowOff>
              </to>
            </anchor>
          </controlPr>
        </control>
      </mc:Choice>
      <mc:Fallback>
        <control shapeId="1067" r:id="rId33" name="TextBox1"/>
      </mc:Fallback>
    </mc:AlternateContent>
    <mc:AlternateContent xmlns:mc="http://schemas.openxmlformats.org/markup-compatibility/2006">
      <mc:Choice Requires="x14">
        <control shapeId="1066" r:id="rId35" name="ComboBox6">
          <controlPr defaultSize="0" autoLine="0" linkedCell="'Chart Data'!W24" listFillRange="'Chart Data'!S63:S75" r:id="rId16">
            <anchor moveWithCells="1">
              <from>
                <xdr:col>24</xdr:col>
                <xdr:colOff>0</xdr:colOff>
                <xdr:row>19</xdr:row>
                <xdr:rowOff>0</xdr:rowOff>
              </from>
              <to>
                <xdr:col>26</xdr:col>
                <xdr:colOff>238125</xdr:colOff>
                <xdr:row>20</xdr:row>
                <xdr:rowOff>76200</xdr:rowOff>
              </to>
            </anchor>
          </controlPr>
        </control>
      </mc:Choice>
      <mc:Fallback>
        <control shapeId="1066" r:id="rId35" name="ComboBox6"/>
      </mc:Fallback>
    </mc:AlternateContent>
    <mc:AlternateContent xmlns:mc="http://schemas.openxmlformats.org/markup-compatibility/2006">
      <mc:Choice Requires="x14">
        <control shapeId="1065" r:id="rId36" name="ComboBox5">
          <controlPr defaultSize="0" autoLine="0" linkedCell="'Chart Data'!W23" listFillRange="'Chart Data'!R63:R66" r:id="rId16">
            <anchor moveWithCells="1">
              <from>
                <xdr:col>24</xdr:col>
                <xdr:colOff>0</xdr:colOff>
                <xdr:row>17</xdr:row>
                <xdr:rowOff>0</xdr:rowOff>
              </from>
              <to>
                <xdr:col>26</xdr:col>
                <xdr:colOff>238125</xdr:colOff>
                <xdr:row>18</xdr:row>
                <xdr:rowOff>76200</xdr:rowOff>
              </to>
            </anchor>
          </controlPr>
        </control>
      </mc:Choice>
      <mc:Fallback>
        <control shapeId="1065" r:id="rId36" name="ComboBox5"/>
      </mc:Fallback>
    </mc:AlternateContent>
    <mc:AlternateContent xmlns:mc="http://schemas.openxmlformats.org/markup-compatibility/2006">
      <mc:Choice Requires="x14">
        <control shapeId="1064" r:id="rId37" name="ComboBox4">
          <controlPr defaultSize="0" autoLine="0" linkedCell="'Chart Data'!W22" listFillRange="'Chart Data'!Q63:Q68" r:id="rId16">
            <anchor moveWithCells="1">
              <from>
                <xdr:col>24</xdr:col>
                <xdr:colOff>0</xdr:colOff>
                <xdr:row>15</xdr:row>
                <xdr:rowOff>0</xdr:rowOff>
              </from>
              <to>
                <xdr:col>26</xdr:col>
                <xdr:colOff>238125</xdr:colOff>
                <xdr:row>16</xdr:row>
                <xdr:rowOff>76200</xdr:rowOff>
              </to>
            </anchor>
          </controlPr>
        </control>
      </mc:Choice>
      <mc:Fallback>
        <control shapeId="1064" r:id="rId37" name="ComboBox4"/>
      </mc:Fallback>
    </mc:AlternateContent>
    <mc:AlternateContent xmlns:mc="http://schemas.openxmlformats.org/markup-compatibility/2006">
      <mc:Choice Requires="x14">
        <control shapeId="1063" r:id="rId38" name="ComboBox3">
          <controlPr defaultSize="0" autoLine="0" linkedCell="'Chart Data'!W21" listFillRange="'Chart Data'!P63:P66" r:id="rId16">
            <anchor moveWithCells="1">
              <from>
                <xdr:col>24</xdr:col>
                <xdr:colOff>0</xdr:colOff>
                <xdr:row>13</xdr:row>
                <xdr:rowOff>0</xdr:rowOff>
              </from>
              <to>
                <xdr:col>26</xdr:col>
                <xdr:colOff>238125</xdr:colOff>
                <xdr:row>14</xdr:row>
                <xdr:rowOff>76200</xdr:rowOff>
              </to>
            </anchor>
          </controlPr>
        </control>
      </mc:Choice>
      <mc:Fallback>
        <control shapeId="1063" r:id="rId38" name="ComboBox3"/>
      </mc:Fallback>
    </mc:AlternateContent>
    <mc:AlternateContent xmlns:mc="http://schemas.openxmlformats.org/markup-compatibility/2006">
      <mc:Choice Requires="x14">
        <control shapeId="1062" r:id="rId39" name="ComboBox1">
          <controlPr defaultSize="0" autoLine="0" linkedCell="'Chart Data'!W20" listFillRange="'Chart Data'!O63:O67" r:id="rId16">
            <anchor moveWithCells="1">
              <from>
                <xdr:col>24</xdr:col>
                <xdr:colOff>0</xdr:colOff>
                <xdr:row>11</xdr:row>
                <xdr:rowOff>0</xdr:rowOff>
              </from>
              <to>
                <xdr:col>26</xdr:col>
                <xdr:colOff>238125</xdr:colOff>
                <xdr:row>12</xdr:row>
                <xdr:rowOff>76200</xdr:rowOff>
              </to>
            </anchor>
          </controlPr>
        </control>
      </mc:Choice>
      <mc:Fallback>
        <control shapeId="1062" r:id="rId39" name="ComboBox1"/>
      </mc:Fallback>
    </mc:AlternateContent>
    <mc:AlternateContent xmlns:mc="http://schemas.openxmlformats.org/markup-compatibility/2006">
      <mc:Choice Requires="x14">
        <control shapeId="1060" r:id="rId40" name="ComboBox2">
          <controlPr defaultSize="0" print="0" autoLine="0" autoPict="0" linkedCell="'Chart Data'!AO2" listFillRange="'Chart Data'!AM1:AN145" r:id="rId41">
            <anchor moveWithCells="1">
              <from>
                <xdr:col>8</xdr:col>
                <xdr:colOff>0</xdr:colOff>
                <xdr:row>13</xdr:row>
                <xdr:rowOff>152400</xdr:rowOff>
              </from>
              <to>
                <xdr:col>13</xdr:col>
                <xdr:colOff>295275</xdr:colOff>
                <xdr:row>15</xdr:row>
                <xdr:rowOff>9525</xdr:rowOff>
              </to>
            </anchor>
          </controlPr>
        </control>
      </mc:Choice>
      <mc:Fallback>
        <control shapeId="1060" r:id="rId40" name="ComboBox2"/>
      </mc:Fallback>
    </mc:AlternateContent>
    <mc:AlternateContent xmlns:mc="http://schemas.openxmlformats.org/markup-compatibility/2006">
      <mc:Choice Requires="x14">
        <control shapeId="1059" r:id="rId42" name="cbBinderSource">
          <controlPr defaultSize="0" print="0" autoLine="0" linkedCell="'Chart Data'!AJ2" listFillRange="'Chart Data'!AH1:AI35" r:id="rId43">
            <anchor moveWithCells="1">
              <from>
                <xdr:col>0</xdr:col>
                <xdr:colOff>0</xdr:colOff>
                <xdr:row>16</xdr:row>
                <xdr:rowOff>0</xdr:rowOff>
              </from>
              <to>
                <xdr:col>5</xdr:col>
                <xdr:colOff>0</xdr:colOff>
                <xdr:row>17</xdr:row>
                <xdr:rowOff>38100</xdr:rowOff>
              </to>
            </anchor>
          </controlPr>
        </control>
      </mc:Choice>
      <mc:Fallback>
        <control shapeId="1059" r:id="rId42" name="cbBinderSource"/>
      </mc:Fallback>
    </mc:AlternateContent>
    <mc:AlternateContent xmlns:mc="http://schemas.openxmlformats.org/markup-compatibility/2006">
      <mc:Choice Requires="x14">
        <control shapeId="1057" r:id="rId44" name="ResetRandomNumbers">
          <controlPr locked="0" defaultSize="0" autoFill="0" autoLine="0" autoPict="0" r:id="rId45">
            <anchor moveWithCells="1">
              <from>
                <xdr:col>1</xdr:col>
                <xdr:colOff>0</xdr:colOff>
                <xdr:row>53</xdr:row>
                <xdr:rowOff>0</xdr:rowOff>
              </from>
              <to>
                <xdr:col>2</xdr:col>
                <xdr:colOff>0</xdr:colOff>
                <xdr:row>54</xdr:row>
                <xdr:rowOff>0</xdr:rowOff>
              </to>
            </anchor>
          </controlPr>
        </control>
      </mc:Choice>
      <mc:Fallback>
        <control shapeId="1057" r:id="rId44" name="ResetRandomNumbers"/>
      </mc:Fallback>
    </mc:AlternateContent>
    <mc:AlternateContent xmlns:mc="http://schemas.openxmlformats.org/markup-compatibility/2006">
      <mc:Choice Requires="x14">
        <control shapeId="1050" r:id="rId46" name="cbRefMix4">
          <controlPr locked="0" defaultSize="0" disabled="1" autoLine="0" autoPict="0" linkedCell="'Chart Data'!L20" r:id="rId47">
            <anchor moveWithCells="1">
              <from>
                <xdr:col>14</xdr:col>
                <xdr:colOff>257175</xdr:colOff>
                <xdr:row>18</xdr:row>
                <xdr:rowOff>95250</xdr:rowOff>
              </from>
              <to>
                <xdr:col>16</xdr:col>
                <xdr:colOff>228600</xdr:colOff>
                <xdr:row>20</xdr:row>
                <xdr:rowOff>114300</xdr:rowOff>
              </to>
            </anchor>
          </controlPr>
        </control>
      </mc:Choice>
      <mc:Fallback>
        <control shapeId="1050" r:id="rId46" name="cbRefMix4"/>
      </mc:Fallback>
    </mc:AlternateContent>
    <mc:AlternateContent xmlns:mc="http://schemas.openxmlformats.org/markup-compatibility/2006">
      <mc:Choice Requires="x14">
        <control shapeId="1049" r:id="rId48" name="cbRefMix3">
          <controlPr locked="0" defaultSize="0" disabled="1" autoLine="0" autoPict="0" linkedCell="'Chart Data'!L19" r:id="rId49">
            <anchor moveWithCells="1">
              <from>
                <xdr:col>12</xdr:col>
                <xdr:colOff>171450</xdr:colOff>
                <xdr:row>18</xdr:row>
                <xdr:rowOff>95250</xdr:rowOff>
              </from>
              <to>
                <xdr:col>14</xdr:col>
                <xdr:colOff>85725</xdr:colOff>
                <xdr:row>20</xdr:row>
                <xdr:rowOff>0</xdr:rowOff>
              </to>
            </anchor>
          </controlPr>
        </control>
      </mc:Choice>
      <mc:Fallback>
        <control shapeId="1049" r:id="rId48" name="cbRefMix3"/>
      </mc:Fallback>
    </mc:AlternateContent>
    <mc:AlternateContent xmlns:mc="http://schemas.openxmlformats.org/markup-compatibility/2006">
      <mc:Choice Requires="x14">
        <control shapeId="1048" r:id="rId50" name="cbRefMix2">
          <controlPr locked="0" defaultSize="0" disabled="1" autoLine="0" linkedCell="'Chart Data'!L18" r:id="rId51">
            <anchor moveWithCells="1">
              <from>
                <xdr:col>14</xdr:col>
                <xdr:colOff>257175</xdr:colOff>
                <xdr:row>17</xdr:row>
                <xdr:rowOff>47625</xdr:rowOff>
              </from>
              <to>
                <xdr:col>16</xdr:col>
                <xdr:colOff>238125</xdr:colOff>
                <xdr:row>18</xdr:row>
                <xdr:rowOff>123825</xdr:rowOff>
              </to>
            </anchor>
          </controlPr>
        </control>
      </mc:Choice>
      <mc:Fallback>
        <control shapeId="1048" r:id="rId50" name="cbRefMix2"/>
      </mc:Fallback>
    </mc:AlternateContent>
    <mc:AlternateContent xmlns:mc="http://schemas.openxmlformats.org/markup-compatibility/2006">
      <mc:Choice Requires="x14">
        <control shapeId="1047" r:id="rId52" name="cbRefMix1">
          <controlPr locked="0" defaultSize="0" disabled="1" autoLine="0" autoPict="0" linkedCell="'Chart Data'!L17" r:id="rId53">
            <anchor moveWithCells="1">
              <from>
                <xdr:col>12</xdr:col>
                <xdr:colOff>171450</xdr:colOff>
                <xdr:row>17</xdr:row>
                <xdr:rowOff>47625</xdr:rowOff>
              </from>
              <to>
                <xdr:col>14</xdr:col>
                <xdr:colOff>85725</xdr:colOff>
                <xdr:row>18</xdr:row>
                <xdr:rowOff>123825</xdr:rowOff>
              </to>
            </anchor>
          </controlPr>
        </control>
      </mc:Choice>
      <mc:Fallback>
        <control shapeId="1047" r:id="rId52" name="cbRefMix1"/>
      </mc:Fallback>
    </mc:AlternateContent>
    <mc:AlternateContent xmlns:mc="http://schemas.openxmlformats.org/markup-compatibility/2006">
      <mc:Choice Requires="x14">
        <control shapeId="1046" r:id="rId54" name="cbSubmittalType">
          <controlPr defaultSize="0" print="0" autoLine="0" autoPict="0" linkedCell="'Chart Data'!J7" listFillRange="'Chart Data'!J8:J12" r:id="rId55">
            <anchor moveWithCells="1">
              <from>
                <xdr:col>16</xdr:col>
                <xdr:colOff>238125</xdr:colOff>
                <xdr:row>8</xdr:row>
                <xdr:rowOff>123825</xdr:rowOff>
              </from>
              <to>
                <xdr:col>21</xdr:col>
                <xdr:colOff>0</xdr:colOff>
                <xdr:row>10</xdr:row>
                <xdr:rowOff>38100</xdr:rowOff>
              </to>
            </anchor>
          </controlPr>
        </control>
      </mc:Choice>
      <mc:Fallback>
        <control shapeId="1046" r:id="rId54" name="cbSubmittalType"/>
      </mc:Fallback>
    </mc:AlternateContent>
    <mc:AlternateContent xmlns:mc="http://schemas.openxmlformats.org/markup-compatibility/2006">
      <mc:Choice Requires="x14">
        <control shapeId="1039" r:id="rId56" name="cmdGenerate">
          <controlPr defaultSize="0" autoLine="0" autoPict="0" r:id="rId57">
            <anchor moveWithCells="1">
              <from>
                <xdr:col>7</xdr:col>
                <xdr:colOff>38100</xdr:colOff>
                <xdr:row>52</xdr:row>
                <xdr:rowOff>228600</xdr:rowOff>
              </from>
              <to>
                <xdr:col>9</xdr:col>
                <xdr:colOff>419100</xdr:colOff>
                <xdr:row>54</xdr:row>
                <xdr:rowOff>0</xdr:rowOff>
              </to>
            </anchor>
          </controlPr>
        </control>
      </mc:Choice>
      <mc:Fallback>
        <control shapeId="1039" r:id="rId56" name="cmdGenerate"/>
      </mc:Fallback>
    </mc:AlternateContent>
    <mc:AlternateContent xmlns:mc="http://schemas.openxmlformats.org/markup-compatibility/2006">
      <mc:Choice Requires="x14">
        <control shapeId="1038" r:id="rId58" name="cbTypeOfMix">
          <controlPr print="0" autoLine="0" autoPict="0" linkedCell="'Chart Data'!W14" listFillRange="'Chart Data'!A50:A264" r:id="rId59">
            <anchor moveWithCells="1">
              <from>
                <xdr:col>14</xdr:col>
                <xdr:colOff>0</xdr:colOff>
                <xdr:row>7</xdr:row>
                <xdr:rowOff>0</xdr:rowOff>
              </from>
              <to>
                <xdr:col>21</xdr:col>
                <xdr:colOff>0</xdr:colOff>
                <xdr:row>8</xdr:row>
                <xdr:rowOff>85725</xdr:rowOff>
              </to>
            </anchor>
          </controlPr>
        </control>
      </mc:Choice>
      <mc:Fallback>
        <control shapeId="1038" r:id="rId58" name="cbTypeOfMix"/>
      </mc:Fallback>
    </mc:AlternateContent>
    <mc:AlternateContent xmlns:mc="http://schemas.openxmlformats.org/markup-compatibility/2006">
      <mc:Choice Requires="x14">
        <control shapeId="1110" r:id="rId60" name="CheckBox9">
          <controlPr defaultSize="0" autoLine="0" autoPict="0" r:id="rId61">
            <anchor moveWithCells="1">
              <from>
                <xdr:col>12</xdr:col>
                <xdr:colOff>0</xdr:colOff>
                <xdr:row>8</xdr:row>
                <xdr:rowOff>171450</xdr:rowOff>
              </from>
              <to>
                <xdr:col>14</xdr:col>
                <xdr:colOff>0</xdr:colOff>
                <xdr:row>11</xdr:row>
                <xdr:rowOff>123825</xdr:rowOff>
              </to>
            </anchor>
          </controlPr>
        </control>
      </mc:Choice>
      <mc:Fallback>
        <control shapeId="1110" r:id="rId60" name="CheckBox9"/>
      </mc:Fallback>
    </mc:AlternateContent>
    <mc:AlternateContent xmlns:mc="http://schemas.openxmlformats.org/markup-compatibility/2006">
      <mc:Choice Requires="x14">
        <control shapeId="1054" r:id="rId62" name="Group Box 30">
          <controlPr defaultSize="0" autoFill="0" autoPict="0">
            <anchor moveWithCells="1">
              <from>
                <xdr:col>12</xdr:col>
                <xdr:colOff>85725</xdr:colOff>
                <xdr:row>16</xdr:row>
                <xdr:rowOff>114300</xdr:rowOff>
              </from>
              <to>
                <xdr:col>16</xdr:col>
                <xdr:colOff>209550</xdr:colOff>
                <xdr:row>20</xdr:row>
                <xdr:rowOff>104775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E180"/>
  <sheetViews>
    <sheetView showGridLines="0" zoomScaleNormal="100" workbookViewId="0">
      <extLst>
        <ext xmlns:xlsdti="http://schemas.microsoft.com/office/spreadsheetml/2023/showDataTypeIcons" uri="{77bfe23e-c014-4d31-8a63-9c772dbf06b6}">
          <xlsdti:showDataTypeIcons visible="0"/>
        </ext>
      </extLst>
    </sheetView>
  </sheetViews>
  <sheetFormatPr defaultColWidth="9.140625" defaultRowHeight="12.75" x14ac:dyDescent="0.2"/>
  <cols>
    <col min="1" max="1" width="8.140625" style="1156" customWidth="1"/>
    <col min="2" max="2" width="8.140625" style="1153" customWidth="1"/>
    <col min="3" max="3" width="8.140625" style="1156" customWidth="1"/>
    <col min="4" max="4" width="8.140625" style="1153" customWidth="1"/>
    <col min="5" max="5" width="8.140625" style="1156" customWidth="1"/>
    <col min="6" max="6" width="8.140625" style="1153" customWidth="1"/>
    <col min="7" max="7" width="8.140625" style="1156" customWidth="1"/>
    <col min="8" max="8" width="8.140625" style="1153" customWidth="1"/>
    <col min="9" max="9" width="8.140625" style="1156" customWidth="1"/>
    <col min="10" max="10" width="8.140625" style="1153" customWidth="1"/>
    <col min="11" max="21" width="8.140625" style="1" customWidth="1"/>
    <col min="22" max="22" width="9.140625" style="1"/>
    <col min="23" max="24" width="7.7109375" style="1" customWidth="1"/>
    <col min="25" max="25" width="5.28515625" style="1" customWidth="1"/>
    <col min="26" max="26" width="9.140625" style="1"/>
    <col min="27" max="27" width="16.5703125" style="1" customWidth="1"/>
    <col min="28" max="28" width="16" style="1" customWidth="1"/>
    <col min="29" max="29" width="19" style="1" customWidth="1"/>
    <col min="30" max="30" width="14.7109375" style="1" customWidth="1"/>
    <col min="31" max="31" width="14.85546875" style="1" customWidth="1"/>
    <col min="32" max="16384" width="9.140625" style="1"/>
  </cols>
  <sheetData>
    <row r="1" spans="1:31" ht="20.100000000000001" customHeight="1" thickBot="1" x14ac:dyDescent="0.25">
      <c r="A1" s="1172"/>
      <c r="B1" s="1172"/>
      <c r="C1" s="1172"/>
      <c r="D1" s="1172"/>
      <c r="E1" s="1172"/>
      <c r="F1" s="1172"/>
      <c r="G1" s="1172"/>
      <c r="H1" s="1172"/>
      <c r="I1" s="1172"/>
      <c r="J1" s="1172"/>
      <c r="S1" s="1174"/>
    </row>
    <row r="2" spans="1:31" ht="20.100000000000001" customHeight="1" thickTop="1" thickBot="1" x14ac:dyDescent="0.3">
      <c r="A2" s="1166" t="s">
        <v>2377</v>
      </c>
      <c r="B2" s="1167"/>
      <c r="C2" s="1168"/>
      <c r="D2" s="1169"/>
      <c r="E2" s="1170"/>
      <c r="F2" s="1167"/>
      <c r="G2" s="1167"/>
      <c r="H2" s="1167"/>
      <c r="I2" s="1168"/>
      <c r="J2" s="1171"/>
      <c r="L2" s="1604" t="s">
        <v>249</v>
      </c>
      <c r="M2" s="1605"/>
      <c r="N2" s="1605"/>
      <c r="O2" s="1605"/>
      <c r="P2" s="1605"/>
      <c r="Q2" s="1605"/>
      <c r="R2" s="1605"/>
      <c r="S2" s="1605"/>
      <c r="T2" s="1605"/>
      <c r="U2" s="1606"/>
    </row>
    <row r="3" spans="1:31" ht="20.100000000000001" customHeight="1" thickTop="1" thickBot="1" x14ac:dyDescent="0.25">
      <c r="A3" s="410" t="s">
        <v>177</v>
      </c>
      <c r="B3" s="1146"/>
      <c r="C3" s="412"/>
      <c r="D3" s="413"/>
      <c r="E3" s="1161"/>
      <c r="F3" s="1146"/>
      <c r="G3" s="1146"/>
      <c r="H3" s="1146"/>
      <c r="I3" s="415"/>
      <c r="J3" s="416"/>
      <c r="L3" s="1187" t="s">
        <v>250</v>
      </c>
      <c r="N3" s="1192" t="str">
        <f>IF('Design Data'!H10="","",'Design Data'!H10)</f>
        <v/>
      </c>
      <c r="O3" s="1193"/>
      <c r="P3" s="1187" t="s">
        <v>179</v>
      </c>
      <c r="Q3" s="1601" t="str">
        <f>IF('Design Data'!K10="","",'Design Data'!K10)</f>
        <v/>
      </c>
      <c r="R3" s="1602"/>
      <c r="S3" s="1602"/>
      <c r="T3" s="1602"/>
      <c r="U3" s="1603"/>
    </row>
    <row r="4" spans="1:31" ht="20.100000000000001" customHeight="1" thickTop="1" thickBot="1" x14ac:dyDescent="0.25">
      <c r="A4" s="417" t="s">
        <v>2378</v>
      </c>
      <c r="B4" s="418"/>
      <c r="C4" s="419"/>
      <c r="D4" s="420"/>
      <c r="E4" s="1147"/>
      <c r="F4" s="1148"/>
      <c r="G4" s="1148"/>
      <c r="H4" s="1149"/>
      <c r="I4" s="1162"/>
      <c r="J4" s="1150"/>
      <c r="L4" s="1188" t="s">
        <v>252</v>
      </c>
      <c r="M4" s="1189"/>
      <c r="N4" s="1607" t="str">
        <f>IF(N5="","",'Chart Data'!W14)</f>
        <v/>
      </c>
      <c r="O4" s="1608"/>
      <c r="P4" s="1608"/>
      <c r="Q4" s="1608"/>
      <c r="R4" s="1608"/>
      <c r="S4" s="1608"/>
      <c r="T4" s="1608"/>
      <c r="U4" s="1609"/>
    </row>
    <row r="5" spans="1:31" ht="20.100000000000001" customHeight="1" thickTop="1" thickBot="1" x14ac:dyDescent="0.25">
      <c r="A5" s="1163"/>
      <c r="B5" s="1151"/>
      <c r="C5" s="1164"/>
      <c r="D5" s="429" t="s">
        <v>2379</v>
      </c>
      <c r="E5" s="1145"/>
      <c r="F5" s="430"/>
      <c r="G5" s="1165"/>
      <c r="H5" s="432"/>
      <c r="I5" s="1151"/>
      <c r="J5" s="1152"/>
      <c r="L5" s="1190" t="s">
        <v>2384</v>
      </c>
      <c r="M5" s="1191"/>
      <c r="N5" s="1610" t="str">
        <f>IF('Design Data'!C8="","",'Design Data'!C8)</f>
        <v/>
      </c>
      <c r="O5" s="1611"/>
      <c r="P5" s="1612"/>
      <c r="Q5" s="1613" t="s">
        <v>253</v>
      </c>
      <c r="R5" s="1615"/>
      <c r="S5" s="1613" t="str">
        <f>IF(N5="","",'Design Data'!C18)</f>
        <v/>
      </c>
      <c r="T5" s="1614"/>
      <c r="U5" s="1615"/>
    </row>
    <row r="6" spans="1:31" ht="20.100000000000001" customHeight="1" thickTop="1" thickBot="1" x14ac:dyDescent="0.25">
      <c r="A6" s="1157" t="s">
        <v>191</v>
      </c>
      <c r="B6" s="1158" t="s">
        <v>192</v>
      </c>
      <c r="C6" s="1157" t="s">
        <v>191</v>
      </c>
      <c r="D6" s="1158" t="s">
        <v>192</v>
      </c>
      <c r="E6" s="1157" t="s">
        <v>191</v>
      </c>
      <c r="F6" s="1158" t="s">
        <v>192</v>
      </c>
      <c r="G6" s="1157" t="s">
        <v>191</v>
      </c>
      <c r="H6" s="1158" t="s">
        <v>192</v>
      </c>
      <c r="I6" s="1157" t="s">
        <v>191</v>
      </c>
      <c r="J6" s="1158" t="s">
        <v>192</v>
      </c>
      <c r="L6" s="1187" t="s">
        <v>254</v>
      </c>
      <c r="M6" s="1199"/>
      <c r="N6" s="1200" t="s">
        <v>2385</v>
      </c>
      <c r="O6" s="1201"/>
      <c r="P6" s="1202"/>
      <c r="Q6" s="1203"/>
      <c r="R6" s="1204"/>
      <c r="S6" s="1204"/>
      <c r="T6" s="106"/>
      <c r="U6" s="107"/>
    </row>
    <row r="7" spans="1:31" ht="20.100000000000001" customHeight="1" thickTop="1" thickBot="1" x14ac:dyDescent="0.25">
      <c r="A7" s="1216"/>
      <c r="B7" s="1217"/>
      <c r="C7" s="1216"/>
      <c r="D7" s="1217"/>
      <c r="E7" s="1216"/>
      <c r="F7" s="1217"/>
      <c r="G7" s="1216"/>
      <c r="H7" s="1217"/>
      <c r="I7" s="1216"/>
      <c r="J7" s="1217"/>
      <c r="K7"/>
      <c r="L7" s="1194"/>
      <c r="M7" s="1195"/>
      <c r="N7" s="1196"/>
      <c r="O7" s="1197"/>
      <c r="P7" s="1149"/>
      <c r="Q7" s="1198"/>
      <c r="R7" s="1195"/>
      <c r="S7" s="1195"/>
      <c r="T7"/>
      <c r="U7"/>
      <c r="V7" s="11"/>
      <c r="W7"/>
      <c r="X7"/>
      <c r="Y7"/>
      <c r="Z7"/>
      <c r="AA7" s="977" t="s">
        <v>168</v>
      </c>
      <c r="AB7" s="977"/>
      <c r="AC7" s="977" t="s">
        <v>169</v>
      </c>
      <c r="AD7" s="978"/>
      <c r="AE7" s="65" t="s">
        <v>74</v>
      </c>
    </row>
    <row r="8" spans="1:31" ht="20.100000000000001" customHeight="1" thickTop="1" thickBot="1" x14ac:dyDescent="0.25">
      <c r="A8" s="1216"/>
      <c r="B8" s="1217"/>
      <c r="C8" s="1216"/>
      <c r="D8" s="1217"/>
      <c r="E8" s="1216"/>
      <c r="F8" s="1217"/>
      <c r="G8" s="1216"/>
      <c r="H8" s="1217"/>
      <c r="I8" s="1216"/>
      <c r="J8" s="1217"/>
      <c r="R8" s="6"/>
      <c r="S8" s="577"/>
      <c r="W8"/>
      <c r="X8"/>
      <c r="Y8"/>
      <c r="Z8"/>
      <c r="AA8" s="979" t="s">
        <v>175</v>
      </c>
      <c r="AB8" s="979" t="s">
        <v>176</v>
      </c>
      <c r="AC8" s="979" t="s">
        <v>175</v>
      </c>
      <c r="AD8" s="979" t="s">
        <v>176</v>
      </c>
      <c r="AE8" s="271"/>
    </row>
    <row r="9" spans="1:31" ht="20.100000000000001" customHeight="1" thickTop="1" thickBot="1" x14ac:dyDescent="0.25">
      <c r="A9" s="1216"/>
      <c r="B9" s="1217"/>
      <c r="C9" s="1216"/>
      <c r="D9" s="1217"/>
      <c r="E9" s="1216"/>
      <c r="F9" s="1217"/>
      <c r="G9" s="1216"/>
      <c r="H9" s="1217"/>
      <c r="I9" s="1216"/>
      <c r="J9" s="1217"/>
      <c r="R9" s="6"/>
      <c r="S9" s="6"/>
      <c r="W9"/>
      <c r="X9"/>
      <c r="Y9"/>
      <c r="Z9"/>
      <c r="AA9" s="980" t="s">
        <v>180</v>
      </c>
      <c r="AB9" s="980" t="s">
        <v>181</v>
      </c>
      <c r="AC9" s="980" t="s">
        <v>251</v>
      </c>
      <c r="AD9" s="980" t="s">
        <v>251</v>
      </c>
      <c r="AE9" s="272"/>
    </row>
    <row r="10" spans="1:31" ht="20.100000000000001" customHeight="1" thickTop="1" thickBot="1" x14ac:dyDescent="0.25">
      <c r="A10" s="1216"/>
      <c r="B10" s="1217"/>
      <c r="C10" s="1216"/>
      <c r="D10" s="1217"/>
      <c r="E10" s="1216"/>
      <c r="F10" s="1217"/>
      <c r="G10" s="1216"/>
      <c r="H10" s="1217"/>
      <c r="I10" s="1216"/>
      <c r="J10" s="1217"/>
      <c r="R10"/>
      <c r="W10"/>
      <c r="X10"/>
      <c r="Y10"/>
      <c r="Z10"/>
      <c r="AA10" s="980" t="s">
        <v>180</v>
      </c>
      <c r="AB10" s="980" t="s">
        <v>180</v>
      </c>
      <c r="AC10" s="979" t="s">
        <v>182</v>
      </c>
      <c r="AD10" s="979" t="s">
        <v>182</v>
      </c>
      <c r="AE10" s="271"/>
    </row>
    <row r="11" spans="1:31" ht="20.100000000000001" customHeight="1" thickTop="1" thickBot="1" x14ac:dyDescent="0.25">
      <c r="A11" s="1216"/>
      <c r="B11" s="1217"/>
      <c r="C11" s="1216"/>
      <c r="D11" s="1217"/>
      <c r="E11" s="1216"/>
      <c r="F11" s="1217"/>
      <c r="G11" s="1216"/>
      <c r="H11" s="1217"/>
      <c r="I11" s="1216"/>
      <c r="J11" s="1217"/>
      <c r="R11"/>
      <c r="W11"/>
      <c r="X11"/>
      <c r="Y11"/>
      <c r="Z11"/>
      <c r="AA11" s="980" t="s">
        <v>188</v>
      </c>
      <c r="AB11" s="980" t="s">
        <v>189</v>
      </c>
      <c r="AC11" s="979" t="s">
        <v>190</v>
      </c>
      <c r="AD11" s="979" t="s">
        <v>182</v>
      </c>
      <c r="AE11" s="271"/>
    </row>
    <row r="12" spans="1:31" ht="20.100000000000001" customHeight="1" thickTop="1" thickBot="1" x14ac:dyDescent="0.25">
      <c r="A12" s="1216"/>
      <c r="B12" s="1217"/>
      <c r="C12" s="1216"/>
      <c r="D12" s="1217"/>
      <c r="E12" s="1216"/>
      <c r="F12" s="1217"/>
      <c r="G12" s="1216"/>
      <c r="H12" s="1217"/>
      <c r="I12" s="1216"/>
      <c r="J12" s="1217"/>
      <c r="K12" s="1159"/>
      <c r="R12" s="1159"/>
      <c r="S12" s="1159"/>
      <c r="T12" s="1159"/>
      <c r="U12" s="1159"/>
      <c r="V12" s="1159"/>
      <c r="W12" s="1159"/>
      <c r="X12" s="1159"/>
      <c r="Y12"/>
      <c r="Z12"/>
      <c r="AA12" s="980" t="s">
        <v>195</v>
      </c>
      <c r="AB12" s="980" t="s">
        <v>195</v>
      </c>
      <c r="AC12" s="979" t="s">
        <v>190</v>
      </c>
      <c r="AD12" s="979" t="s">
        <v>190</v>
      </c>
      <c r="AE12" s="271"/>
    </row>
    <row r="13" spans="1:31" ht="20.100000000000001" customHeight="1" thickTop="1" thickBot="1" x14ac:dyDescent="0.25">
      <c r="A13" s="1154"/>
      <c r="B13" s="1155"/>
      <c r="C13" s="1154"/>
      <c r="D13" s="1155"/>
      <c r="E13" s="1154"/>
      <c r="F13" s="1155"/>
      <c r="G13" s="1154"/>
      <c r="H13" s="1155"/>
      <c r="I13" s="1154"/>
      <c r="J13" s="1160"/>
      <c r="K13" s="1207"/>
      <c r="R13" s="1208"/>
      <c r="S13" s="1207"/>
      <c r="T13" s="1208"/>
      <c r="U13" s="1207"/>
      <c r="V13" s="1208"/>
      <c r="W13" s="1207"/>
      <c r="X13" s="1208"/>
      <c r="Y13"/>
      <c r="Z13"/>
      <c r="AA13"/>
      <c r="AB13"/>
      <c r="AC13"/>
      <c r="AD13"/>
      <c r="AE13" s="271"/>
    </row>
    <row r="14" spans="1:31" ht="20.100000000000001" customHeight="1" thickTop="1" thickBot="1" x14ac:dyDescent="0.25">
      <c r="A14" s="1154"/>
      <c r="B14" s="1155"/>
      <c r="C14" s="1154"/>
      <c r="D14" s="1155"/>
      <c r="E14" s="1154"/>
      <c r="F14" s="1155"/>
      <c r="G14" s="1154"/>
      <c r="H14" s="1155"/>
      <c r="I14" s="1154"/>
      <c r="J14" s="1160"/>
      <c r="K14" s="1207"/>
      <c r="L14" s="1208"/>
      <c r="M14" s="1207"/>
      <c r="N14" s="1208"/>
      <c r="O14" s="1207"/>
      <c r="P14" s="1208"/>
      <c r="Q14" s="1207"/>
      <c r="R14" s="1208"/>
      <c r="S14" s="1207"/>
      <c r="T14" s="1208"/>
      <c r="U14" s="1207"/>
      <c r="V14" s="1208"/>
      <c r="W14" s="1207"/>
      <c r="X14" s="1208"/>
      <c r="Y14"/>
      <c r="Z14"/>
      <c r="AA14" s="273"/>
      <c r="AB14" s="273"/>
      <c r="AC14" s="273"/>
      <c r="AD14" s="273"/>
      <c r="AE14" s="271"/>
    </row>
    <row r="15" spans="1:31" ht="20.100000000000001" customHeight="1" thickTop="1" thickBot="1" x14ac:dyDescent="0.25">
      <c r="A15" s="1154"/>
      <c r="B15" s="1155"/>
      <c r="C15" s="1154"/>
      <c r="D15" s="1155"/>
      <c r="E15" s="1154"/>
      <c r="F15" s="1155"/>
      <c r="G15" s="1154"/>
      <c r="H15" s="1155"/>
      <c r="I15" s="1154"/>
      <c r="J15" s="1160"/>
      <c r="K15" s="1207"/>
      <c r="L15" s="1208"/>
      <c r="M15" s="1207"/>
      <c r="N15" s="1208"/>
      <c r="O15" s="1207"/>
      <c r="P15" s="1208"/>
      <c r="Q15" s="1207"/>
      <c r="R15" s="1208"/>
      <c r="S15" s="1207"/>
      <c r="T15" s="1208"/>
      <c r="U15" s="1207"/>
      <c r="V15" s="1208"/>
      <c r="W15" s="1207"/>
      <c r="X15" s="1208"/>
      <c r="AA15"/>
      <c r="AB15"/>
      <c r="AC15"/>
      <c r="AD15"/>
      <c r="AE15" s="271"/>
    </row>
    <row r="16" spans="1:31" ht="20.100000000000001" customHeight="1" thickTop="1" thickBot="1" x14ac:dyDescent="0.25">
      <c r="A16" s="1154"/>
      <c r="B16" s="1155"/>
      <c r="C16" s="1154"/>
      <c r="D16" s="1155"/>
      <c r="E16" s="1154"/>
      <c r="F16" s="1155"/>
      <c r="G16" s="1154"/>
      <c r="H16" s="1155"/>
      <c r="I16" s="1154"/>
      <c r="J16" s="1160"/>
      <c r="K16" s="1207"/>
      <c r="L16" s="1208"/>
      <c r="M16" s="1207"/>
      <c r="N16" s="1208"/>
      <c r="O16" s="1207"/>
      <c r="P16" s="1208"/>
      <c r="Q16" s="1207"/>
      <c r="R16" s="1208"/>
      <c r="S16" s="1207"/>
      <c r="T16" s="1208"/>
      <c r="U16" s="1207"/>
      <c r="V16" s="1208"/>
      <c r="W16" s="1207"/>
      <c r="X16" s="1208"/>
    </row>
    <row r="17" spans="1:31" ht="20.100000000000001" customHeight="1" thickTop="1" thickBot="1" x14ac:dyDescent="0.25">
      <c r="A17" s="1154"/>
      <c r="B17" s="1155"/>
      <c r="C17" s="1154"/>
      <c r="D17" s="1155"/>
      <c r="E17" s="1154"/>
      <c r="F17" s="1155"/>
      <c r="G17" s="1154"/>
      <c r="H17" s="1155"/>
      <c r="I17" s="1154"/>
      <c r="J17" s="1160"/>
      <c r="K17" s="1207"/>
      <c r="L17" s="1208"/>
      <c r="M17" s="1207"/>
      <c r="N17" s="1208"/>
      <c r="O17" s="1207"/>
      <c r="P17" s="1208"/>
      <c r="Q17" s="1207"/>
      <c r="R17" s="1208"/>
      <c r="S17" s="1207"/>
      <c r="T17" s="1208"/>
      <c r="U17" s="1207"/>
      <c r="V17" s="1208"/>
      <c r="W17" s="1207"/>
      <c r="X17" s="1208"/>
      <c r="Y17"/>
      <c r="AA17"/>
      <c r="AB17"/>
      <c r="AC17"/>
      <c r="AD17"/>
      <c r="AE17" s="273"/>
    </row>
    <row r="18" spans="1:31" ht="20.100000000000001" customHeight="1" thickTop="1" thickBot="1" x14ac:dyDescent="0.25">
      <c r="A18" s="1154"/>
      <c r="B18" s="1155"/>
      <c r="C18" s="1154"/>
      <c r="D18" s="1155"/>
      <c r="E18" s="1215"/>
      <c r="F18" s="1155"/>
      <c r="G18" s="1154"/>
      <c r="H18" s="1155"/>
      <c r="I18" s="1154"/>
      <c r="J18" s="1160"/>
      <c r="K18" s="1207"/>
      <c r="L18" s="1208"/>
      <c r="M18" s="1207"/>
      <c r="N18" s="1208"/>
      <c r="O18" s="1207"/>
      <c r="P18" s="1208"/>
      <c r="Q18" s="1207"/>
      <c r="R18" s="1208"/>
      <c r="S18" s="1207"/>
      <c r="T18" s="1208"/>
      <c r="U18" s="1207"/>
      <c r="V18" s="1208"/>
      <c r="W18" s="1207"/>
      <c r="X18" s="1208"/>
      <c r="Y18"/>
    </row>
    <row r="19" spans="1:31" ht="20.100000000000001" customHeight="1" thickTop="1" thickBot="1" x14ac:dyDescent="0.25">
      <c r="A19" s="1154"/>
      <c r="B19" s="1155"/>
      <c r="C19" s="1154"/>
      <c r="D19" s="1155"/>
      <c r="E19" s="1154"/>
      <c r="F19" s="1155"/>
      <c r="G19" s="1154"/>
      <c r="H19" s="1155"/>
      <c r="I19" s="1154"/>
      <c r="J19" s="1160"/>
      <c r="K19" s="1207"/>
      <c r="L19" s="1208"/>
      <c r="M19" s="1207"/>
      <c r="N19" s="1208"/>
      <c r="O19" s="1207"/>
      <c r="P19" s="1208"/>
      <c r="Q19" s="1207"/>
      <c r="R19" s="1208"/>
      <c r="S19" s="1207"/>
      <c r="T19" s="1208"/>
      <c r="U19" s="1207"/>
      <c r="V19" s="1208"/>
      <c r="W19" s="1207"/>
      <c r="X19" s="1208"/>
      <c r="Y19"/>
    </row>
    <row r="20" spans="1:31" ht="20.100000000000001" customHeight="1" thickTop="1" thickBot="1" x14ac:dyDescent="0.25">
      <c r="A20" s="1154"/>
      <c r="B20" s="1155"/>
      <c r="C20" s="1154"/>
      <c r="D20" s="1155"/>
      <c r="E20" s="1154"/>
      <c r="F20" s="1155"/>
      <c r="G20" s="1154"/>
      <c r="H20" s="1155"/>
      <c r="I20" s="1154"/>
      <c r="J20" s="1160"/>
      <c r="K20" s="1207"/>
      <c r="L20" s="1208"/>
      <c r="M20" s="1207"/>
      <c r="N20" s="1208"/>
      <c r="O20" s="1207"/>
      <c r="P20" s="1208"/>
      <c r="Q20" s="1207"/>
      <c r="R20" s="1208"/>
      <c r="S20" s="1207"/>
      <c r="T20" s="1208"/>
      <c r="U20" s="1207"/>
      <c r="V20" s="1208"/>
      <c r="W20" s="1207"/>
      <c r="X20" s="1208"/>
      <c r="Y20"/>
    </row>
    <row r="21" spans="1:31" ht="20.100000000000001" customHeight="1" thickTop="1" thickBot="1" x14ac:dyDescent="0.25">
      <c r="A21" s="1154"/>
      <c r="B21" s="1155"/>
      <c r="C21" s="1154"/>
      <c r="D21" s="1155"/>
      <c r="E21" s="1154"/>
      <c r="F21" s="1155"/>
      <c r="G21" s="1154"/>
      <c r="H21" s="1155"/>
      <c r="I21" s="1154"/>
      <c r="J21" s="1160"/>
      <c r="K21" s="1207"/>
      <c r="L21" s="1208"/>
      <c r="M21" s="1207"/>
      <c r="N21" s="1208"/>
      <c r="O21" s="1207"/>
      <c r="P21" s="1208"/>
      <c r="Q21" s="1207"/>
      <c r="R21" s="1208"/>
      <c r="S21" s="1207"/>
      <c r="T21" s="1208"/>
      <c r="U21" s="1207"/>
      <c r="V21" s="1208"/>
      <c r="W21" s="1207"/>
      <c r="X21" s="1208"/>
      <c r="Y21"/>
    </row>
    <row r="22" spans="1:31" ht="20.100000000000001" customHeight="1" thickTop="1" thickBot="1" x14ac:dyDescent="0.25">
      <c r="A22" s="1154"/>
      <c r="B22" s="1155"/>
      <c r="C22" s="1154"/>
      <c r="D22" s="1155"/>
      <c r="E22" s="1154"/>
      <c r="F22" s="1155"/>
      <c r="G22" s="1154"/>
      <c r="H22" s="1155"/>
      <c r="I22" s="1154"/>
      <c r="J22" s="1160"/>
      <c r="K22" s="1207"/>
      <c r="L22" s="1208"/>
      <c r="M22" s="1207"/>
      <c r="N22" s="1208"/>
      <c r="O22" s="1207"/>
      <c r="P22" s="1208"/>
      <c r="Q22" s="1207"/>
      <c r="R22" s="1208"/>
      <c r="S22" s="1207"/>
      <c r="T22" s="1208"/>
      <c r="U22" s="1207"/>
      <c r="V22" s="1208"/>
      <c r="W22" s="1207"/>
      <c r="X22" s="1208"/>
      <c r="Y22"/>
    </row>
    <row r="23" spans="1:31" ht="20.100000000000001" customHeight="1" thickTop="1" thickBot="1" x14ac:dyDescent="0.25">
      <c r="A23" s="1154"/>
      <c r="B23" s="1155"/>
      <c r="C23" s="1154"/>
      <c r="D23" s="1155"/>
      <c r="E23" s="1154"/>
      <c r="F23" s="1155"/>
      <c r="G23" s="1154"/>
      <c r="H23" s="1155"/>
      <c r="I23" s="1154"/>
      <c r="J23" s="1160"/>
      <c r="K23" s="1207"/>
      <c r="L23" s="1208"/>
      <c r="M23" s="1207"/>
      <c r="N23" s="1208"/>
      <c r="O23" s="1207"/>
      <c r="P23" s="1208"/>
      <c r="Q23" s="1207"/>
      <c r="R23" s="1208"/>
      <c r="S23" s="1207"/>
      <c r="T23" s="1208"/>
      <c r="U23" s="1207"/>
      <c r="V23" s="1208"/>
      <c r="W23" s="1207"/>
      <c r="X23" s="1208"/>
      <c r="Y23"/>
    </row>
    <row r="24" spans="1:31" ht="20.100000000000001" customHeight="1" thickTop="1" thickBot="1" x14ac:dyDescent="0.25">
      <c r="A24" s="1154"/>
      <c r="B24" s="1155"/>
      <c r="C24" s="1154"/>
      <c r="D24" s="1155"/>
      <c r="E24" s="1154"/>
      <c r="F24" s="1155"/>
      <c r="G24" s="1154"/>
      <c r="H24" s="1155"/>
      <c r="I24" s="1154"/>
      <c r="J24" s="1160"/>
      <c r="K24" s="1207"/>
      <c r="L24" s="1208"/>
      <c r="M24" s="1207"/>
      <c r="N24" s="1208"/>
      <c r="O24" s="1207"/>
      <c r="P24" s="1208"/>
      <c r="Q24" s="1207"/>
      <c r="R24" s="1208"/>
      <c r="S24" s="1207"/>
      <c r="T24" s="1208"/>
      <c r="U24" s="1207"/>
      <c r="V24" s="1208"/>
      <c r="W24" s="1207"/>
      <c r="X24" s="1208"/>
      <c r="Y24"/>
    </row>
    <row r="25" spans="1:31" ht="20.100000000000001" customHeight="1" thickTop="1" thickBot="1" x14ac:dyDescent="0.25">
      <c r="A25" s="1154"/>
      <c r="B25" s="1155"/>
      <c r="C25" s="1154"/>
      <c r="D25" s="1155"/>
      <c r="E25" s="1154"/>
      <c r="F25" s="1155"/>
      <c r="G25" s="1154"/>
      <c r="H25" s="1155"/>
      <c r="I25" s="1154"/>
      <c r="J25" s="1160"/>
      <c r="K25" s="1207"/>
      <c r="L25" s="1208"/>
      <c r="M25" s="1207"/>
      <c r="N25" s="1208"/>
      <c r="O25" s="1207"/>
      <c r="P25" s="1208"/>
      <c r="Q25" s="1207"/>
      <c r="R25" s="1208"/>
      <c r="S25" s="1207"/>
      <c r="T25" s="1208"/>
      <c r="U25" s="1207"/>
      <c r="V25" s="1208"/>
      <c r="W25" s="1207"/>
      <c r="X25" s="1208"/>
      <c r="Y25"/>
    </row>
    <row r="26" spans="1:31" ht="20.100000000000001" customHeight="1" thickTop="1" thickBot="1" x14ac:dyDescent="0.25">
      <c r="A26" s="1154"/>
      <c r="B26" s="1155"/>
      <c r="C26" s="1154"/>
      <c r="D26" s="1155"/>
      <c r="E26" s="1154"/>
      <c r="F26" s="1155"/>
      <c r="G26" s="1154"/>
      <c r="H26" s="1155"/>
      <c r="I26" s="1154"/>
      <c r="J26" s="1160"/>
      <c r="K26" s="1207"/>
      <c r="L26" s="1208"/>
      <c r="M26" s="1207"/>
      <c r="N26" s="1208"/>
      <c r="O26" s="1207"/>
      <c r="P26" s="1208"/>
      <c r="Q26" s="1207"/>
      <c r="R26" s="1208"/>
      <c r="S26" s="1207"/>
      <c r="T26" s="1208"/>
      <c r="U26" s="1207"/>
      <c r="V26" s="1208"/>
      <c r="W26" s="1207"/>
      <c r="X26" s="1208"/>
      <c r="Y26"/>
    </row>
    <row r="27" spans="1:31" ht="20.100000000000001" customHeight="1" thickTop="1" thickBot="1" x14ac:dyDescent="0.25">
      <c r="A27" s="1154"/>
      <c r="B27" s="1155"/>
      <c r="C27" s="1154"/>
      <c r="D27" s="1155"/>
      <c r="E27" s="1154"/>
      <c r="F27" s="1155"/>
      <c r="G27" s="1154"/>
      <c r="H27" s="1155"/>
      <c r="I27" s="1154"/>
      <c r="J27" s="1160"/>
      <c r="K27" s="1207"/>
      <c r="L27" s="1208"/>
      <c r="M27" s="1207"/>
      <c r="N27" s="1208"/>
      <c r="O27" s="1207"/>
      <c r="P27" s="1208"/>
      <c r="Q27" s="1207"/>
      <c r="R27" s="1208"/>
      <c r="S27" s="1207"/>
      <c r="T27" s="1208"/>
      <c r="U27" s="1207"/>
      <c r="V27" s="1208"/>
      <c r="W27" s="1207"/>
      <c r="X27" s="1208"/>
      <c r="Y27"/>
    </row>
    <row r="28" spans="1:31" ht="20.100000000000001" customHeight="1" thickTop="1" thickBot="1" x14ac:dyDescent="0.25">
      <c r="A28" s="1154"/>
      <c r="B28" s="1155"/>
      <c r="C28" s="1154"/>
      <c r="D28" s="1155"/>
      <c r="E28" s="1154"/>
      <c r="F28" s="1155"/>
      <c r="G28" s="1154"/>
      <c r="H28" s="1155"/>
      <c r="I28" s="1154"/>
      <c r="J28" s="1160"/>
      <c r="K28" s="1207"/>
      <c r="L28" s="1208"/>
      <c r="M28" s="1207"/>
      <c r="N28" s="1208"/>
      <c r="O28" s="1207"/>
      <c r="P28" s="1208"/>
      <c r="Q28" s="1207"/>
      <c r="R28" s="1208"/>
      <c r="S28" s="1207"/>
      <c r="T28" s="1208"/>
      <c r="U28" s="1207"/>
      <c r="V28" s="1208"/>
      <c r="W28" s="1207"/>
      <c r="X28" s="1208"/>
      <c r="Y28"/>
    </row>
    <row r="29" spans="1:31" ht="20.100000000000001" customHeight="1" thickTop="1" thickBot="1" x14ac:dyDescent="0.25">
      <c r="A29" s="1154"/>
      <c r="B29" s="1155"/>
      <c r="C29" s="1154"/>
      <c r="D29" s="1155"/>
      <c r="E29" s="1154"/>
      <c r="F29" s="1155"/>
      <c r="G29" s="1154"/>
      <c r="H29" s="1155"/>
      <c r="I29" s="1154"/>
      <c r="J29" s="1160"/>
      <c r="K29" s="1207"/>
      <c r="L29" s="1208"/>
      <c r="M29" s="1207"/>
      <c r="N29" s="1208"/>
      <c r="O29" s="1207"/>
      <c r="P29" s="1208"/>
      <c r="Q29" s="1207"/>
      <c r="R29" s="1208"/>
      <c r="S29" s="1207"/>
      <c r="T29" s="1208"/>
      <c r="U29" s="1207"/>
      <c r="V29" s="1208"/>
      <c r="W29" s="1207"/>
      <c r="X29" s="1208"/>
      <c r="Y29"/>
    </row>
    <row r="30" spans="1:31" ht="20.100000000000001" customHeight="1" thickTop="1" thickBot="1" x14ac:dyDescent="0.25">
      <c r="A30" s="1154"/>
      <c r="B30" s="1155"/>
      <c r="C30" s="1154"/>
      <c r="D30" s="1155"/>
      <c r="E30" s="1154"/>
      <c r="F30" s="1155"/>
      <c r="G30" s="1154"/>
      <c r="H30" s="1155"/>
      <c r="I30" s="1154"/>
      <c r="J30" s="1160"/>
      <c r="K30" s="1207"/>
      <c r="L30" s="1208"/>
      <c r="M30" s="1207"/>
      <c r="N30" s="1208"/>
      <c r="O30" s="1207"/>
      <c r="P30" s="1208"/>
      <c r="Q30" s="1207"/>
      <c r="R30" s="1208"/>
      <c r="S30" s="1207"/>
      <c r="T30" s="1208"/>
      <c r="U30" s="1207"/>
      <c r="V30" s="1208"/>
      <c r="W30" s="1207"/>
      <c r="X30" s="1208"/>
      <c r="Y30"/>
    </row>
    <row r="31" spans="1:31" ht="20.100000000000001" customHeight="1" thickTop="1" thickBot="1" x14ac:dyDescent="0.25">
      <c r="A31" s="1154"/>
      <c r="B31" s="1155"/>
      <c r="C31" s="1154"/>
      <c r="D31" s="1155"/>
      <c r="E31" s="1154"/>
      <c r="F31" s="1155"/>
      <c r="G31" s="1154"/>
      <c r="H31" s="1155"/>
      <c r="I31" s="1154"/>
      <c r="J31" s="1160"/>
      <c r="K31" s="1207"/>
      <c r="L31" s="1208"/>
      <c r="M31" s="1207"/>
      <c r="N31" s="1208"/>
      <c r="O31" s="1207"/>
      <c r="P31" s="1208"/>
      <c r="Q31" s="1207"/>
      <c r="R31" s="1208"/>
      <c r="S31" s="1207"/>
      <c r="T31" s="1208"/>
      <c r="U31" s="1207"/>
      <c r="V31" s="1208"/>
      <c r="W31" s="1207"/>
      <c r="X31" s="1208"/>
      <c r="Y31"/>
    </row>
    <row r="32" spans="1:31" ht="20.100000000000001" customHeight="1" thickTop="1" thickBot="1" x14ac:dyDescent="0.25">
      <c r="A32" s="1154"/>
      <c r="B32" s="1155"/>
      <c r="C32" s="1154"/>
      <c r="D32" s="1155"/>
      <c r="E32" s="1154"/>
      <c r="F32" s="1155"/>
      <c r="G32" s="1154"/>
      <c r="H32" s="1155"/>
      <c r="I32" s="1154"/>
      <c r="J32" s="1160"/>
      <c r="K32" s="1207"/>
      <c r="L32" s="1208"/>
      <c r="M32" s="1207"/>
      <c r="N32" s="1208"/>
      <c r="O32" s="1207"/>
      <c r="P32" s="1208"/>
      <c r="Q32" s="1207"/>
      <c r="R32" s="1208"/>
      <c r="S32" s="1207"/>
      <c r="T32" s="1208"/>
      <c r="U32" s="1207"/>
      <c r="V32" s="1208"/>
      <c r="W32" s="1207"/>
      <c r="X32" s="1208"/>
    </row>
    <row r="33" spans="1:28" ht="20.100000000000001" customHeight="1" thickTop="1" thickBot="1" x14ac:dyDescent="0.25">
      <c r="A33" s="1154"/>
      <c r="B33" s="1155"/>
      <c r="C33" s="1154"/>
      <c r="D33" s="1155"/>
      <c r="E33" s="1154"/>
      <c r="F33" s="1155"/>
      <c r="G33" s="1154"/>
      <c r="H33" s="1155"/>
      <c r="I33" s="1154"/>
      <c r="J33" s="1160"/>
      <c r="K33" s="1207"/>
      <c r="L33" s="1208"/>
      <c r="M33" s="1207"/>
      <c r="N33" s="1208"/>
      <c r="O33" s="1207"/>
      <c r="P33" s="1208"/>
      <c r="Q33" s="1207"/>
      <c r="R33" s="1208"/>
      <c r="S33" s="1207"/>
      <c r="T33" s="1208"/>
      <c r="U33" s="1207"/>
      <c r="V33" s="1208"/>
      <c r="W33" s="1207"/>
      <c r="X33" s="1208"/>
    </row>
    <row r="34" spans="1:28" ht="20.100000000000001" customHeight="1" thickTop="1" x14ac:dyDescent="0.2">
      <c r="A34" s="1205"/>
      <c r="B34" s="1206"/>
      <c r="C34" s="1205"/>
      <c r="D34" s="1206"/>
      <c r="E34" s="1205"/>
      <c r="F34" s="1206"/>
      <c r="G34" s="1205"/>
      <c r="H34" s="1206"/>
      <c r="I34" s="1205"/>
      <c r="J34" s="1206"/>
      <c r="K34" s="1207"/>
      <c r="L34" s="1208"/>
      <c r="M34" s="1207"/>
      <c r="N34" s="1208"/>
      <c r="O34" s="1207"/>
      <c r="P34" s="1208"/>
      <c r="Q34" s="1207"/>
      <c r="R34" s="1208"/>
      <c r="S34" s="1207"/>
      <c r="T34" s="1208"/>
      <c r="U34" s="1207"/>
      <c r="V34" s="1208"/>
      <c r="W34" s="1207"/>
      <c r="X34" s="1208"/>
    </row>
    <row r="35" spans="1:28" ht="20.100000000000001" customHeight="1" x14ac:dyDescent="0.2">
      <c r="A35" s="1209"/>
      <c r="B35" s="1210"/>
      <c r="C35" s="1209"/>
      <c r="D35" s="1210"/>
      <c r="E35" s="1209"/>
      <c r="F35" s="1210"/>
      <c r="G35" s="1209"/>
      <c r="H35" s="1210"/>
      <c r="I35" s="1209"/>
      <c r="J35" s="1210"/>
      <c r="K35" s="1207"/>
      <c r="L35" s="1208"/>
      <c r="M35" s="1207"/>
      <c r="N35" s="1208"/>
      <c r="O35" s="1207"/>
      <c r="P35" s="1208"/>
      <c r="Q35" s="1207"/>
      <c r="R35" s="1208"/>
      <c r="S35" s="1207"/>
      <c r="T35" s="1208"/>
      <c r="U35" s="1207"/>
      <c r="V35" s="1208"/>
      <c r="W35" s="1207"/>
      <c r="X35" s="1208"/>
    </row>
    <row r="36" spans="1:28" ht="20.100000000000001" customHeight="1" thickBot="1" x14ac:dyDescent="0.25">
      <c r="A36" s="1211"/>
      <c r="B36" s="1212"/>
      <c r="C36" s="1211"/>
      <c r="D36" s="1212"/>
      <c r="E36" s="1211"/>
      <c r="F36" s="1212"/>
      <c r="G36" s="1211"/>
      <c r="H36" s="1212"/>
      <c r="I36" s="1211"/>
      <c r="J36" s="1212"/>
      <c r="K36" s="1207"/>
      <c r="L36" s="1213"/>
      <c r="M36" s="1214"/>
      <c r="N36" s="1213"/>
      <c r="O36" s="1214"/>
      <c r="P36" s="1213"/>
      <c r="Q36" s="1214"/>
      <c r="R36" s="1213"/>
      <c r="S36" s="1214"/>
      <c r="T36" s="1213"/>
      <c r="U36" s="1214"/>
      <c r="V36" s="1208"/>
      <c r="W36" s="1207"/>
      <c r="X36" s="1208"/>
      <c r="AA36"/>
      <c r="AB36"/>
    </row>
    <row r="37" spans="1:28" ht="20.100000000000001" customHeight="1" thickTop="1" thickBot="1" x14ac:dyDescent="0.3">
      <c r="A37" s="1166" t="s">
        <v>2377</v>
      </c>
      <c r="B37" s="1167"/>
      <c r="C37" s="1168"/>
      <c r="D37" s="1169"/>
      <c r="E37" s="1170"/>
      <c r="F37" s="1167"/>
      <c r="G37" s="1167"/>
      <c r="H37" s="1167"/>
      <c r="I37" s="1168"/>
      <c r="J37" s="1171"/>
      <c r="K37" s="1207"/>
      <c r="L37" s="1166" t="s">
        <v>2377</v>
      </c>
      <c r="M37" s="1167"/>
      <c r="N37" s="1168"/>
      <c r="O37" s="1169"/>
      <c r="P37" s="1170"/>
      <c r="Q37" s="1167"/>
      <c r="R37" s="1167"/>
      <c r="S37" s="1167"/>
      <c r="T37" s="1168"/>
      <c r="U37" s="1171"/>
      <c r="V37" s="1208"/>
      <c r="W37" s="1207"/>
      <c r="X37" s="1208"/>
    </row>
    <row r="38" spans="1:28" ht="20.100000000000001" customHeight="1" thickTop="1" x14ac:dyDescent="0.2">
      <c r="A38" s="410" t="s">
        <v>177</v>
      </c>
      <c r="B38" s="1146"/>
      <c r="C38" s="412"/>
      <c r="D38" s="413"/>
      <c r="E38" s="1161"/>
      <c r="F38" s="1146"/>
      <c r="G38" s="1146"/>
      <c r="H38" s="1146"/>
      <c r="I38" s="415"/>
      <c r="J38" s="416"/>
      <c r="K38" s="1207"/>
      <c r="L38" s="410" t="s">
        <v>177</v>
      </c>
      <c r="M38" s="1146"/>
      <c r="N38" s="412"/>
      <c r="O38" s="413"/>
      <c r="P38" s="1161"/>
      <c r="Q38" s="1146"/>
      <c r="R38" s="1146"/>
      <c r="S38" s="1146"/>
      <c r="T38" s="415"/>
      <c r="U38" s="416"/>
      <c r="V38" s="1208"/>
      <c r="W38" s="1207"/>
      <c r="X38" s="1208"/>
    </row>
    <row r="39" spans="1:28" ht="20.100000000000001" customHeight="1" thickBot="1" x14ac:dyDescent="0.25">
      <c r="A39" s="417" t="s">
        <v>2378</v>
      </c>
      <c r="B39" s="418"/>
      <c r="C39" s="419"/>
      <c r="D39" s="420"/>
      <c r="E39" s="1147"/>
      <c r="F39" s="1148"/>
      <c r="G39" s="1148"/>
      <c r="H39" s="1149"/>
      <c r="I39" s="1162"/>
      <c r="J39" s="1150"/>
      <c r="K39" s="1207"/>
      <c r="L39" s="417" t="s">
        <v>2378</v>
      </c>
      <c r="M39" s="418"/>
      <c r="N39" s="419"/>
      <c r="O39" s="420"/>
      <c r="P39" s="1147"/>
      <c r="Q39" s="1148"/>
      <c r="R39" s="1148"/>
      <c r="S39" s="1149"/>
      <c r="T39" s="1162"/>
      <c r="U39" s="1150"/>
      <c r="V39" s="1208"/>
      <c r="W39" s="1207"/>
      <c r="X39" s="1208"/>
    </row>
    <row r="40" spans="1:28" ht="20.100000000000001" customHeight="1" thickTop="1" thickBot="1" x14ac:dyDescent="0.25">
      <c r="A40" s="1163"/>
      <c r="B40" s="1151"/>
      <c r="C40" s="1164"/>
      <c r="D40" s="429" t="s">
        <v>2379</v>
      </c>
      <c r="E40" s="1145"/>
      <c r="F40" s="430"/>
      <c r="G40" s="1165"/>
      <c r="H40" s="432"/>
      <c r="I40" s="1151"/>
      <c r="J40" s="1152"/>
      <c r="K40" s="1207"/>
      <c r="L40" s="1163"/>
      <c r="M40" s="1151"/>
      <c r="N40" s="1164"/>
      <c r="O40" s="429" t="s">
        <v>2379</v>
      </c>
      <c r="P40" s="1145"/>
      <c r="Q40" s="430"/>
      <c r="R40" s="1165"/>
      <c r="S40" s="432"/>
      <c r="T40" s="1151"/>
      <c r="U40" s="1152"/>
      <c r="V40" s="1208"/>
      <c r="W40" s="1207"/>
      <c r="X40" s="1208"/>
    </row>
    <row r="41" spans="1:28" ht="20.100000000000001" customHeight="1" thickTop="1" thickBot="1" x14ac:dyDescent="0.25">
      <c r="A41" s="1157" t="s">
        <v>191</v>
      </c>
      <c r="B41" s="1158" t="s">
        <v>192</v>
      </c>
      <c r="C41" s="1157" t="s">
        <v>191</v>
      </c>
      <c r="D41" s="1158" t="s">
        <v>192</v>
      </c>
      <c r="E41" s="1157" t="s">
        <v>191</v>
      </c>
      <c r="F41" s="1158" t="s">
        <v>192</v>
      </c>
      <c r="G41" s="1157" t="s">
        <v>191</v>
      </c>
      <c r="H41" s="1158" t="s">
        <v>192</v>
      </c>
      <c r="I41" s="1157" t="s">
        <v>191</v>
      </c>
      <c r="J41" s="1158" t="s">
        <v>192</v>
      </c>
      <c r="K41" s="1207"/>
      <c r="L41" s="1157" t="s">
        <v>191</v>
      </c>
      <c r="M41" s="1158" t="s">
        <v>192</v>
      </c>
      <c r="N41" s="1157" t="s">
        <v>191</v>
      </c>
      <c r="O41" s="1158" t="s">
        <v>192</v>
      </c>
      <c r="P41" s="1157" t="s">
        <v>191</v>
      </c>
      <c r="Q41" s="1158" t="s">
        <v>192</v>
      </c>
      <c r="R41" s="1157" t="s">
        <v>191</v>
      </c>
      <c r="S41" s="1158" t="s">
        <v>192</v>
      </c>
      <c r="T41" s="1157" t="s">
        <v>191</v>
      </c>
      <c r="U41" s="1158" t="s">
        <v>192</v>
      </c>
      <c r="V41" s="1208"/>
      <c r="W41" s="1207"/>
      <c r="X41" s="1208"/>
    </row>
    <row r="42" spans="1:28" ht="20.100000000000001" customHeight="1" thickTop="1" thickBot="1" x14ac:dyDescent="0.25">
      <c r="A42" s="1216"/>
      <c r="B42" s="1217"/>
      <c r="C42" s="1216"/>
      <c r="D42" s="1217"/>
      <c r="E42" s="1216"/>
      <c r="F42" s="1217"/>
      <c r="G42" s="1216"/>
      <c r="H42" s="1217"/>
      <c r="I42" s="1216"/>
      <c r="J42" s="1217"/>
      <c r="L42" s="1216"/>
      <c r="M42" s="1217"/>
      <c r="N42" s="1216"/>
      <c r="O42" s="1217"/>
      <c r="P42" s="1216"/>
      <c r="Q42" s="1217"/>
      <c r="R42" s="1216"/>
      <c r="S42" s="1217"/>
      <c r="T42" s="1216"/>
      <c r="U42" s="1217"/>
    </row>
    <row r="43" spans="1:28" ht="20.100000000000001" customHeight="1" thickTop="1" thickBot="1" x14ac:dyDescent="0.25">
      <c r="A43" s="1216"/>
      <c r="B43" s="1217"/>
      <c r="C43" s="1216"/>
      <c r="D43" s="1217"/>
      <c r="E43" s="1216"/>
      <c r="F43" s="1217"/>
      <c r="G43" s="1216"/>
      <c r="H43" s="1217"/>
      <c r="I43" s="1216"/>
      <c r="J43" s="1217"/>
      <c r="L43" s="1216"/>
      <c r="M43" s="1217"/>
      <c r="N43" s="1216"/>
      <c r="O43" s="1217"/>
      <c r="P43" s="1216"/>
      <c r="Q43" s="1217"/>
      <c r="R43" s="1216"/>
      <c r="S43" s="1217"/>
      <c r="T43" s="1216"/>
      <c r="U43" s="1217"/>
    </row>
    <row r="44" spans="1:28" ht="20.100000000000001" customHeight="1" thickTop="1" thickBot="1" x14ac:dyDescent="0.25">
      <c r="A44" s="1216"/>
      <c r="B44" s="1217"/>
      <c r="C44" s="1216"/>
      <c r="D44" s="1217"/>
      <c r="E44" s="1216"/>
      <c r="F44" s="1217"/>
      <c r="G44" s="1216"/>
      <c r="H44" s="1217"/>
      <c r="I44" s="1216"/>
      <c r="J44" s="1217"/>
      <c r="L44" s="1216"/>
      <c r="M44" s="1217"/>
      <c r="N44" s="1216"/>
      <c r="O44" s="1217"/>
      <c r="P44" s="1216"/>
      <c r="Q44" s="1217"/>
      <c r="R44" s="1216"/>
      <c r="S44" s="1217"/>
      <c r="T44" s="1216"/>
      <c r="U44" s="1217"/>
    </row>
    <row r="45" spans="1:28" ht="20.100000000000001" customHeight="1" thickTop="1" thickBot="1" x14ac:dyDescent="0.25">
      <c r="A45" s="1216"/>
      <c r="B45" s="1217"/>
      <c r="C45" s="1216"/>
      <c r="D45" s="1217"/>
      <c r="E45" s="1216"/>
      <c r="F45" s="1217"/>
      <c r="G45" s="1216"/>
      <c r="H45" s="1217"/>
      <c r="I45" s="1216"/>
      <c r="J45" s="1217"/>
      <c r="L45" s="1216"/>
      <c r="M45" s="1217"/>
      <c r="N45" s="1216"/>
      <c r="O45" s="1217"/>
      <c r="P45" s="1216"/>
      <c r="Q45" s="1217"/>
      <c r="R45" s="1216"/>
      <c r="S45" s="1217"/>
      <c r="T45" s="1216"/>
      <c r="U45" s="1217"/>
    </row>
    <row r="46" spans="1:28" ht="20.100000000000001" customHeight="1" thickTop="1" thickBot="1" x14ac:dyDescent="0.25">
      <c r="A46" s="1216"/>
      <c r="B46" s="1217"/>
      <c r="C46" s="1216"/>
      <c r="D46" s="1217"/>
      <c r="E46" s="1216"/>
      <c r="F46" s="1217"/>
      <c r="G46" s="1216"/>
      <c r="H46" s="1217"/>
      <c r="I46" s="1216"/>
      <c r="J46" s="1217"/>
      <c r="L46" s="1216"/>
      <c r="M46" s="1217"/>
      <c r="N46" s="1216"/>
      <c r="O46" s="1217"/>
      <c r="P46" s="1216"/>
      <c r="Q46" s="1217"/>
      <c r="R46" s="1216"/>
      <c r="S46" s="1217"/>
      <c r="T46" s="1216"/>
      <c r="U46" s="1217"/>
    </row>
    <row r="47" spans="1:28" ht="20.100000000000001" customHeight="1" thickTop="1" thickBot="1" x14ac:dyDescent="0.25">
      <c r="A47" s="1216"/>
      <c r="B47" s="1217"/>
      <c r="C47" s="1216"/>
      <c r="D47" s="1217"/>
      <c r="E47" s="1216"/>
      <c r="F47" s="1217"/>
      <c r="G47" s="1216"/>
      <c r="H47" s="1217"/>
      <c r="I47" s="1216"/>
      <c r="J47" s="1217"/>
      <c r="L47" s="1216"/>
      <c r="M47" s="1217"/>
      <c r="N47" s="1216"/>
      <c r="O47" s="1217"/>
      <c r="P47" s="1216"/>
      <c r="Q47" s="1217"/>
      <c r="R47" s="1216"/>
      <c r="S47" s="1217"/>
      <c r="T47" s="1216"/>
      <c r="U47" s="1217"/>
    </row>
    <row r="48" spans="1:28" ht="20.100000000000001" customHeight="1" thickTop="1" thickBot="1" x14ac:dyDescent="0.25">
      <c r="A48" s="1154"/>
      <c r="B48" s="1155"/>
      <c r="C48" s="1154"/>
      <c r="D48" s="1155"/>
      <c r="E48" s="1154"/>
      <c r="F48" s="1155"/>
      <c r="G48" s="1154"/>
      <c r="H48" s="1155"/>
      <c r="I48" s="1154"/>
      <c r="J48" s="1160"/>
      <c r="L48" s="1154"/>
      <c r="M48" s="1155"/>
      <c r="N48" s="1154"/>
      <c r="O48" s="1155"/>
      <c r="P48" s="1154"/>
      <c r="Q48" s="1155"/>
      <c r="R48" s="1154"/>
      <c r="S48" s="1155"/>
      <c r="T48" s="1154"/>
      <c r="U48" s="1160"/>
    </row>
    <row r="49" spans="1:21" ht="20.100000000000001" customHeight="1" thickTop="1" thickBot="1" x14ac:dyDescent="0.25">
      <c r="A49" s="1154"/>
      <c r="B49" s="1155"/>
      <c r="C49" s="1154"/>
      <c r="D49" s="1155"/>
      <c r="E49" s="1154"/>
      <c r="F49" s="1155"/>
      <c r="G49" s="1154"/>
      <c r="H49" s="1155"/>
      <c r="I49" s="1154"/>
      <c r="J49" s="1160"/>
      <c r="L49" s="1154"/>
      <c r="M49" s="1155"/>
      <c r="N49" s="1154"/>
      <c r="O49" s="1155"/>
      <c r="P49" s="1154"/>
      <c r="Q49" s="1155"/>
      <c r="R49" s="1154"/>
      <c r="S49" s="1155"/>
      <c r="T49" s="1154"/>
      <c r="U49" s="1160"/>
    </row>
    <row r="50" spans="1:21" ht="20.100000000000001" customHeight="1" thickTop="1" thickBot="1" x14ac:dyDescent="0.25">
      <c r="A50" s="1154"/>
      <c r="B50" s="1155"/>
      <c r="C50" s="1154"/>
      <c r="D50" s="1155"/>
      <c r="E50" s="1154"/>
      <c r="F50" s="1155"/>
      <c r="G50" s="1154"/>
      <c r="H50" s="1155"/>
      <c r="I50" s="1154"/>
      <c r="J50" s="1160"/>
      <c r="L50" s="1154"/>
      <c r="M50" s="1155"/>
      <c r="N50" s="1154"/>
      <c r="O50" s="1155"/>
      <c r="P50" s="1154"/>
      <c r="Q50" s="1155"/>
      <c r="R50" s="1154"/>
      <c r="S50" s="1155"/>
      <c r="T50" s="1154"/>
      <c r="U50" s="1160"/>
    </row>
    <row r="51" spans="1:21" ht="20.100000000000001" customHeight="1" thickTop="1" thickBot="1" x14ac:dyDescent="0.25">
      <c r="A51" s="1154"/>
      <c r="B51" s="1155"/>
      <c r="C51" s="1154"/>
      <c r="D51" s="1155"/>
      <c r="E51" s="1154"/>
      <c r="F51" s="1155"/>
      <c r="G51" s="1154"/>
      <c r="H51" s="1155"/>
      <c r="I51" s="1154"/>
      <c r="J51" s="1160"/>
      <c r="L51" s="1154"/>
      <c r="M51" s="1155"/>
      <c r="N51" s="1154"/>
      <c r="O51" s="1155"/>
      <c r="P51" s="1154"/>
      <c r="Q51" s="1155"/>
      <c r="R51" s="1154"/>
      <c r="S51" s="1155"/>
      <c r="T51" s="1154"/>
      <c r="U51" s="1160"/>
    </row>
    <row r="52" spans="1:21" ht="20.100000000000001" customHeight="1" thickTop="1" thickBot="1" x14ac:dyDescent="0.25">
      <c r="A52" s="1154"/>
      <c r="B52" s="1155"/>
      <c r="C52" s="1154"/>
      <c r="D52" s="1155"/>
      <c r="E52" s="1154"/>
      <c r="F52" s="1155"/>
      <c r="G52" s="1154"/>
      <c r="H52" s="1155"/>
      <c r="I52" s="1154"/>
      <c r="J52" s="1160"/>
      <c r="L52" s="1154"/>
      <c r="M52" s="1155"/>
      <c r="N52" s="1154"/>
      <c r="O52" s="1155"/>
      <c r="P52" s="1154"/>
      <c r="Q52" s="1155"/>
      <c r="R52" s="1154"/>
      <c r="S52" s="1155"/>
      <c r="T52" s="1154"/>
      <c r="U52" s="1160"/>
    </row>
    <row r="53" spans="1:21" ht="20.100000000000001" customHeight="1" thickTop="1" thickBot="1" x14ac:dyDescent="0.25">
      <c r="A53" s="1154"/>
      <c r="B53" s="1155"/>
      <c r="C53" s="1154"/>
      <c r="D53" s="1155"/>
      <c r="E53" s="1154"/>
      <c r="F53" s="1155"/>
      <c r="G53" s="1154"/>
      <c r="H53" s="1155"/>
      <c r="I53" s="1154"/>
      <c r="J53" s="1160"/>
      <c r="L53" s="1154"/>
      <c r="M53" s="1155"/>
      <c r="N53" s="1154"/>
      <c r="O53" s="1155"/>
      <c r="P53" s="1154"/>
      <c r="Q53" s="1155"/>
      <c r="R53" s="1154"/>
      <c r="S53" s="1155"/>
      <c r="T53" s="1154"/>
      <c r="U53" s="1160"/>
    </row>
    <row r="54" spans="1:21" ht="20.100000000000001" customHeight="1" thickTop="1" thickBot="1" x14ac:dyDescent="0.25">
      <c r="A54" s="1154"/>
      <c r="B54" s="1155"/>
      <c r="C54" s="1154"/>
      <c r="D54" s="1155"/>
      <c r="E54" s="1154"/>
      <c r="F54" s="1155"/>
      <c r="G54" s="1154"/>
      <c r="H54" s="1155"/>
      <c r="I54" s="1154"/>
      <c r="J54" s="1160"/>
      <c r="L54" s="1154"/>
      <c r="M54" s="1155"/>
      <c r="N54" s="1154"/>
      <c r="O54" s="1155"/>
      <c r="P54" s="1154"/>
      <c r="Q54" s="1155"/>
      <c r="R54" s="1154"/>
      <c r="S54" s="1155"/>
      <c r="T54" s="1154"/>
      <c r="U54" s="1160"/>
    </row>
    <row r="55" spans="1:21" ht="20.100000000000001" customHeight="1" thickTop="1" thickBot="1" x14ac:dyDescent="0.25">
      <c r="A55" s="1154"/>
      <c r="B55" s="1155"/>
      <c r="C55" s="1154"/>
      <c r="D55" s="1155"/>
      <c r="E55" s="1154"/>
      <c r="F55" s="1155"/>
      <c r="G55" s="1154"/>
      <c r="H55" s="1155"/>
      <c r="I55" s="1154"/>
      <c r="J55" s="1160"/>
      <c r="L55" s="1154"/>
      <c r="M55" s="1155"/>
      <c r="N55" s="1154"/>
      <c r="O55" s="1155"/>
      <c r="P55" s="1154"/>
      <c r="Q55" s="1155"/>
      <c r="R55" s="1154"/>
      <c r="S55" s="1155"/>
      <c r="T55" s="1154"/>
      <c r="U55" s="1160"/>
    </row>
    <row r="56" spans="1:21" ht="20.100000000000001" customHeight="1" thickTop="1" thickBot="1" x14ac:dyDescent="0.25">
      <c r="A56" s="1154"/>
      <c r="B56" s="1155"/>
      <c r="C56" s="1154"/>
      <c r="D56" s="1155"/>
      <c r="E56" s="1154"/>
      <c r="F56" s="1155"/>
      <c r="G56" s="1154"/>
      <c r="H56" s="1155"/>
      <c r="I56" s="1154"/>
      <c r="J56" s="1160"/>
      <c r="L56" s="1154"/>
      <c r="M56" s="1155"/>
      <c r="N56" s="1154"/>
      <c r="O56" s="1155"/>
      <c r="P56" s="1154"/>
      <c r="Q56" s="1155"/>
      <c r="R56" s="1154"/>
      <c r="S56" s="1155"/>
      <c r="T56" s="1154"/>
      <c r="U56" s="1160"/>
    </row>
    <row r="57" spans="1:21" ht="20.100000000000001" customHeight="1" thickTop="1" thickBot="1" x14ac:dyDescent="0.25">
      <c r="A57" s="1154"/>
      <c r="B57" s="1155"/>
      <c r="C57" s="1154"/>
      <c r="D57" s="1155"/>
      <c r="E57" s="1154"/>
      <c r="F57" s="1155"/>
      <c r="G57" s="1154"/>
      <c r="H57" s="1155"/>
      <c r="I57" s="1154"/>
      <c r="J57" s="1160"/>
      <c r="L57" s="1154"/>
      <c r="M57" s="1155"/>
      <c r="N57" s="1154"/>
      <c r="O57" s="1155"/>
      <c r="P57" s="1154"/>
      <c r="Q57" s="1155"/>
      <c r="R57" s="1154"/>
      <c r="S57" s="1155"/>
      <c r="T57" s="1154"/>
      <c r="U57" s="1160"/>
    </row>
    <row r="58" spans="1:21" ht="20.100000000000001" customHeight="1" thickTop="1" thickBot="1" x14ac:dyDescent="0.25">
      <c r="A58" s="1154"/>
      <c r="B58" s="1155"/>
      <c r="C58" s="1154"/>
      <c r="D58" s="1155"/>
      <c r="E58" s="1154"/>
      <c r="F58" s="1155"/>
      <c r="G58" s="1154"/>
      <c r="H58" s="1155"/>
      <c r="I58" s="1154"/>
      <c r="J58" s="1160"/>
      <c r="L58" s="1154"/>
      <c r="M58" s="1155"/>
      <c r="N58" s="1154"/>
      <c r="O58" s="1155"/>
      <c r="P58" s="1154"/>
      <c r="Q58" s="1155"/>
      <c r="R58" s="1154"/>
      <c r="S58" s="1155"/>
      <c r="T58" s="1154"/>
      <c r="U58" s="1160"/>
    </row>
    <row r="59" spans="1:21" ht="20.100000000000001" customHeight="1" thickTop="1" thickBot="1" x14ac:dyDescent="0.25">
      <c r="A59" s="1154"/>
      <c r="B59" s="1155"/>
      <c r="C59" s="1154"/>
      <c r="D59" s="1155"/>
      <c r="E59" s="1154"/>
      <c r="F59" s="1155"/>
      <c r="G59" s="1154"/>
      <c r="H59" s="1155"/>
      <c r="I59" s="1154"/>
      <c r="J59" s="1160"/>
      <c r="L59" s="1154"/>
      <c r="M59" s="1155"/>
      <c r="N59" s="1154"/>
      <c r="O59" s="1155"/>
      <c r="P59" s="1154"/>
      <c r="Q59" s="1155"/>
      <c r="R59" s="1154"/>
      <c r="S59" s="1155"/>
      <c r="T59" s="1154"/>
      <c r="U59" s="1160"/>
    </row>
    <row r="60" spans="1:21" ht="20.100000000000001" customHeight="1" thickTop="1" thickBot="1" x14ac:dyDescent="0.25">
      <c r="A60" s="1154"/>
      <c r="B60" s="1155"/>
      <c r="C60" s="1154"/>
      <c r="D60" s="1155"/>
      <c r="E60" s="1154"/>
      <c r="F60" s="1155"/>
      <c r="G60" s="1154"/>
      <c r="H60" s="1155"/>
      <c r="I60" s="1154"/>
      <c r="J60" s="1160"/>
      <c r="L60" s="1154"/>
      <c r="M60" s="1155"/>
      <c r="N60" s="1154"/>
      <c r="O60" s="1155"/>
      <c r="P60" s="1154"/>
      <c r="Q60" s="1155"/>
      <c r="R60" s="1154"/>
      <c r="S60" s="1155"/>
      <c r="T60" s="1154"/>
      <c r="U60" s="1160"/>
    </row>
    <row r="61" spans="1:21" ht="20.100000000000001" customHeight="1" thickTop="1" thickBot="1" x14ac:dyDescent="0.25">
      <c r="A61" s="1154"/>
      <c r="B61" s="1155"/>
      <c r="C61" s="1154"/>
      <c r="D61" s="1155"/>
      <c r="E61" s="1154"/>
      <c r="F61" s="1155"/>
      <c r="G61" s="1154"/>
      <c r="H61" s="1155"/>
      <c r="I61" s="1154"/>
      <c r="J61" s="1160"/>
      <c r="L61" s="1154"/>
      <c r="M61" s="1155"/>
      <c r="N61" s="1154"/>
      <c r="O61" s="1155"/>
      <c r="P61" s="1154"/>
      <c r="Q61" s="1155"/>
      <c r="R61" s="1154"/>
      <c r="S61" s="1155"/>
      <c r="T61" s="1154"/>
      <c r="U61" s="1160"/>
    </row>
    <row r="62" spans="1:21" ht="20.100000000000001" customHeight="1" thickTop="1" thickBot="1" x14ac:dyDescent="0.25">
      <c r="A62" s="1154"/>
      <c r="B62" s="1155"/>
      <c r="C62" s="1154"/>
      <c r="D62" s="1155"/>
      <c r="E62" s="1154"/>
      <c r="F62" s="1155"/>
      <c r="G62" s="1154"/>
      <c r="H62" s="1155"/>
      <c r="I62" s="1154"/>
      <c r="J62" s="1160"/>
      <c r="L62" s="1154"/>
      <c r="M62" s="1155"/>
      <c r="N62" s="1154"/>
      <c r="O62" s="1155"/>
      <c r="P62" s="1154"/>
      <c r="Q62" s="1155"/>
      <c r="R62" s="1154"/>
      <c r="S62" s="1155"/>
      <c r="T62" s="1154"/>
      <c r="U62" s="1160"/>
    </row>
    <row r="63" spans="1:21" ht="20.100000000000001" customHeight="1" thickTop="1" thickBot="1" x14ac:dyDescent="0.25">
      <c r="A63" s="1154"/>
      <c r="B63" s="1155"/>
      <c r="C63" s="1154"/>
      <c r="D63" s="1155"/>
      <c r="E63" s="1154"/>
      <c r="F63" s="1155"/>
      <c r="G63" s="1154"/>
      <c r="H63" s="1155"/>
      <c r="I63" s="1154"/>
      <c r="J63" s="1160"/>
      <c r="L63" s="1154"/>
      <c r="M63" s="1155"/>
      <c r="N63" s="1154"/>
      <c r="O63" s="1155"/>
      <c r="P63" s="1154"/>
      <c r="Q63" s="1155"/>
      <c r="R63" s="1154"/>
      <c r="S63" s="1155"/>
      <c r="T63" s="1154"/>
      <c r="U63" s="1160"/>
    </row>
    <row r="64" spans="1:21" ht="20.100000000000001" customHeight="1" thickTop="1" thickBot="1" x14ac:dyDescent="0.25">
      <c r="A64" s="1154"/>
      <c r="B64" s="1155"/>
      <c r="C64" s="1154"/>
      <c r="D64" s="1155"/>
      <c r="E64" s="1154"/>
      <c r="F64" s="1155"/>
      <c r="G64" s="1154"/>
      <c r="H64" s="1155"/>
      <c r="I64" s="1154"/>
      <c r="J64" s="1160"/>
      <c r="L64" s="1154"/>
      <c r="M64" s="1155"/>
      <c r="N64" s="1154"/>
      <c r="O64" s="1155"/>
      <c r="P64" s="1154"/>
      <c r="Q64" s="1155"/>
      <c r="R64" s="1154"/>
      <c r="S64" s="1155"/>
      <c r="T64" s="1154"/>
      <c r="U64" s="1160"/>
    </row>
    <row r="65" spans="1:21" ht="20.100000000000001" customHeight="1" thickTop="1" thickBot="1" x14ac:dyDescent="0.25">
      <c r="A65" s="1154"/>
      <c r="B65" s="1155"/>
      <c r="C65" s="1154"/>
      <c r="D65" s="1155"/>
      <c r="E65" s="1154"/>
      <c r="F65" s="1155"/>
      <c r="G65" s="1154"/>
      <c r="H65" s="1155"/>
      <c r="I65" s="1154"/>
      <c r="J65" s="1160"/>
      <c r="L65" s="1154"/>
      <c r="M65" s="1155"/>
      <c r="N65" s="1154"/>
      <c r="O65" s="1155"/>
      <c r="P65" s="1154"/>
      <c r="Q65" s="1155"/>
      <c r="R65" s="1154"/>
      <c r="S65" s="1155"/>
      <c r="T65" s="1154"/>
      <c r="U65" s="1160"/>
    </row>
    <row r="66" spans="1:21" ht="20.100000000000001" customHeight="1" thickTop="1" thickBot="1" x14ac:dyDescent="0.25">
      <c r="A66" s="1154"/>
      <c r="B66" s="1155"/>
      <c r="C66" s="1154"/>
      <c r="D66" s="1155"/>
      <c r="E66" s="1154"/>
      <c r="F66" s="1155"/>
      <c r="G66" s="1154"/>
      <c r="H66" s="1155"/>
      <c r="I66" s="1154"/>
      <c r="J66" s="1160"/>
      <c r="L66" s="1154"/>
      <c r="M66" s="1155"/>
      <c r="N66" s="1154"/>
      <c r="O66" s="1155"/>
      <c r="P66" s="1154"/>
      <c r="Q66" s="1155"/>
      <c r="R66" s="1154"/>
      <c r="S66" s="1155"/>
      <c r="T66" s="1154"/>
      <c r="U66" s="1160"/>
    </row>
    <row r="67" spans="1:21" ht="20.100000000000001" customHeight="1" thickTop="1" thickBot="1" x14ac:dyDescent="0.25">
      <c r="A67" s="1154"/>
      <c r="B67" s="1155"/>
      <c r="C67" s="1154"/>
      <c r="D67" s="1155"/>
      <c r="E67" s="1154"/>
      <c r="F67" s="1155"/>
      <c r="G67" s="1154"/>
      <c r="H67" s="1155"/>
      <c r="I67" s="1154"/>
      <c r="J67" s="1160"/>
      <c r="L67" s="1154"/>
      <c r="M67" s="1155"/>
      <c r="N67" s="1154"/>
      <c r="O67" s="1155"/>
      <c r="P67" s="1154"/>
      <c r="Q67" s="1155"/>
      <c r="R67" s="1154"/>
      <c r="S67" s="1155"/>
      <c r="T67" s="1154"/>
      <c r="U67" s="1160"/>
    </row>
    <row r="68" spans="1:21" ht="20.100000000000001" customHeight="1" thickTop="1" thickBot="1" x14ac:dyDescent="0.25">
      <c r="A68" s="1154"/>
      <c r="B68" s="1155"/>
      <c r="C68" s="1154"/>
      <c r="D68" s="1155"/>
      <c r="E68" s="1154"/>
      <c r="F68" s="1155"/>
      <c r="G68" s="1154"/>
      <c r="H68" s="1155"/>
      <c r="I68" s="1154"/>
      <c r="J68" s="1160"/>
      <c r="L68" s="1154"/>
      <c r="M68" s="1155"/>
      <c r="N68" s="1154"/>
      <c r="O68" s="1155"/>
      <c r="P68" s="1154"/>
      <c r="Q68" s="1155"/>
      <c r="R68" s="1154"/>
      <c r="S68" s="1155"/>
      <c r="T68" s="1154"/>
      <c r="U68" s="1160"/>
    </row>
    <row r="69" spans="1:21" ht="20.100000000000001" customHeight="1" thickTop="1" x14ac:dyDescent="0.2">
      <c r="L69" s="610" t="s">
        <v>271</v>
      </c>
      <c r="P69" s="610" t="s">
        <v>271</v>
      </c>
    </row>
    <row r="70" spans="1:21" ht="20.100000000000001" customHeight="1" x14ac:dyDescent="0.2"/>
    <row r="71" spans="1:21" ht="20.100000000000001" customHeight="1" thickBot="1" x14ac:dyDescent="0.25">
      <c r="A71" s="1173"/>
      <c r="B71" s="447"/>
      <c r="C71" s="1173"/>
      <c r="D71" s="447"/>
      <c r="E71" s="1173"/>
      <c r="F71" s="447"/>
      <c r="G71" s="1173"/>
      <c r="H71" s="447"/>
      <c r="I71" s="1173"/>
      <c r="J71" s="447"/>
      <c r="L71" s="1174"/>
      <c r="M71" s="1174"/>
      <c r="N71" s="1174"/>
      <c r="O71" s="1174"/>
      <c r="P71" s="1174"/>
      <c r="Q71" s="1174"/>
      <c r="R71" s="1174"/>
      <c r="S71" s="1174"/>
      <c r="T71" s="1174"/>
      <c r="U71" s="1174"/>
    </row>
    <row r="72" spans="1:21" ht="20.100000000000001" customHeight="1" thickTop="1" thickBot="1" x14ac:dyDescent="0.3">
      <c r="A72" s="1166" t="s">
        <v>2377</v>
      </c>
      <c r="B72" s="1167"/>
      <c r="C72" s="1168"/>
      <c r="D72" s="1169"/>
      <c r="E72" s="1170"/>
      <c r="F72" s="1167"/>
      <c r="G72" s="1167"/>
      <c r="H72" s="1167"/>
      <c r="I72" s="1168"/>
      <c r="J72" s="1171"/>
      <c r="K72" s="1207"/>
      <c r="L72" s="1166" t="s">
        <v>2377</v>
      </c>
      <c r="M72" s="1167"/>
      <c r="N72" s="1168"/>
      <c r="O72" s="1169"/>
      <c r="P72" s="1170"/>
      <c r="Q72" s="1167"/>
      <c r="R72" s="1167"/>
      <c r="S72" s="1167"/>
      <c r="T72" s="1168"/>
      <c r="U72" s="1171"/>
    </row>
    <row r="73" spans="1:21" ht="20.100000000000001" customHeight="1" thickTop="1" x14ac:dyDescent="0.2">
      <c r="A73" s="410" t="s">
        <v>177</v>
      </c>
      <c r="B73" s="1146"/>
      <c r="C73" s="412"/>
      <c r="D73" s="413"/>
      <c r="E73" s="1161"/>
      <c r="F73" s="1146"/>
      <c r="G73" s="1146"/>
      <c r="H73" s="1146"/>
      <c r="I73" s="415"/>
      <c r="J73" s="416"/>
      <c r="K73" s="1207"/>
      <c r="L73" s="410" t="s">
        <v>177</v>
      </c>
      <c r="M73" s="1146"/>
      <c r="N73" s="412"/>
      <c r="O73" s="413"/>
      <c r="P73" s="1161"/>
      <c r="Q73" s="1146"/>
      <c r="R73" s="1146"/>
      <c r="S73" s="1146"/>
      <c r="T73" s="415"/>
      <c r="U73" s="416"/>
    </row>
    <row r="74" spans="1:21" ht="20.100000000000001" customHeight="1" thickBot="1" x14ac:dyDescent="0.25">
      <c r="A74" s="417" t="s">
        <v>2378</v>
      </c>
      <c r="B74" s="418"/>
      <c r="C74" s="419"/>
      <c r="D74" s="420"/>
      <c r="E74" s="1147"/>
      <c r="F74" s="1148"/>
      <c r="G74" s="1148"/>
      <c r="H74" s="1149"/>
      <c r="I74" s="1162"/>
      <c r="J74" s="1150"/>
      <c r="K74" s="1207"/>
      <c r="L74" s="417" t="s">
        <v>2378</v>
      </c>
      <c r="M74" s="418"/>
      <c r="N74" s="419"/>
      <c r="O74" s="420"/>
      <c r="P74" s="1147"/>
      <c r="Q74" s="1148"/>
      <c r="R74" s="1148"/>
      <c r="S74" s="1149"/>
      <c r="T74" s="1162"/>
      <c r="U74" s="1150"/>
    </row>
    <row r="75" spans="1:21" ht="20.100000000000001" customHeight="1" thickTop="1" thickBot="1" x14ac:dyDescent="0.25">
      <c r="A75" s="1163"/>
      <c r="B75" s="1151"/>
      <c r="C75" s="1164"/>
      <c r="D75" s="429" t="s">
        <v>2379</v>
      </c>
      <c r="E75" s="1145"/>
      <c r="F75" s="430"/>
      <c r="G75" s="1165"/>
      <c r="H75" s="432"/>
      <c r="I75" s="1151"/>
      <c r="J75" s="1152"/>
      <c r="K75" s="1207"/>
      <c r="L75" s="1163"/>
      <c r="M75" s="1151"/>
      <c r="N75" s="1164"/>
      <c r="O75" s="429" t="s">
        <v>2379</v>
      </c>
      <c r="P75" s="1145"/>
      <c r="Q75" s="430"/>
      <c r="R75" s="1165"/>
      <c r="S75" s="432"/>
      <c r="T75" s="1151"/>
      <c r="U75" s="1152"/>
    </row>
    <row r="76" spans="1:21" ht="20.100000000000001" customHeight="1" thickTop="1" thickBot="1" x14ac:dyDescent="0.25">
      <c r="A76" s="1157" t="s">
        <v>191</v>
      </c>
      <c r="B76" s="1158" t="s">
        <v>192</v>
      </c>
      <c r="C76" s="1157" t="s">
        <v>191</v>
      </c>
      <c r="D76" s="1158" t="s">
        <v>192</v>
      </c>
      <c r="E76" s="1157" t="s">
        <v>191</v>
      </c>
      <c r="F76" s="1158" t="s">
        <v>192</v>
      </c>
      <c r="G76" s="1157" t="s">
        <v>191</v>
      </c>
      <c r="H76" s="1158" t="s">
        <v>192</v>
      </c>
      <c r="I76" s="1157" t="s">
        <v>191</v>
      </c>
      <c r="J76" s="1158" t="s">
        <v>192</v>
      </c>
      <c r="K76" s="1207"/>
      <c r="L76" s="1157" t="s">
        <v>191</v>
      </c>
      <c r="M76" s="1158" t="s">
        <v>192</v>
      </c>
      <c r="N76" s="1157" t="s">
        <v>191</v>
      </c>
      <c r="O76" s="1158" t="s">
        <v>192</v>
      </c>
      <c r="P76" s="1157" t="s">
        <v>191</v>
      </c>
      <c r="Q76" s="1158" t="s">
        <v>192</v>
      </c>
      <c r="R76" s="1157" t="s">
        <v>191</v>
      </c>
      <c r="S76" s="1158" t="s">
        <v>192</v>
      </c>
      <c r="T76" s="1157" t="s">
        <v>191</v>
      </c>
      <c r="U76" s="1158" t="s">
        <v>192</v>
      </c>
    </row>
    <row r="77" spans="1:21" ht="20.100000000000001" customHeight="1" thickTop="1" thickBot="1" x14ac:dyDescent="0.25">
      <c r="A77" s="1216"/>
      <c r="B77" s="1217"/>
      <c r="C77" s="1216"/>
      <c r="D77" s="1217"/>
      <c r="E77" s="1216"/>
      <c r="F77" s="1217"/>
      <c r="G77" s="1216"/>
      <c r="H77" s="1217"/>
      <c r="I77" s="1216"/>
      <c r="J77" s="1217"/>
      <c r="L77" s="1216"/>
      <c r="M77" s="1217"/>
      <c r="N77" s="1216"/>
      <c r="O77" s="1217"/>
      <c r="P77" s="1216"/>
      <c r="Q77" s="1217"/>
      <c r="R77" s="1216"/>
      <c r="S77" s="1217"/>
      <c r="T77" s="1216"/>
      <c r="U77" s="1217"/>
    </row>
    <row r="78" spans="1:21" ht="20.100000000000001" customHeight="1" thickTop="1" thickBot="1" x14ac:dyDescent="0.25">
      <c r="A78" s="1216"/>
      <c r="B78" s="1217"/>
      <c r="C78" s="1216"/>
      <c r="D78" s="1217"/>
      <c r="E78" s="1216"/>
      <c r="F78" s="1217"/>
      <c r="G78" s="1216"/>
      <c r="H78" s="1217"/>
      <c r="I78" s="1216"/>
      <c r="J78" s="1217"/>
      <c r="L78" s="1216"/>
      <c r="M78" s="1217"/>
      <c r="N78" s="1216"/>
      <c r="O78" s="1217"/>
      <c r="P78" s="1216"/>
      <c r="Q78" s="1217"/>
      <c r="R78" s="1216"/>
      <c r="S78" s="1217"/>
      <c r="T78" s="1216"/>
      <c r="U78" s="1217"/>
    </row>
    <row r="79" spans="1:21" ht="20.100000000000001" customHeight="1" thickTop="1" thickBot="1" x14ac:dyDescent="0.25">
      <c r="A79" s="1216"/>
      <c r="B79" s="1217"/>
      <c r="C79" s="1216"/>
      <c r="D79" s="1217"/>
      <c r="E79" s="1216"/>
      <c r="F79" s="1217"/>
      <c r="G79" s="1216"/>
      <c r="H79" s="1217"/>
      <c r="I79" s="1216"/>
      <c r="J79" s="1217"/>
      <c r="L79" s="1216"/>
      <c r="M79" s="1217"/>
      <c r="N79" s="1216"/>
      <c r="O79" s="1217"/>
      <c r="P79" s="1216"/>
      <c r="Q79" s="1217"/>
      <c r="R79" s="1216"/>
      <c r="S79" s="1217"/>
      <c r="T79" s="1216"/>
      <c r="U79" s="1217"/>
    </row>
    <row r="80" spans="1:21" ht="20.100000000000001" customHeight="1" thickTop="1" thickBot="1" x14ac:dyDescent="0.25">
      <c r="A80" s="1216"/>
      <c r="B80" s="1217"/>
      <c r="C80" s="1216"/>
      <c r="D80" s="1217"/>
      <c r="E80" s="1216"/>
      <c r="F80" s="1217"/>
      <c r="G80" s="1216"/>
      <c r="H80" s="1217"/>
      <c r="I80" s="1216"/>
      <c r="J80" s="1217"/>
      <c r="L80" s="1216"/>
      <c r="M80" s="1217"/>
      <c r="N80" s="1216"/>
      <c r="O80" s="1217"/>
      <c r="P80" s="1216"/>
      <c r="Q80" s="1217"/>
      <c r="R80" s="1216"/>
      <c r="S80" s="1217"/>
      <c r="T80" s="1216"/>
      <c r="U80" s="1217"/>
    </row>
    <row r="81" spans="1:21" ht="20.100000000000001" customHeight="1" thickTop="1" thickBot="1" x14ac:dyDescent="0.25">
      <c r="A81" s="1216"/>
      <c r="B81" s="1217"/>
      <c r="C81" s="1216"/>
      <c r="D81" s="1217"/>
      <c r="E81" s="1216"/>
      <c r="F81" s="1217"/>
      <c r="G81" s="1216"/>
      <c r="H81" s="1217"/>
      <c r="I81" s="1216"/>
      <c r="J81" s="1217"/>
      <c r="L81" s="1216"/>
      <c r="M81" s="1217"/>
      <c r="N81" s="1216"/>
      <c r="O81" s="1217"/>
      <c r="P81" s="1216"/>
      <c r="Q81" s="1217"/>
      <c r="R81" s="1216"/>
      <c r="S81" s="1217"/>
      <c r="T81" s="1216"/>
      <c r="U81" s="1217"/>
    </row>
    <row r="82" spans="1:21" ht="20.100000000000001" customHeight="1" thickTop="1" thickBot="1" x14ac:dyDescent="0.25">
      <c r="A82" s="1216"/>
      <c r="B82" s="1217"/>
      <c r="C82" s="1216"/>
      <c r="D82" s="1217"/>
      <c r="E82" s="1216"/>
      <c r="F82" s="1217"/>
      <c r="G82" s="1216"/>
      <c r="H82" s="1217"/>
      <c r="I82" s="1216"/>
      <c r="J82" s="1217"/>
      <c r="L82" s="1216"/>
      <c r="M82" s="1217"/>
      <c r="N82" s="1216"/>
      <c r="O82" s="1217"/>
      <c r="P82" s="1216"/>
      <c r="Q82" s="1217"/>
      <c r="R82" s="1216"/>
      <c r="S82" s="1217"/>
      <c r="T82" s="1216"/>
      <c r="U82" s="1217"/>
    </row>
    <row r="83" spans="1:21" ht="20.100000000000001" customHeight="1" thickTop="1" thickBot="1" x14ac:dyDescent="0.25">
      <c r="A83" s="1154"/>
      <c r="B83" s="1155"/>
      <c r="C83" s="1154"/>
      <c r="D83" s="1155"/>
      <c r="E83" s="1154"/>
      <c r="F83" s="1155"/>
      <c r="G83" s="1154"/>
      <c r="H83" s="1155"/>
      <c r="I83" s="1154"/>
      <c r="J83" s="1160"/>
      <c r="L83" s="1154"/>
      <c r="M83" s="1155"/>
      <c r="N83" s="1154"/>
      <c r="O83" s="1155"/>
      <c r="P83" s="1154"/>
      <c r="Q83" s="1155"/>
      <c r="R83" s="1154"/>
      <c r="S83" s="1155"/>
      <c r="T83" s="1154"/>
      <c r="U83" s="1160"/>
    </row>
    <row r="84" spans="1:21" ht="20.100000000000001" customHeight="1" thickTop="1" thickBot="1" x14ac:dyDescent="0.25">
      <c r="A84" s="1154"/>
      <c r="B84" s="1155"/>
      <c r="C84" s="1154"/>
      <c r="D84" s="1155"/>
      <c r="E84" s="1154"/>
      <c r="F84" s="1155"/>
      <c r="G84" s="1154"/>
      <c r="H84" s="1155"/>
      <c r="I84" s="1154"/>
      <c r="J84" s="1160"/>
      <c r="L84" s="1154"/>
      <c r="M84" s="1155"/>
      <c r="N84" s="1154"/>
      <c r="O84" s="1155"/>
      <c r="P84" s="1154"/>
      <c r="Q84" s="1155"/>
      <c r="R84" s="1154"/>
      <c r="S84" s="1155"/>
      <c r="T84" s="1154"/>
      <c r="U84" s="1160"/>
    </row>
    <row r="85" spans="1:21" ht="20.100000000000001" customHeight="1" thickTop="1" thickBot="1" x14ac:dyDescent="0.25">
      <c r="A85" s="1154"/>
      <c r="B85" s="1155"/>
      <c r="C85" s="1154"/>
      <c r="D85" s="1155"/>
      <c r="E85" s="1154"/>
      <c r="F85" s="1155"/>
      <c r="G85" s="1154"/>
      <c r="H85" s="1155"/>
      <c r="I85" s="1154"/>
      <c r="J85" s="1160"/>
      <c r="L85" s="1154"/>
      <c r="M85" s="1155"/>
      <c r="N85" s="1154"/>
      <c r="O85" s="1155"/>
      <c r="P85" s="1154"/>
      <c r="Q85" s="1155"/>
      <c r="R85" s="1154"/>
      <c r="S85" s="1155"/>
      <c r="T85" s="1154"/>
      <c r="U85" s="1160"/>
    </row>
    <row r="86" spans="1:21" ht="20.100000000000001" customHeight="1" thickTop="1" thickBot="1" x14ac:dyDescent="0.25">
      <c r="A86" s="1154"/>
      <c r="B86" s="1155"/>
      <c r="C86" s="1154"/>
      <c r="D86" s="1155"/>
      <c r="E86" s="1154"/>
      <c r="F86" s="1155"/>
      <c r="G86" s="1154"/>
      <c r="H86" s="1155"/>
      <c r="I86" s="1154"/>
      <c r="J86" s="1160"/>
      <c r="L86" s="1154"/>
      <c r="M86" s="1155"/>
      <c r="N86" s="1154"/>
      <c r="O86" s="1155"/>
      <c r="P86" s="1154"/>
      <c r="Q86" s="1155"/>
      <c r="R86" s="1154"/>
      <c r="S86" s="1155"/>
      <c r="T86" s="1154"/>
      <c r="U86" s="1160"/>
    </row>
    <row r="87" spans="1:21" ht="20.100000000000001" customHeight="1" thickTop="1" thickBot="1" x14ac:dyDescent="0.25">
      <c r="A87" s="1154"/>
      <c r="B87" s="1155"/>
      <c r="C87" s="1154"/>
      <c r="D87" s="1155"/>
      <c r="E87" s="1154"/>
      <c r="F87" s="1155"/>
      <c r="G87" s="1154"/>
      <c r="H87" s="1155"/>
      <c r="I87" s="1154"/>
      <c r="J87" s="1160"/>
      <c r="L87" s="1154"/>
      <c r="M87" s="1155"/>
      <c r="N87" s="1154"/>
      <c r="O87" s="1155"/>
      <c r="P87" s="1154"/>
      <c r="Q87" s="1155"/>
      <c r="R87" s="1154"/>
      <c r="S87" s="1155"/>
      <c r="T87" s="1154"/>
      <c r="U87" s="1160"/>
    </row>
    <row r="88" spans="1:21" ht="20.100000000000001" customHeight="1" thickTop="1" thickBot="1" x14ac:dyDescent="0.25">
      <c r="A88" s="1154"/>
      <c r="B88" s="1155"/>
      <c r="C88" s="1154"/>
      <c r="D88" s="1155"/>
      <c r="E88" s="1154"/>
      <c r="F88" s="1155"/>
      <c r="G88" s="1154"/>
      <c r="H88" s="1155"/>
      <c r="I88" s="1154"/>
      <c r="J88" s="1160"/>
      <c r="L88" s="1154"/>
      <c r="M88" s="1155"/>
      <c r="N88" s="1154"/>
      <c r="O88" s="1155"/>
      <c r="P88" s="1154"/>
      <c r="Q88" s="1155"/>
      <c r="R88" s="1154"/>
      <c r="S88" s="1155"/>
      <c r="T88" s="1154"/>
      <c r="U88" s="1160"/>
    </row>
    <row r="89" spans="1:21" ht="20.100000000000001" customHeight="1" thickTop="1" thickBot="1" x14ac:dyDescent="0.25">
      <c r="A89" s="1154"/>
      <c r="B89" s="1155"/>
      <c r="C89" s="1154"/>
      <c r="D89" s="1155"/>
      <c r="E89" s="1154"/>
      <c r="F89" s="1155"/>
      <c r="G89" s="1154"/>
      <c r="H89" s="1155"/>
      <c r="I89" s="1154"/>
      <c r="J89" s="1160"/>
      <c r="L89" s="1154"/>
      <c r="M89" s="1155"/>
      <c r="N89" s="1154"/>
      <c r="O89" s="1155"/>
      <c r="P89" s="1154"/>
      <c r="Q89" s="1155"/>
      <c r="R89" s="1154"/>
      <c r="S89" s="1155"/>
      <c r="T89" s="1154"/>
      <c r="U89" s="1160"/>
    </row>
    <row r="90" spans="1:21" ht="20.100000000000001" customHeight="1" thickTop="1" thickBot="1" x14ac:dyDescent="0.25">
      <c r="A90" s="1154"/>
      <c r="B90" s="1155"/>
      <c r="C90" s="1154"/>
      <c r="D90" s="1155"/>
      <c r="E90" s="1154"/>
      <c r="F90" s="1155"/>
      <c r="G90" s="1154"/>
      <c r="H90" s="1155"/>
      <c r="I90" s="1154"/>
      <c r="J90" s="1160"/>
      <c r="L90" s="1154"/>
      <c r="M90" s="1155"/>
      <c r="N90" s="1154"/>
      <c r="O90" s="1155"/>
      <c r="P90" s="1154"/>
      <c r="Q90" s="1155"/>
      <c r="R90" s="1154"/>
      <c r="S90" s="1155"/>
      <c r="T90" s="1154"/>
      <c r="U90" s="1160"/>
    </row>
    <row r="91" spans="1:21" ht="20.100000000000001" customHeight="1" thickTop="1" thickBot="1" x14ac:dyDescent="0.25">
      <c r="A91" s="1154"/>
      <c r="B91" s="1155"/>
      <c r="C91" s="1154"/>
      <c r="D91" s="1155"/>
      <c r="E91" s="1154"/>
      <c r="F91" s="1155"/>
      <c r="G91" s="1154"/>
      <c r="H91" s="1155"/>
      <c r="I91" s="1154"/>
      <c r="J91" s="1160"/>
      <c r="L91" s="1154"/>
      <c r="M91" s="1155"/>
      <c r="N91" s="1154"/>
      <c r="O91" s="1155"/>
      <c r="P91" s="1154"/>
      <c r="Q91" s="1155"/>
      <c r="R91" s="1154"/>
      <c r="S91" s="1155"/>
      <c r="T91" s="1154"/>
      <c r="U91" s="1160"/>
    </row>
    <row r="92" spans="1:21" ht="20.100000000000001" customHeight="1" thickTop="1" thickBot="1" x14ac:dyDescent="0.25">
      <c r="A92" s="1154"/>
      <c r="B92" s="1155"/>
      <c r="C92" s="1154"/>
      <c r="D92" s="1155"/>
      <c r="E92" s="1154"/>
      <c r="F92" s="1155"/>
      <c r="G92" s="1154"/>
      <c r="H92" s="1155"/>
      <c r="I92" s="1154"/>
      <c r="J92" s="1160"/>
      <c r="L92" s="1154"/>
      <c r="M92" s="1155"/>
      <c r="N92" s="1154"/>
      <c r="O92" s="1155"/>
      <c r="P92" s="1154"/>
      <c r="Q92" s="1155"/>
      <c r="R92" s="1154"/>
      <c r="S92" s="1155"/>
      <c r="T92" s="1154"/>
      <c r="U92" s="1160"/>
    </row>
    <row r="93" spans="1:21" ht="20.100000000000001" customHeight="1" thickTop="1" thickBot="1" x14ac:dyDescent="0.25">
      <c r="A93" s="1154"/>
      <c r="B93" s="1155"/>
      <c r="C93" s="1154"/>
      <c r="D93" s="1155"/>
      <c r="E93" s="1154"/>
      <c r="F93" s="1155"/>
      <c r="G93" s="1154"/>
      <c r="H93" s="1155"/>
      <c r="I93" s="1154"/>
      <c r="J93" s="1160"/>
      <c r="L93" s="1154"/>
      <c r="M93" s="1155"/>
      <c r="N93" s="1154"/>
      <c r="O93" s="1155"/>
      <c r="P93" s="1154"/>
      <c r="Q93" s="1155"/>
      <c r="R93" s="1154"/>
      <c r="S93" s="1155"/>
      <c r="T93" s="1154"/>
      <c r="U93" s="1160"/>
    </row>
    <row r="94" spans="1:21" ht="20.100000000000001" customHeight="1" thickTop="1" thickBot="1" x14ac:dyDescent="0.25">
      <c r="A94" s="1154"/>
      <c r="B94" s="1155"/>
      <c r="C94" s="1154"/>
      <c r="D94" s="1155"/>
      <c r="E94" s="1154"/>
      <c r="F94" s="1155"/>
      <c r="G94" s="1154"/>
      <c r="H94" s="1155"/>
      <c r="I94" s="1154"/>
      <c r="J94" s="1160"/>
      <c r="L94" s="1154"/>
      <c r="M94" s="1155"/>
      <c r="N94" s="1154"/>
      <c r="O94" s="1155"/>
      <c r="P94" s="1154"/>
      <c r="Q94" s="1155"/>
      <c r="R94" s="1154"/>
      <c r="S94" s="1155"/>
      <c r="T94" s="1154"/>
      <c r="U94" s="1160"/>
    </row>
    <row r="95" spans="1:21" ht="20.100000000000001" customHeight="1" thickTop="1" thickBot="1" x14ac:dyDescent="0.25">
      <c r="A95" s="1154"/>
      <c r="B95" s="1155"/>
      <c r="C95" s="1154"/>
      <c r="D95" s="1155"/>
      <c r="E95" s="1154"/>
      <c r="F95" s="1155"/>
      <c r="G95" s="1154"/>
      <c r="H95" s="1155"/>
      <c r="I95" s="1154"/>
      <c r="J95" s="1160"/>
      <c r="L95" s="1154"/>
      <c r="M95" s="1155"/>
      <c r="N95" s="1154"/>
      <c r="O95" s="1155"/>
      <c r="P95" s="1154"/>
      <c r="Q95" s="1155"/>
      <c r="R95" s="1154"/>
      <c r="S95" s="1155"/>
      <c r="T95" s="1154"/>
      <c r="U95" s="1160"/>
    </row>
    <row r="96" spans="1:21" ht="20.100000000000001" customHeight="1" thickTop="1" thickBot="1" x14ac:dyDescent="0.25">
      <c r="A96" s="1154"/>
      <c r="B96" s="1155"/>
      <c r="C96" s="1154"/>
      <c r="D96" s="1155"/>
      <c r="E96" s="1154"/>
      <c r="F96" s="1155"/>
      <c r="G96" s="1154"/>
      <c r="H96" s="1155"/>
      <c r="I96" s="1154"/>
      <c r="J96" s="1160"/>
      <c r="L96" s="1154"/>
      <c r="M96" s="1155"/>
      <c r="N96" s="1154"/>
      <c r="O96" s="1155"/>
      <c r="P96" s="1154"/>
      <c r="Q96" s="1155"/>
      <c r="R96" s="1154"/>
      <c r="S96" s="1155"/>
      <c r="T96" s="1154"/>
      <c r="U96" s="1160"/>
    </row>
    <row r="97" spans="1:21" ht="20.100000000000001" customHeight="1" thickTop="1" thickBot="1" x14ac:dyDescent="0.25">
      <c r="A97" s="1154"/>
      <c r="B97" s="1155"/>
      <c r="C97" s="1154"/>
      <c r="D97" s="1155"/>
      <c r="E97" s="1154"/>
      <c r="F97" s="1155"/>
      <c r="G97" s="1154"/>
      <c r="H97" s="1155"/>
      <c r="I97" s="1154"/>
      <c r="J97" s="1160"/>
      <c r="L97" s="1154"/>
      <c r="M97" s="1155"/>
      <c r="N97" s="1154"/>
      <c r="O97" s="1155"/>
      <c r="P97" s="1154"/>
      <c r="Q97" s="1155"/>
      <c r="R97" s="1154"/>
      <c r="S97" s="1155"/>
      <c r="T97" s="1154"/>
      <c r="U97" s="1160"/>
    </row>
    <row r="98" spans="1:21" ht="20.100000000000001" customHeight="1" thickTop="1" thickBot="1" x14ac:dyDescent="0.25">
      <c r="A98" s="1154"/>
      <c r="B98" s="1155"/>
      <c r="C98" s="1154"/>
      <c r="D98" s="1155"/>
      <c r="E98" s="1154"/>
      <c r="F98" s="1155"/>
      <c r="G98" s="1154"/>
      <c r="H98" s="1155"/>
      <c r="I98" s="1154"/>
      <c r="J98" s="1160"/>
      <c r="L98" s="1154"/>
      <c r="M98" s="1155"/>
      <c r="N98" s="1154"/>
      <c r="O98" s="1155"/>
      <c r="P98" s="1154"/>
      <c r="Q98" s="1155"/>
      <c r="R98" s="1154"/>
      <c r="S98" s="1155"/>
      <c r="T98" s="1154"/>
      <c r="U98" s="1160"/>
    </row>
    <row r="99" spans="1:21" ht="20.100000000000001" customHeight="1" thickTop="1" thickBot="1" x14ac:dyDescent="0.25">
      <c r="A99" s="1154"/>
      <c r="B99" s="1155"/>
      <c r="C99" s="1154"/>
      <c r="D99" s="1155"/>
      <c r="E99" s="1154"/>
      <c r="F99" s="1155"/>
      <c r="G99" s="1154"/>
      <c r="H99" s="1155"/>
      <c r="I99" s="1154"/>
      <c r="J99" s="1160"/>
      <c r="L99" s="1154"/>
      <c r="M99" s="1155"/>
      <c r="N99" s="1154"/>
      <c r="O99" s="1155"/>
      <c r="P99" s="1154"/>
      <c r="Q99" s="1155"/>
      <c r="R99" s="1154"/>
      <c r="S99" s="1155"/>
      <c r="T99" s="1154"/>
      <c r="U99" s="1160"/>
    </row>
    <row r="100" spans="1:21" ht="20.100000000000001" customHeight="1" thickTop="1" thickBot="1" x14ac:dyDescent="0.25">
      <c r="A100" s="1154"/>
      <c r="B100" s="1155"/>
      <c r="C100" s="1154"/>
      <c r="D100" s="1155"/>
      <c r="E100" s="1154"/>
      <c r="F100" s="1155"/>
      <c r="G100" s="1154"/>
      <c r="H100" s="1155"/>
      <c r="I100" s="1154"/>
      <c r="J100" s="1160"/>
      <c r="L100" s="1154"/>
      <c r="M100" s="1155"/>
      <c r="N100" s="1154"/>
      <c r="O100" s="1155"/>
      <c r="P100" s="1154"/>
      <c r="Q100" s="1155"/>
      <c r="R100" s="1154"/>
      <c r="S100" s="1155"/>
      <c r="T100" s="1154"/>
      <c r="U100" s="1160"/>
    </row>
    <row r="101" spans="1:21" ht="20.100000000000001" customHeight="1" thickTop="1" thickBot="1" x14ac:dyDescent="0.25">
      <c r="A101" s="1154"/>
      <c r="B101" s="1155"/>
      <c r="C101" s="1154"/>
      <c r="D101" s="1155"/>
      <c r="E101" s="1154"/>
      <c r="F101" s="1155"/>
      <c r="G101" s="1154"/>
      <c r="H101" s="1155"/>
      <c r="I101" s="1154"/>
      <c r="J101" s="1160"/>
      <c r="L101" s="1154"/>
      <c r="M101" s="1155"/>
      <c r="N101" s="1154"/>
      <c r="O101" s="1155"/>
      <c r="P101" s="1154"/>
      <c r="Q101" s="1155"/>
      <c r="R101" s="1154"/>
      <c r="S101" s="1155"/>
      <c r="T101" s="1154"/>
      <c r="U101" s="1160"/>
    </row>
    <row r="102" spans="1:21" ht="20.100000000000001" customHeight="1" thickTop="1" thickBot="1" x14ac:dyDescent="0.25">
      <c r="A102" s="1154"/>
      <c r="B102" s="1155"/>
      <c r="C102" s="1154"/>
      <c r="D102" s="1155"/>
      <c r="E102" s="1154"/>
      <c r="F102" s="1155"/>
      <c r="G102" s="1154"/>
      <c r="H102" s="1155"/>
      <c r="I102" s="1154"/>
      <c r="J102" s="1160"/>
      <c r="L102" s="1154"/>
      <c r="M102" s="1155"/>
      <c r="N102" s="1154"/>
      <c r="O102" s="1155"/>
      <c r="P102" s="1154"/>
      <c r="Q102" s="1155"/>
      <c r="R102" s="1154"/>
      <c r="S102" s="1155"/>
      <c r="T102" s="1154"/>
      <c r="U102" s="1160"/>
    </row>
    <row r="103" spans="1:21" ht="20.100000000000001" customHeight="1" thickTop="1" thickBot="1" x14ac:dyDescent="0.25">
      <c r="A103" s="1154"/>
      <c r="B103" s="1155"/>
      <c r="C103" s="1154"/>
      <c r="D103" s="1155"/>
      <c r="E103" s="1154"/>
      <c r="F103" s="1155"/>
      <c r="G103" s="1154"/>
      <c r="H103" s="1155"/>
      <c r="I103" s="1154"/>
      <c r="J103" s="1160"/>
      <c r="L103" s="1154"/>
      <c r="M103" s="1155"/>
      <c r="N103" s="1154"/>
      <c r="O103" s="1155"/>
      <c r="P103" s="1154"/>
      <c r="Q103" s="1155"/>
      <c r="R103" s="1154"/>
      <c r="S103" s="1155"/>
      <c r="T103" s="1154"/>
      <c r="U103" s="1160"/>
    </row>
    <row r="104" spans="1:21" ht="20.100000000000001" customHeight="1" thickTop="1" x14ac:dyDescent="0.2">
      <c r="A104" s="1175"/>
      <c r="L104" s="610" t="s">
        <v>271</v>
      </c>
    </row>
    <row r="105" spans="1:21" ht="20.100000000000001" customHeight="1" x14ac:dyDescent="0.2">
      <c r="A105" s="1175"/>
      <c r="L105" s="610"/>
    </row>
    <row r="106" spans="1:21" ht="20.100000000000001" customHeight="1" x14ac:dyDescent="0.2">
      <c r="A106" s="1175"/>
      <c r="L106" s="610"/>
    </row>
    <row r="107" spans="1:21" x14ac:dyDescent="0.2">
      <c r="A107" s="1175"/>
      <c r="L107" s="610"/>
    </row>
    <row r="108" spans="1:21" x14ac:dyDescent="0.2">
      <c r="A108" s="1175"/>
      <c r="L108" s="610"/>
    </row>
    <row r="109" spans="1:21" x14ac:dyDescent="0.2">
      <c r="A109" s="1175"/>
      <c r="L109" s="610"/>
    </row>
    <row r="110" spans="1:21" x14ac:dyDescent="0.2">
      <c r="A110" s="1175"/>
      <c r="L110" s="610"/>
    </row>
    <row r="111" spans="1:21" x14ac:dyDescent="0.2">
      <c r="A111" s="1175"/>
      <c r="L111" s="610"/>
    </row>
    <row r="112" spans="1:21" x14ac:dyDescent="0.2">
      <c r="A112" s="1175"/>
      <c r="L112" s="610"/>
    </row>
    <row r="113" spans="1:12" x14ac:dyDescent="0.2">
      <c r="A113" s="1175"/>
      <c r="L113" s="610"/>
    </row>
    <row r="114" spans="1:12" x14ac:dyDescent="0.2">
      <c r="A114" s="1175"/>
      <c r="L114" s="610"/>
    </row>
    <row r="115" spans="1:12" x14ac:dyDescent="0.2">
      <c r="A115" s="1175"/>
      <c r="L115" s="610"/>
    </row>
    <row r="116" spans="1:12" x14ac:dyDescent="0.2">
      <c r="A116" s="1175"/>
      <c r="L116" s="610"/>
    </row>
    <row r="117" spans="1:12" x14ac:dyDescent="0.2">
      <c r="A117" s="1175"/>
      <c r="L117" s="610"/>
    </row>
    <row r="118" spans="1:12" x14ac:dyDescent="0.2">
      <c r="A118" s="1175"/>
      <c r="L118" s="610"/>
    </row>
    <row r="119" spans="1:12" x14ac:dyDescent="0.2">
      <c r="A119" s="1175"/>
      <c r="L119" s="610"/>
    </row>
    <row r="120" spans="1:12" x14ac:dyDescent="0.2">
      <c r="A120" s="1175"/>
      <c r="L120" s="610"/>
    </row>
    <row r="121" spans="1:12" x14ac:dyDescent="0.2">
      <c r="A121" s="1175"/>
      <c r="L121" s="610"/>
    </row>
    <row r="122" spans="1:12" x14ac:dyDescent="0.2">
      <c r="A122" s="1175"/>
      <c r="L122" s="610"/>
    </row>
    <row r="123" spans="1:12" x14ac:dyDescent="0.2">
      <c r="A123" s="1175"/>
      <c r="L123" s="610"/>
    </row>
    <row r="124" spans="1:12" x14ac:dyDescent="0.2">
      <c r="A124" s="1175"/>
      <c r="L124" s="610"/>
    </row>
    <row r="125" spans="1:12" x14ac:dyDescent="0.2">
      <c r="A125" s="1175" t="s">
        <v>271</v>
      </c>
    </row>
    <row r="127" spans="1:12" hidden="1" x14ac:dyDescent="0.2">
      <c r="A127" s="1156" t="s">
        <v>248</v>
      </c>
    </row>
    <row r="154" spans="1:1" x14ac:dyDescent="0.2">
      <c r="A154" s="1175"/>
    </row>
    <row r="155" spans="1:1" x14ac:dyDescent="0.2">
      <c r="A155" s="1175"/>
    </row>
    <row r="156" spans="1:1" x14ac:dyDescent="0.2">
      <c r="A156" s="1175"/>
    </row>
    <row r="157" spans="1:1" x14ac:dyDescent="0.2">
      <c r="A157" s="1175"/>
    </row>
    <row r="158" spans="1:1" x14ac:dyDescent="0.2">
      <c r="A158" s="1175"/>
    </row>
    <row r="159" spans="1:1" x14ac:dyDescent="0.2">
      <c r="A159" s="1175"/>
    </row>
    <row r="160" spans="1:1" x14ac:dyDescent="0.2">
      <c r="A160" s="1175"/>
    </row>
    <row r="161" spans="1:1" x14ac:dyDescent="0.2">
      <c r="A161" s="1175"/>
    </row>
    <row r="162" spans="1:1" x14ac:dyDescent="0.2">
      <c r="A162" s="1175"/>
    </row>
    <row r="163" spans="1:1" x14ac:dyDescent="0.2">
      <c r="A163" s="1175"/>
    </row>
    <row r="164" spans="1:1" x14ac:dyDescent="0.2">
      <c r="A164" s="1175"/>
    </row>
    <row r="165" spans="1:1" x14ac:dyDescent="0.2">
      <c r="A165" s="1175"/>
    </row>
    <row r="166" spans="1:1" x14ac:dyDescent="0.2">
      <c r="A166" s="1175"/>
    </row>
    <row r="167" spans="1:1" x14ac:dyDescent="0.2">
      <c r="A167" s="1175"/>
    </row>
    <row r="168" spans="1:1" x14ac:dyDescent="0.2">
      <c r="A168" s="1175"/>
    </row>
    <row r="169" spans="1:1" x14ac:dyDescent="0.2">
      <c r="A169" s="1175"/>
    </row>
    <row r="170" spans="1:1" x14ac:dyDescent="0.2">
      <c r="A170" s="1175"/>
    </row>
    <row r="171" spans="1:1" x14ac:dyDescent="0.2">
      <c r="A171" s="1175"/>
    </row>
    <row r="172" spans="1:1" x14ac:dyDescent="0.2">
      <c r="A172" s="1175"/>
    </row>
    <row r="173" spans="1:1" x14ac:dyDescent="0.2">
      <c r="A173" s="1175"/>
    </row>
    <row r="174" spans="1:1" x14ac:dyDescent="0.2">
      <c r="A174" s="1175"/>
    </row>
    <row r="175" spans="1:1" x14ac:dyDescent="0.2">
      <c r="A175" s="1175"/>
    </row>
    <row r="176" spans="1:1" x14ac:dyDescent="0.2">
      <c r="A176" s="1175"/>
    </row>
    <row r="177" spans="1:1" x14ac:dyDescent="0.2">
      <c r="A177" s="1175"/>
    </row>
    <row r="178" spans="1:1" x14ac:dyDescent="0.2">
      <c r="A178" s="1175"/>
    </row>
    <row r="179" spans="1:1" x14ac:dyDescent="0.2">
      <c r="A179" s="1175"/>
    </row>
    <row r="180" spans="1:1" x14ac:dyDescent="0.2">
      <c r="A180" s="1175"/>
    </row>
  </sheetData>
  <sheetProtection algorithmName="SHA-512" hashValue="oDXrZbOkH/SRKqwsSDfjuh7AM6V7XF67wUJMmJyZLsPprvUemfSpsAFG4l7htGkNDY2/wBs9qKhipvHYGUBjfw==" saltValue="45CHdn8ryvGzgb1IgXP6pA==" spinCount="100000" sheet="1" objects="1" scenarios="1"/>
  <mergeCells count="6">
    <mergeCell ref="Q3:U3"/>
    <mergeCell ref="L2:U2"/>
    <mergeCell ref="N4:U4"/>
    <mergeCell ref="N5:P5"/>
    <mergeCell ref="S5:U5"/>
    <mergeCell ref="Q5:R5"/>
  </mergeCells>
  <phoneticPr fontId="16" type="noConversion"/>
  <printOptions horizontalCentered="1"/>
  <pageMargins left="0.25" right="0.25" top="0.5" bottom="0.25" header="0" footer="0.5"/>
  <pageSetup scale="78" fitToHeight="3" orientation="landscape" horizontalDpi="4294967292" verticalDpi="4294967292" r:id="rId1"/>
  <headerFooter alignWithMargins="0">
    <oddHeader>&amp;R&amp;"Arial,Bold"October 2022</oddHeader>
  </headerFooter>
  <rowBreaks count="2" manualBreakCount="2">
    <brk id="34" max="16383" man="1"/>
    <brk id="6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Line="0" autoPict="0" macro="[0]!Color">
                <anchor moveWithCells="1" sizeWithCells="1">
                  <from>
                    <xdr:col>18</xdr:col>
                    <xdr:colOff>104775</xdr:colOff>
                    <xdr:row>0</xdr:row>
                    <xdr:rowOff>0</xdr:rowOff>
                  </from>
                  <to>
                    <xdr:col>20</xdr:col>
                    <xdr:colOff>371475</xdr:colOff>
                    <xdr:row>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K46"/>
  <sheetViews>
    <sheetView zoomScaleNormal="100" workbookViewId="0">
      <selection activeCell="O18" sqref="O18"/>
      <extLst>
        <ext xmlns:xlsdti="http://schemas.microsoft.com/office/spreadsheetml/2023/showDataTypeIcons" uri="{77bfe23e-c014-4d31-8a63-9c772dbf06b6}">
          <xlsdti:showDataTypeIcons visible="0"/>
        </ext>
      </extLst>
    </sheetView>
  </sheetViews>
  <sheetFormatPr defaultRowHeight="12.75" x14ac:dyDescent="0.2"/>
  <cols>
    <col min="1" max="1" width="15.5703125" customWidth="1"/>
    <col min="2" max="7" width="14.7109375" customWidth="1"/>
  </cols>
  <sheetData>
    <row r="1" spans="1:11" ht="13.5" thickTop="1" x14ac:dyDescent="0.2">
      <c r="A1" s="274"/>
      <c r="B1" s="275"/>
      <c r="C1" s="275"/>
      <c r="D1" s="275"/>
      <c r="E1" s="275"/>
      <c r="F1" s="275"/>
      <c r="G1" s="276" t="str">
        <f>'Design Data'!U2</f>
        <v>January 2026</v>
      </c>
    </row>
    <row r="2" spans="1:11" ht="15" x14ac:dyDescent="0.25">
      <c r="A2" s="278" t="s">
        <v>75</v>
      </c>
      <c r="B2" s="279"/>
      <c r="C2" s="279"/>
      <c r="D2" s="279"/>
      <c r="E2" s="279"/>
      <c r="F2" s="279"/>
      <c r="G2" s="280"/>
    </row>
    <row r="3" spans="1:11" ht="15" x14ac:dyDescent="0.25">
      <c r="A3" s="278" t="s">
        <v>76</v>
      </c>
      <c r="B3" s="279"/>
      <c r="C3" s="279"/>
      <c r="D3" s="279"/>
      <c r="E3" s="279"/>
      <c r="F3" s="279"/>
      <c r="G3" s="280"/>
    </row>
    <row r="4" spans="1:11" ht="15" x14ac:dyDescent="0.25">
      <c r="A4" s="278" t="s">
        <v>77</v>
      </c>
      <c r="B4" s="279"/>
      <c r="C4" s="279"/>
      <c r="D4" s="279"/>
      <c r="E4" s="279"/>
      <c r="F4" s="279"/>
      <c r="G4" s="280"/>
    </row>
    <row r="5" spans="1:11" ht="13.5" thickBot="1" x14ac:dyDescent="0.25">
      <c r="A5" s="282"/>
      <c r="B5" s="283"/>
      <c r="C5" s="283"/>
      <c r="D5" s="283"/>
      <c r="E5" s="283"/>
      <c r="F5" s="283"/>
      <c r="G5" s="284"/>
    </row>
    <row r="6" spans="1:11" ht="13.5" thickTop="1" x14ac:dyDescent="0.2">
      <c r="E6" s="81"/>
      <c r="F6" s="85"/>
    </row>
    <row r="7" spans="1:11" x14ac:dyDescent="0.2">
      <c r="A7" s="1080" t="s">
        <v>250</v>
      </c>
      <c r="B7" s="1084" t="str">
        <f>IF('Design Data'!$H$10="","",'Design Data'!H10)</f>
        <v/>
      </c>
      <c r="C7" s="1081" t="s">
        <v>179</v>
      </c>
      <c r="D7" s="1082" t="str">
        <f>IF('Design Data'!$K$10="","",'Design Data'!$K$10)</f>
        <v/>
      </c>
      <c r="E7" s="1081" t="s">
        <v>1412</v>
      </c>
      <c r="F7" s="1616" t="str">
        <f>IF('Chart Data'!$W$14="","",'Chart Data'!$W$14)</f>
        <v/>
      </c>
      <c r="G7" s="1616"/>
      <c r="H7" s="1055"/>
      <c r="I7" s="1055"/>
      <c r="J7" s="1055"/>
      <c r="K7" s="1050"/>
    </row>
    <row r="8" spans="1:11" x14ac:dyDescent="0.2">
      <c r="A8" s="1080" t="s">
        <v>395</v>
      </c>
      <c r="B8" s="1082" t="str">
        <f>'Design Data'!$C$14</f>
        <v>Enter Project(s) &amp; Line Item(s)</v>
      </c>
      <c r="D8" s="1082"/>
      <c r="E8" s="1082"/>
      <c r="F8" s="1616"/>
      <c r="G8" s="1616"/>
    </row>
    <row r="9" spans="1:11" x14ac:dyDescent="0.2">
      <c r="A9" s="1083"/>
      <c r="B9" s="1082" t="str">
        <f>'Design Data'!$C$15</f>
        <v>On 'Project Items' Tab.</v>
      </c>
      <c r="D9" s="1082"/>
      <c r="E9" s="1082"/>
      <c r="F9" s="1082"/>
      <c r="G9" s="1082"/>
    </row>
    <row r="10" spans="1:11" x14ac:dyDescent="0.2">
      <c r="A10" s="1080" t="s">
        <v>400</v>
      </c>
      <c r="B10" s="1084" t="str">
        <f>'Design Data'!$I$15</f>
        <v/>
      </c>
      <c r="D10" s="1082"/>
      <c r="E10" s="1081" t="s">
        <v>1455</v>
      </c>
      <c r="F10" s="1082"/>
      <c r="G10" s="1082"/>
    </row>
    <row r="11" spans="1:11" x14ac:dyDescent="0.2">
      <c r="A11" s="1082"/>
      <c r="B11" s="1082"/>
      <c r="C11" s="1082"/>
      <c r="D11" s="1082"/>
      <c r="E11" s="1082"/>
      <c r="F11" s="1082"/>
      <c r="G11" s="1082"/>
    </row>
    <row r="12" spans="1:11" x14ac:dyDescent="0.2">
      <c r="A12" s="1622" t="s">
        <v>1408</v>
      </c>
      <c r="B12" s="1622"/>
      <c r="C12" s="1622"/>
      <c r="D12" s="1622"/>
      <c r="E12" s="1622"/>
      <c r="F12" s="1622"/>
      <c r="G12" s="1622"/>
    </row>
    <row r="13" spans="1:11" ht="6" customHeight="1" thickBot="1" x14ac:dyDescent="0.25"/>
    <row r="14" spans="1:11" ht="30" customHeight="1" thickTop="1" x14ac:dyDescent="0.2">
      <c r="A14" s="1085" t="s">
        <v>1396</v>
      </c>
      <c r="B14" s="1122" t="str">
        <f>IF('Design Data'!J23="","",'Design Data'!J23)</f>
        <v/>
      </c>
      <c r="C14" s="1122" t="str">
        <f>IF('Design Data'!J24="","",'Design Data'!J24)</f>
        <v/>
      </c>
      <c r="D14" s="1122" t="str">
        <f>IF('Design Data'!J25="","",'Design Data'!J25)</f>
        <v/>
      </c>
      <c r="E14" s="1122" t="str">
        <f>IF('Design Data'!J26="","",'Design Data'!J26)</f>
        <v/>
      </c>
      <c r="F14" s="1122" t="str">
        <f>IF('Design Data'!J27="","",'Design Data'!J27)</f>
        <v/>
      </c>
      <c r="G14" s="1123" t="str">
        <f>IF('Design Data'!J28="","",'Design Data'!J28)</f>
        <v/>
      </c>
    </row>
    <row r="15" spans="1:11" x14ac:dyDescent="0.2">
      <c r="A15" s="1086" t="s">
        <v>1397</v>
      </c>
      <c r="B15" s="1087" t="str">
        <f>IF('Design Data'!A23="","",'Design Data'!A23)</f>
        <v/>
      </c>
      <c r="C15" s="1087" t="str">
        <f>IF('Design Data'!A24="","",'Design Data'!A24)</f>
        <v/>
      </c>
      <c r="D15" s="1087" t="str">
        <f>IF('Design Data'!A25="","",'Design Data'!A25)</f>
        <v/>
      </c>
      <c r="E15" s="1087" t="str">
        <f>IF('Design Data'!A26="","",'Design Data'!A26)</f>
        <v/>
      </c>
      <c r="F15" s="1087" t="str">
        <f>IF('Design Data'!A27="","",'Design Data'!A27)</f>
        <v/>
      </c>
      <c r="G15" s="1088" t="str">
        <f>IF('Design Data'!A28="","",'Design Data'!A28)</f>
        <v/>
      </c>
    </row>
    <row r="16" spans="1:11" x14ac:dyDescent="0.2">
      <c r="A16" s="1086" t="s">
        <v>1404</v>
      </c>
      <c r="B16" s="1087" t="str">
        <f>IF('Design Data'!M23="","",'Design Data'!M23)</f>
        <v/>
      </c>
      <c r="C16" s="1087" t="str">
        <f>IF('Design Data'!M24="","",'Design Data'!M24)</f>
        <v/>
      </c>
      <c r="D16" s="1087" t="str">
        <f>IF('Design Data'!M25="","",'Design Data'!M25)</f>
        <v/>
      </c>
      <c r="E16" s="1087" t="str">
        <f>IF('Design Data'!M26="","",'Design Data'!M26)</f>
        <v/>
      </c>
      <c r="F16" s="1087" t="str">
        <f>IF('Design Data'!M27="","",'Design Data'!M27)</f>
        <v/>
      </c>
      <c r="G16" s="1088" t="str">
        <f>IF('Design Data'!M28="","",'Design Data'!M28)</f>
        <v/>
      </c>
    </row>
    <row r="17" spans="1:7" ht="13.5" thickBot="1" x14ac:dyDescent="0.25">
      <c r="A17" s="1089" t="s">
        <v>1405</v>
      </c>
      <c r="B17" s="1090"/>
      <c r="C17" s="1090"/>
      <c r="D17" s="1090"/>
      <c r="E17" s="1090"/>
      <c r="F17" s="1090"/>
      <c r="G17" s="1091"/>
    </row>
    <row r="18" spans="1:7" ht="27" thickTop="1" thickBot="1" x14ac:dyDescent="0.25">
      <c r="A18" s="1220" t="s">
        <v>2428</v>
      </c>
      <c r="B18" s="1221"/>
      <c r="C18" s="1222"/>
      <c r="D18" s="1222"/>
      <c r="E18" s="1222"/>
      <c r="F18" s="1222"/>
      <c r="G18" s="1223"/>
    </row>
    <row r="19" spans="1:7" ht="14.25" thickTop="1" thickBot="1" x14ac:dyDescent="0.25">
      <c r="A19" s="271"/>
      <c r="B19" s="1092"/>
      <c r="C19" s="1092"/>
      <c r="D19" s="1092"/>
      <c r="E19" s="1092"/>
      <c r="F19" s="1092"/>
      <c r="G19" s="271"/>
    </row>
    <row r="20" spans="1:7" ht="14.25" thickTop="1" thickBot="1" x14ac:dyDescent="0.25">
      <c r="A20" s="1093" t="s">
        <v>92</v>
      </c>
      <c r="B20" s="1094" t="s">
        <v>93</v>
      </c>
      <c r="C20" s="1094" t="s">
        <v>93</v>
      </c>
      <c r="D20" s="1094" t="s">
        <v>93</v>
      </c>
      <c r="E20" s="1094" t="s">
        <v>93</v>
      </c>
      <c r="F20" s="1094" t="s">
        <v>93</v>
      </c>
      <c r="G20" s="1095" t="s">
        <v>93</v>
      </c>
    </row>
    <row r="21" spans="1:7" ht="13.5" thickTop="1" x14ac:dyDescent="0.2">
      <c r="A21" s="1096" t="s">
        <v>95</v>
      </c>
      <c r="B21" s="1051"/>
      <c r="C21" s="1051"/>
      <c r="D21" s="1051"/>
      <c r="E21" s="1051"/>
      <c r="F21" s="1051"/>
      <c r="G21" s="1052"/>
    </row>
    <row r="22" spans="1:7" x14ac:dyDescent="0.2">
      <c r="A22" s="1096" t="s">
        <v>99</v>
      </c>
      <c r="B22" s="1051"/>
      <c r="C22" s="1051"/>
      <c r="D22" s="1051"/>
      <c r="E22" s="1051"/>
      <c r="F22" s="1051"/>
      <c r="G22" s="1052"/>
    </row>
    <row r="23" spans="1:7" x14ac:dyDescent="0.2">
      <c r="A23" s="1096" t="s">
        <v>100</v>
      </c>
      <c r="B23" s="1051"/>
      <c r="C23" s="1051"/>
      <c r="D23" s="1051"/>
      <c r="E23" s="1051"/>
      <c r="F23" s="1051"/>
      <c r="G23" s="1052"/>
    </row>
    <row r="24" spans="1:7" x14ac:dyDescent="0.2">
      <c r="A24" s="1096" t="s">
        <v>103</v>
      </c>
      <c r="B24" s="1051"/>
      <c r="C24" s="1051"/>
      <c r="D24" s="1051"/>
      <c r="E24" s="1051"/>
      <c r="F24" s="1051"/>
      <c r="G24" s="1052"/>
    </row>
    <row r="25" spans="1:7" x14ac:dyDescent="0.2">
      <c r="A25" s="1096" t="s">
        <v>104</v>
      </c>
      <c r="B25" s="1051"/>
      <c r="C25" s="1051"/>
      <c r="D25" s="1051"/>
      <c r="E25" s="1051"/>
      <c r="F25" s="1051"/>
      <c r="G25" s="1052"/>
    </row>
    <row r="26" spans="1:7" x14ac:dyDescent="0.2">
      <c r="A26" s="1096" t="s">
        <v>108</v>
      </c>
      <c r="B26" s="1051"/>
      <c r="C26" s="1051"/>
      <c r="D26" s="1051"/>
      <c r="E26" s="1051"/>
      <c r="F26" s="1051"/>
      <c r="G26" s="1052"/>
    </row>
    <row r="27" spans="1:7" x14ac:dyDescent="0.2">
      <c r="A27" s="1097" t="s">
        <v>119</v>
      </c>
      <c r="B27" s="1051"/>
      <c r="C27" s="1051"/>
      <c r="D27" s="1051"/>
      <c r="E27" s="1051"/>
      <c r="F27" s="1051"/>
      <c r="G27" s="1052"/>
    </row>
    <row r="28" spans="1:7" x14ac:dyDescent="0.2">
      <c r="A28" s="1097" t="s">
        <v>121</v>
      </c>
      <c r="B28" s="1051"/>
      <c r="C28" s="1051"/>
      <c r="D28" s="1051"/>
      <c r="E28" s="1051"/>
      <c r="F28" s="1051"/>
      <c r="G28" s="1052"/>
    </row>
    <row r="29" spans="1:7" x14ac:dyDescent="0.2">
      <c r="A29" s="1097" t="s">
        <v>125</v>
      </c>
      <c r="B29" s="1051"/>
      <c r="C29" s="1051"/>
      <c r="D29" s="1051"/>
      <c r="E29" s="1051"/>
      <c r="F29" s="1051"/>
      <c r="G29" s="1052"/>
    </row>
    <row r="30" spans="1:7" x14ac:dyDescent="0.2">
      <c r="A30" s="1098" t="s">
        <v>127</v>
      </c>
      <c r="B30" s="1051"/>
      <c r="C30" s="1051"/>
      <c r="D30" s="1051"/>
      <c r="E30" s="1051"/>
      <c r="F30" s="1051"/>
      <c r="G30" s="1052"/>
    </row>
    <row r="31" spans="1:7" x14ac:dyDescent="0.2">
      <c r="A31" s="1098" t="s">
        <v>128</v>
      </c>
      <c r="B31" s="1051"/>
      <c r="C31" s="1051"/>
      <c r="D31" s="1051"/>
      <c r="E31" s="1051"/>
      <c r="F31" s="1051"/>
      <c r="G31" s="1052"/>
    </row>
    <row r="32" spans="1:7" x14ac:dyDescent="0.2">
      <c r="A32" s="1098" t="s">
        <v>129</v>
      </c>
      <c r="B32" s="1051"/>
      <c r="C32" s="1051"/>
      <c r="D32" s="1051"/>
      <c r="E32" s="1051"/>
      <c r="F32" s="1051"/>
      <c r="G32" s="1052"/>
    </row>
    <row r="33" spans="1:7" ht="13.5" thickBot="1" x14ac:dyDescent="0.25">
      <c r="A33" s="1099" t="s">
        <v>131</v>
      </c>
      <c r="B33" s="1053"/>
      <c r="C33" s="1053"/>
      <c r="D33" s="1053"/>
      <c r="E33" s="1053"/>
      <c r="F33" s="1053"/>
      <c r="G33" s="1054"/>
    </row>
    <row r="34" spans="1:7" ht="14.25" thickTop="1" thickBot="1" x14ac:dyDescent="0.25">
      <c r="A34" s="315"/>
    </row>
    <row r="35" spans="1:7" ht="13.5" thickTop="1" x14ac:dyDescent="0.2">
      <c r="A35" s="1100" t="s">
        <v>1409</v>
      </c>
      <c r="B35" s="1101" t="str">
        <f t="shared" ref="B35:G35" si="0">IF(B27="","",B27)</f>
        <v/>
      </c>
      <c r="C35" s="1101" t="str">
        <f t="shared" si="0"/>
        <v/>
      </c>
      <c r="D35" s="1101" t="str">
        <f t="shared" si="0"/>
        <v/>
      </c>
      <c r="E35" s="1101" t="str">
        <f t="shared" si="0"/>
        <v/>
      </c>
      <c r="F35" s="1101" t="str">
        <f t="shared" si="0"/>
        <v/>
      </c>
      <c r="G35" s="1102" t="str">
        <f t="shared" si="0"/>
        <v/>
      </c>
    </row>
    <row r="36" spans="1:7" x14ac:dyDescent="0.2">
      <c r="A36" s="1103" t="s">
        <v>1410</v>
      </c>
      <c r="B36" s="1104" t="str">
        <f t="shared" ref="B36:G36" si="1">IF(B35="","",(100-B35))</f>
        <v/>
      </c>
      <c r="C36" s="1104" t="str">
        <f t="shared" si="1"/>
        <v/>
      </c>
      <c r="D36" s="1104" t="str">
        <f t="shared" si="1"/>
        <v/>
      </c>
      <c r="E36" s="1104" t="str">
        <f t="shared" si="1"/>
        <v/>
      </c>
      <c r="F36" s="1104" t="str">
        <f t="shared" si="1"/>
        <v/>
      </c>
      <c r="G36" s="1105" t="str">
        <f t="shared" si="1"/>
        <v/>
      </c>
    </row>
    <row r="37" spans="1:7" ht="13.5" thickBot="1" x14ac:dyDescent="0.25">
      <c r="A37" s="1106" t="s">
        <v>1411</v>
      </c>
      <c r="B37" s="1107" t="str">
        <f t="shared" ref="B37:G37" si="2">IF(B16="","",(B16*B36/100))</f>
        <v/>
      </c>
      <c r="C37" s="1107" t="str">
        <f t="shared" si="2"/>
        <v/>
      </c>
      <c r="D37" s="1107" t="str">
        <f t="shared" si="2"/>
        <v/>
      </c>
      <c r="E37" s="1107" t="str">
        <f t="shared" si="2"/>
        <v/>
      </c>
      <c r="F37" s="1107" t="str">
        <f t="shared" si="2"/>
        <v/>
      </c>
      <c r="G37" s="1108" t="str">
        <f t="shared" si="2"/>
        <v/>
      </c>
    </row>
    <row r="38" spans="1:7" ht="14.25" thickTop="1" thickBot="1" x14ac:dyDescent="0.25">
      <c r="A38" s="315"/>
    </row>
    <row r="39" spans="1:7" ht="13.5" thickTop="1" x14ac:dyDescent="0.2">
      <c r="A39" s="1100" t="s">
        <v>1407</v>
      </c>
      <c r="B39" s="1101" t="str">
        <f t="shared" ref="B39:G39" si="3">IF(AND(B17="YES",B18=""),B37,IF(B17="YES",B37*B18/100,""))</f>
        <v/>
      </c>
      <c r="C39" s="1101" t="str">
        <f t="shared" si="3"/>
        <v/>
      </c>
      <c r="D39" s="1101" t="str">
        <f t="shared" si="3"/>
        <v/>
      </c>
      <c r="E39" s="1101" t="str">
        <f t="shared" si="3"/>
        <v/>
      </c>
      <c r="F39" s="1101" t="str">
        <f t="shared" si="3"/>
        <v/>
      </c>
      <c r="G39" s="1102" t="str">
        <f t="shared" si="3"/>
        <v/>
      </c>
    </row>
    <row r="40" spans="1:7" ht="13.5" thickBot="1" x14ac:dyDescent="0.25">
      <c r="A40" s="1106" t="s">
        <v>1406</v>
      </c>
      <c r="B40" s="1107" t="str">
        <f t="shared" ref="B40:G40" si="4">IF(AND(B17="YES",B18&lt;&gt;""),B37*(100-B18)/100,IF(B17="NO",B37,""))</f>
        <v/>
      </c>
      <c r="C40" s="1107" t="str">
        <f t="shared" si="4"/>
        <v/>
      </c>
      <c r="D40" s="1107" t="str">
        <f t="shared" si="4"/>
        <v/>
      </c>
      <c r="E40" s="1107" t="str">
        <f t="shared" si="4"/>
        <v/>
      </c>
      <c r="F40" s="1107" t="str">
        <f t="shared" si="4"/>
        <v/>
      </c>
      <c r="G40" s="1108" t="str">
        <f t="shared" si="4"/>
        <v/>
      </c>
    </row>
    <row r="41" spans="1:7" ht="14.25" thickTop="1" thickBot="1" x14ac:dyDescent="0.25"/>
    <row r="42" spans="1:7" ht="13.5" thickTop="1" x14ac:dyDescent="0.2">
      <c r="B42" s="1109"/>
      <c r="C42" s="1110"/>
      <c r="D42" s="1111" t="s">
        <v>1414</v>
      </c>
      <c r="E42" s="1617" t="str">
        <f>IF(SUM(B39:G39)=0,"",SUM(B39:G39))</f>
        <v/>
      </c>
      <c r="F42" s="1618"/>
    </row>
    <row r="43" spans="1:7" ht="13.5" thickBot="1" x14ac:dyDescent="0.25">
      <c r="B43" s="1112"/>
      <c r="C43" s="1113"/>
      <c r="D43" s="1114" t="s">
        <v>1413</v>
      </c>
      <c r="E43" s="1619" t="str">
        <f>IF(AND(SUM(B40:G40)=0,ISNUMBER(E42)),0,IF(SUM(B40:G40)=0,"",SUM(B40:G40)))</f>
        <v/>
      </c>
      <c r="F43" s="1620"/>
    </row>
    <row r="44" spans="1:7" ht="14.25" thickTop="1" thickBot="1" x14ac:dyDescent="0.25">
      <c r="D44" s="315"/>
    </row>
    <row r="45" spans="1:7" ht="14.25" thickTop="1" thickBot="1" x14ac:dyDescent="0.25">
      <c r="B45" s="1115"/>
      <c r="C45" s="1116"/>
      <c r="D45" s="1117" t="str">
        <f>IF('Chart Data'!L47="A","For the 'A' Mixture Selected the '+4' requirement is","For the 'B' Mixture Selected the Polish Resistant")</f>
        <v>For the 'B' Mixture Selected the Polish Resistant</v>
      </c>
      <c r="E45" s="1621" t="str">
        <f>IF(E43="","",IF(AND(ROUND(E43,0)&lt;=5,'Chart Data'!L47="A"),"Within Specification Limits",IF(AND(ROUND(E43,0)&gt;5,'Chart Data'!L47="A"),"Out of Specification",IF(AND(E42&gt;=E43,'Chart Data'!L47="B"),"Within Specification Limits",IF(AND(E42&lt;E43,'Chart Data'!L47="B"),"Out of Specification","")))))</f>
        <v/>
      </c>
      <c r="F45" s="1520"/>
    </row>
    <row r="46" spans="1:7" ht="13.5" thickTop="1" x14ac:dyDescent="0.2"/>
  </sheetData>
  <sheetProtection algorithmName="SHA-512" hashValue="IR2/MWs2rfPnpKb7pLSAi0tIjuche7l2K69Yw8v9AbXZ/fRVe+HESllCfs3cvXEU/j+8pfIKt9kX5KHQEHe88A==" saltValue="PpJ2XxrP1lj7Rb6aw+vXbw==" spinCount="100000" sheet="1" objects="1" scenarios="1"/>
  <mergeCells count="5">
    <mergeCell ref="F7:G8"/>
    <mergeCell ref="E42:F42"/>
    <mergeCell ref="E43:F43"/>
    <mergeCell ref="E45:F45"/>
    <mergeCell ref="A12:G12"/>
  </mergeCells>
  <phoneticPr fontId="93" type="noConversion"/>
  <pageMargins left="0.25" right="0.25" top="0.75" bottom="0.75" header="0.3" footer="0.3"/>
  <pageSetup orientation="portrait" r:id="rId1"/>
  <headerFooter alignWithMargins="0"/>
  <drawing r:id="rId2"/>
  <legacyDrawing r:id="rId3"/>
  <controls>
    <mc:AlternateContent xmlns:mc="http://schemas.openxmlformats.org/markup-compatibility/2006">
      <mc:Choice Requires="x14">
        <control shapeId="610305" r:id="rId4" name="ComboBox1">
          <controlPr defaultSize="0" autoLine="0" autoPict="0" listFillRange="'Chart Data'!AI42:AI48" r:id="rId5">
            <anchor moveWithCells="1">
              <from>
                <xdr:col>5</xdr:col>
                <xdr:colOff>0</xdr:colOff>
                <xdr:row>8</xdr:row>
                <xdr:rowOff>104775</xdr:rowOff>
              </from>
              <to>
                <xdr:col>7</xdr:col>
                <xdr:colOff>0</xdr:colOff>
                <xdr:row>10</xdr:row>
                <xdr:rowOff>0</xdr:rowOff>
              </to>
            </anchor>
          </controlPr>
        </control>
      </mc:Choice>
      <mc:Fallback>
        <control shapeId="610305" r:id="rId4" name="ComboBox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P46"/>
  <sheetViews>
    <sheetView zoomScaleNormal="100" workbookViewId="0">
      <selection activeCell="F18" sqref="F18:K18"/>
      <extLst>
        <ext xmlns:xlsdti="http://schemas.microsoft.com/office/spreadsheetml/2023/showDataTypeIcons" uri="{77bfe23e-c014-4d31-8a63-9c772dbf06b6}">
          <xlsdti:showDataTypeIcons visible="0"/>
        </ext>
      </extLst>
    </sheetView>
  </sheetViews>
  <sheetFormatPr defaultRowHeight="12.75" x14ac:dyDescent="0.2"/>
  <cols>
    <col min="1" max="4" width="7.7109375" customWidth="1"/>
    <col min="5" max="5" width="8.85546875" customWidth="1"/>
    <col min="6" max="6" width="8.28515625" customWidth="1"/>
    <col min="8" max="8" width="4.5703125" customWidth="1"/>
    <col min="11" max="11" width="7.140625" customWidth="1"/>
    <col min="12" max="16" width="7.7109375" customWidth="1"/>
    <col min="27" max="27" width="10.140625" customWidth="1"/>
    <col min="29" max="29" width="9.5703125" customWidth="1"/>
    <col min="30" max="30" width="10" customWidth="1"/>
  </cols>
  <sheetData>
    <row r="1" spans="1:16" ht="13.5" thickTop="1" x14ac:dyDescent="0.2">
      <c r="A1" s="56"/>
      <c r="B1" s="35"/>
      <c r="C1" s="35"/>
      <c r="D1" s="35"/>
      <c r="E1" s="35"/>
      <c r="F1" s="35"/>
      <c r="G1" s="57"/>
      <c r="H1" s="35"/>
      <c r="I1" s="35"/>
      <c r="J1" s="35"/>
      <c r="K1" s="35"/>
      <c r="L1" s="36"/>
      <c r="M1" s="35"/>
      <c r="N1" s="57"/>
      <c r="O1" s="35"/>
      <c r="P1" s="1079" t="str">
        <f>'Design Data'!U2</f>
        <v>January 2026</v>
      </c>
    </row>
    <row r="2" spans="1:16" ht="14.25" customHeight="1" x14ac:dyDescent="0.25">
      <c r="A2" s="38" t="s">
        <v>75</v>
      </c>
      <c r="B2" s="39"/>
      <c r="C2" s="39"/>
      <c r="D2" s="39"/>
      <c r="E2" s="39"/>
      <c r="F2" s="39"/>
      <c r="G2" s="58"/>
      <c r="H2" s="39"/>
      <c r="I2" s="39"/>
      <c r="J2" s="39"/>
      <c r="K2" s="39"/>
      <c r="L2" s="39"/>
      <c r="M2" s="39"/>
      <c r="N2" s="39"/>
      <c r="O2" s="39"/>
      <c r="P2" s="221"/>
    </row>
    <row r="3" spans="1:16" ht="15" x14ac:dyDescent="0.25">
      <c r="A3" s="38" t="s">
        <v>76</v>
      </c>
      <c r="B3" s="39"/>
      <c r="C3" s="39"/>
      <c r="D3" s="39"/>
      <c r="E3" s="39"/>
      <c r="F3" s="39"/>
      <c r="G3" s="58"/>
      <c r="H3" s="39"/>
      <c r="I3" s="39"/>
      <c r="J3" s="39"/>
      <c r="K3" s="39"/>
      <c r="L3" s="39"/>
      <c r="M3" s="39"/>
      <c r="N3" s="39"/>
      <c r="O3" s="39"/>
      <c r="P3" s="66"/>
    </row>
    <row r="4" spans="1:16" ht="15" x14ac:dyDescent="0.25">
      <c r="A4" s="38" t="s">
        <v>77</v>
      </c>
      <c r="B4" s="39"/>
      <c r="C4" s="39"/>
      <c r="D4" s="39"/>
      <c r="E4" s="39"/>
      <c r="F4" s="39"/>
      <c r="G4" s="58"/>
      <c r="H4" s="39"/>
      <c r="I4" s="39"/>
      <c r="J4" s="39"/>
      <c r="K4" s="39"/>
      <c r="L4" s="39"/>
      <c r="M4" s="39"/>
      <c r="N4" s="39"/>
      <c r="O4" s="39"/>
      <c r="P4" s="66"/>
    </row>
    <row r="5" spans="1:16" ht="15.75" thickBot="1" x14ac:dyDescent="0.3">
      <c r="A5" s="59"/>
      <c r="B5" s="40"/>
      <c r="C5" s="40"/>
      <c r="D5" s="40"/>
      <c r="E5" s="40"/>
      <c r="F5" s="40"/>
      <c r="G5" s="41"/>
      <c r="H5" s="40"/>
      <c r="I5" s="40"/>
      <c r="J5" s="40"/>
      <c r="K5" s="40"/>
      <c r="L5" s="40"/>
      <c r="M5" s="40"/>
      <c r="N5" s="40"/>
      <c r="O5" s="40"/>
      <c r="P5" s="67"/>
    </row>
    <row r="6" spans="1:16" ht="13.5" thickTop="1" x14ac:dyDescent="0.2">
      <c r="E6" s="81"/>
      <c r="F6" s="85"/>
    </row>
    <row r="7" spans="1:16" ht="15" x14ac:dyDescent="0.2">
      <c r="A7" s="1628" t="s">
        <v>2696</v>
      </c>
      <c r="B7" s="1628"/>
      <c r="C7" s="1628"/>
      <c r="D7" s="1628"/>
      <c r="E7" s="1628"/>
      <c r="F7" s="1628"/>
      <c r="G7" s="1628"/>
      <c r="H7" s="1628"/>
      <c r="I7" s="1628"/>
      <c r="J7" s="1628"/>
      <c r="K7" s="1628"/>
      <c r="L7" s="1628"/>
      <c r="M7" s="1628"/>
      <c r="N7" s="1628"/>
      <c r="O7" s="1628"/>
      <c r="P7" s="1628"/>
    </row>
    <row r="8" spans="1:16" x14ac:dyDescent="0.2">
      <c r="A8" s="1061"/>
      <c r="B8" s="1061"/>
      <c r="C8" s="1061"/>
      <c r="D8" s="1061"/>
      <c r="E8" s="1061"/>
      <c r="F8" s="1061"/>
      <c r="G8" s="1061"/>
      <c r="H8" s="1061"/>
      <c r="I8" s="1061"/>
      <c r="J8" s="1061"/>
      <c r="K8" s="1061"/>
      <c r="L8" s="1061"/>
      <c r="M8" s="1061"/>
      <c r="N8" s="1061"/>
      <c r="O8" s="1061"/>
      <c r="P8" s="1061"/>
    </row>
    <row r="9" spans="1:16" x14ac:dyDescent="0.2">
      <c r="A9" s="577"/>
      <c r="B9" s="1061"/>
      <c r="C9" s="1061"/>
      <c r="D9" s="1061"/>
      <c r="E9" s="1061"/>
      <c r="F9" s="1061"/>
      <c r="G9" s="1061"/>
      <c r="H9" s="1061"/>
      <c r="I9" s="1061"/>
      <c r="J9" s="1061"/>
      <c r="K9" s="1061"/>
      <c r="L9" s="1061"/>
      <c r="M9" s="1061"/>
      <c r="N9" s="1061"/>
      <c r="O9" s="1061"/>
      <c r="P9" s="1061"/>
    </row>
    <row r="10" spans="1:16" ht="7.5" customHeight="1" thickBot="1" x14ac:dyDescent="0.25"/>
    <row r="11" spans="1:16" ht="14.25" thickTop="1" thickBot="1" x14ac:dyDescent="0.25">
      <c r="D11" s="1634" t="s">
        <v>1401</v>
      </c>
      <c r="E11" s="1635"/>
      <c r="F11" s="1629" t="s">
        <v>1402</v>
      </c>
      <c r="G11" s="1480"/>
      <c r="H11" s="1480"/>
      <c r="I11" s="1498"/>
      <c r="J11" s="1636" t="s">
        <v>113</v>
      </c>
      <c r="K11" s="1635"/>
      <c r="L11" s="1629" t="s">
        <v>1403</v>
      </c>
      <c r="M11" s="1498"/>
      <c r="N11" s="1441" t="s">
        <v>116</v>
      </c>
    </row>
    <row r="12" spans="1:16" ht="13.5" thickTop="1" x14ac:dyDescent="0.2">
      <c r="D12" s="1648"/>
      <c r="E12" s="1649"/>
      <c r="F12" s="1637"/>
      <c r="G12" s="1638"/>
      <c r="H12" s="1638"/>
      <c r="I12" s="1639"/>
      <c r="J12" s="1646">
        <v>24025</v>
      </c>
      <c r="K12" s="1647"/>
      <c r="L12" s="1646" t="s">
        <v>1433</v>
      </c>
      <c r="M12" s="1647"/>
      <c r="N12" s="1442">
        <v>32</v>
      </c>
    </row>
    <row r="13" spans="1:16" x14ac:dyDescent="0.2">
      <c r="D13" s="1650"/>
      <c r="E13" s="1651"/>
      <c r="F13" s="1640"/>
      <c r="G13" s="1641"/>
      <c r="H13" s="1641"/>
      <c r="I13" s="1642"/>
      <c r="J13" s="1652"/>
      <c r="K13" s="1653"/>
      <c r="L13" s="1652"/>
      <c r="M13" s="1653"/>
      <c r="N13" s="1443"/>
    </row>
    <row r="14" spans="1:16" x14ac:dyDescent="0.2">
      <c r="D14" s="1650"/>
      <c r="E14" s="1651"/>
      <c r="F14" s="1640"/>
      <c r="G14" s="1641"/>
      <c r="H14" s="1641"/>
      <c r="I14" s="1642"/>
      <c r="J14" s="1652"/>
      <c r="K14" s="1653"/>
      <c r="L14" s="1652"/>
      <c r="M14" s="1653"/>
      <c r="N14" s="1088"/>
    </row>
    <row r="15" spans="1:16" ht="13.5" thickBot="1" x14ac:dyDescent="0.25">
      <c r="D15" s="1630"/>
      <c r="E15" s="1631"/>
      <c r="F15" s="1643"/>
      <c r="G15" s="1644"/>
      <c r="H15" s="1644"/>
      <c r="I15" s="1645"/>
      <c r="J15" s="1632"/>
      <c r="K15" s="1633"/>
      <c r="L15" s="1632"/>
      <c r="M15" s="1633"/>
      <c r="N15" s="1444"/>
    </row>
    <row r="16" spans="1:16" ht="13.5" thickTop="1" x14ac:dyDescent="0.2">
      <c r="A16" s="1062"/>
      <c r="B16" s="1062"/>
      <c r="C16" s="5"/>
      <c r="D16" s="5"/>
      <c r="E16" s="5"/>
      <c r="F16" s="5"/>
      <c r="G16" s="271"/>
      <c r="H16" s="271"/>
      <c r="I16" s="271"/>
      <c r="J16" s="271"/>
      <c r="K16" s="1063"/>
      <c r="L16" s="1060"/>
      <c r="M16" s="1064"/>
      <c r="N16" s="1064"/>
      <c r="O16" s="1065"/>
      <c r="P16" s="1066"/>
    </row>
    <row r="17" spans="3:14" ht="13.5" thickBot="1" x14ac:dyDescent="0.25">
      <c r="G17" s="451"/>
      <c r="H17" s="451"/>
      <c r="I17" s="451"/>
      <c r="J17" s="1060"/>
    </row>
    <row r="18" spans="3:14" ht="59.25" customHeight="1" thickTop="1" thickBot="1" x14ac:dyDescent="0.25">
      <c r="C18" s="1439"/>
      <c r="D18" s="1439"/>
      <c r="E18" s="1439"/>
      <c r="F18" s="1672" t="str" cm="1">
        <f t="array" ref="F18">IF(
   COUNTIF(L:L,"*Shingles*")&gt;0,
   IF(
      _xlfn.MAXIFS(N:N,L:L,"*Shingles*")&gt;3,
      "Not permissible per 409.03.02 A",
      "Use PG "&amp;RIGHT('Design Data'!O8,5)&amp;" virgin binder"
   ),
   IF(OR(N12="",NOT(ISNUMBER(N12))),"",
      IFERROR(
         _xlfn.XLOOKUP(
            1,
            (ISNUMBER(SEARCH(BinderTable[MixType],'Design Data'!O8))) *
            (BinderTable[PG]=RIGHT('Design Data'!O8,5)) *
            (N12&gt;=BinderTable[MinRAP]) *
            (N12&lt;=BinderTable[MaxRAP]),
            BinderTable[Result]
         ),
         ""
      )
   )
)</f>
        <v/>
      </c>
      <c r="G18" s="1673"/>
      <c r="H18" s="1673"/>
      <c r="I18" s="1673"/>
      <c r="J18" s="1673"/>
      <c r="K18" s="1674"/>
      <c r="L18" s="1439"/>
      <c r="M18" s="1439"/>
      <c r="N18" s="1439"/>
    </row>
    <row r="19" spans="3:14" ht="13.5" thickTop="1" x14ac:dyDescent="0.2">
      <c r="G19" s="451"/>
      <c r="H19" s="451"/>
      <c r="I19" s="451"/>
      <c r="J19" s="1060"/>
    </row>
    <row r="20" spans="3:14" ht="13.5" thickBot="1" x14ac:dyDescent="0.25"/>
    <row r="21" spans="3:14" ht="22.5" customHeight="1" thickBot="1" x14ac:dyDescent="0.25">
      <c r="E21" s="1667" t="s">
        <v>2673</v>
      </c>
      <c r="F21" s="1668"/>
      <c r="G21" s="1623" t="s">
        <v>2674</v>
      </c>
      <c r="H21" s="1624"/>
      <c r="I21" s="1624"/>
      <c r="J21" s="1624"/>
      <c r="K21" s="1624"/>
      <c r="L21" s="1625"/>
    </row>
    <row r="22" spans="3:14" ht="18.75" customHeight="1" thickTop="1" thickBot="1" x14ac:dyDescent="0.25">
      <c r="E22" s="1669"/>
      <c r="F22" s="1670"/>
      <c r="G22" s="1626" t="s">
        <v>2675</v>
      </c>
      <c r="H22" s="1627"/>
      <c r="I22" s="1626" t="s">
        <v>2676</v>
      </c>
      <c r="J22" s="1627"/>
      <c r="K22" s="1626" t="s">
        <v>2677</v>
      </c>
      <c r="L22" s="1627"/>
    </row>
    <row r="23" spans="3:14" ht="13.5" customHeight="1" x14ac:dyDescent="0.2">
      <c r="E23" s="1661" t="s">
        <v>2678</v>
      </c>
      <c r="F23" s="1662"/>
      <c r="G23" s="1662"/>
      <c r="H23" s="1662"/>
      <c r="I23" s="1662"/>
      <c r="J23" s="1662"/>
      <c r="K23" s="1662"/>
      <c r="L23" s="1663"/>
    </row>
    <row r="24" spans="3:14" ht="12.6" customHeight="1" x14ac:dyDescent="0.2">
      <c r="C24" s="1057"/>
      <c r="E24" s="1664" t="s">
        <v>1516</v>
      </c>
      <c r="F24" s="1665"/>
      <c r="G24" s="1664" t="s">
        <v>1516</v>
      </c>
      <c r="H24" s="1655"/>
      <c r="I24" s="1659" t="s">
        <v>2679</v>
      </c>
      <c r="J24" s="1666"/>
      <c r="K24" s="1659" t="s">
        <v>2679</v>
      </c>
      <c r="L24" s="1660"/>
    </row>
    <row r="25" spans="3:14" ht="12.75" customHeight="1" x14ac:dyDescent="0.2">
      <c r="E25" s="1664" t="s">
        <v>1514</v>
      </c>
      <c r="F25" s="1665"/>
      <c r="G25" s="1664" t="s">
        <v>1514</v>
      </c>
      <c r="H25" s="1655"/>
      <c r="I25" s="1654" t="s">
        <v>1522</v>
      </c>
      <c r="J25" s="1655"/>
      <c r="K25" s="1659" t="s">
        <v>2679</v>
      </c>
      <c r="L25" s="1660"/>
    </row>
    <row r="26" spans="3:14" ht="12.75" customHeight="1" x14ac:dyDescent="0.2">
      <c r="E26" s="1676" t="s">
        <v>2680</v>
      </c>
      <c r="F26" s="1677"/>
      <c r="G26" s="1677"/>
      <c r="H26" s="1677"/>
      <c r="I26" s="1677"/>
      <c r="J26" s="1677"/>
      <c r="K26" s="1677"/>
      <c r="L26" s="1678"/>
    </row>
    <row r="27" spans="3:14" ht="15" customHeight="1" x14ac:dyDescent="0.2">
      <c r="E27" s="1679"/>
      <c r="F27" s="1666"/>
      <c r="G27" s="1680" t="s">
        <v>2675</v>
      </c>
      <c r="H27" s="1681"/>
      <c r="I27" s="1680" t="s">
        <v>2681</v>
      </c>
      <c r="J27" s="1681"/>
      <c r="K27" s="1680" t="s">
        <v>2682</v>
      </c>
      <c r="L27" s="1682"/>
    </row>
    <row r="28" spans="3:14" ht="12.75" customHeight="1" x14ac:dyDescent="0.2">
      <c r="E28" s="1664" t="s">
        <v>1516</v>
      </c>
      <c r="F28" s="1665"/>
      <c r="G28" s="1664" t="s">
        <v>1516</v>
      </c>
      <c r="H28" s="1655"/>
      <c r="I28" s="1654" t="s">
        <v>1516</v>
      </c>
      <c r="J28" s="1655"/>
      <c r="K28" s="1659" t="s">
        <v>2679</v>
      </c>
      <c r="L28" s="1660"/>
    </row>
    <row r="29" spans="3:14" ht="13.5" customHeight="1" thickBot="1" x14ac:dyDescent="0.25">
      <c r="E29" s="1656" t="s">
        <v>1514</v>
      </c>
      <c r="F29" s="1671"/>
      <c r="G29" s="1656" t="s">
        <v>1514</v>
      </c>
      <c r="H29" s="1657"/>
      <c r="I29" s="1658" t="s">
        <v>1514</v>
      </c>
      <c r="J29" s="1657"/>
      <c r="K29" s="1658" t="s">
        <v>1522</v>
      </c>
      <c r="L29" s="1671"/>
    </row>
    <row r="30" spans="3:14" ht="14.25" x14ac:dyDescent="0.2">
      <c r="E30" s="1675" t="s">
        <v>2683</v>
      </c>
      <c r="F30" s="1675"/>
      <c r="G30" s="1675"/>
      <c r="H30" s="1675"/>
      <c r="I30" s="1675"/>
      <c r="J30" s="1675"/>
      <c r="K30" s="1675"/>
      <c r="L30" s="1675"/>
    </row>
    <row r="40" ht="74.25" customHeight="1" x14ac:dyDescent="0.2"/>
    <row r="43" ht="33.75" customHeight="1" x14ac:dyDescent="0.2"/>
    <row r="46" ht="45" customHeight="1" x14ac:dyDescent="0.2"/>
  </sheetData>
  <sheetProtection algorithmName="SHA-512" hashValue="YMuLvpNbpcW4M6+lQZjbQgmQKHJm61wFePcfh4+3zAshH/YhnzjLHVvR7WdZW5u0buNj8Tz0wbvYlqlksduk/w==" saltValue="NGtQ45BfRaK8C4OcDCCtHQ==" spinCount="100000" sheet="1" objects="1" scenarios="1"/>
  <mergeCells count="50">
    <mergeCell ref="E30:L30"/>
    <mergeCell ref="K25:L25"/>
    <mergeCell ref="E26:L26"/>
    <mergeCell ref="E27:F27"/>
    <mergeCell ref="G27:H27"/>
    <mergeCell ref="I27:J27"/>
    <mergeCell ref="K27:L27"/>
    <mergeCell ref="E25:F25"/>
    <mergeCell ref="G25:H25"/>
    <mergeCell ref="I25:J25"/>
    <mergeCell ref="E28:F28"/>
    <mergeCell ref="G28:H28"/>
    <mergeCell ref="L12:M12"/>
    <mergeCell ref="L13:M13"/>
    <mergeCell ref="L14:M14"/>
    <mergeCell ref="F18:K18"/>
    <mergeCell ref="J14:K14"/>
    <mergeCell ref="J15:K15"/>
    <mergeCell ref="D14:E14"/>
    <mergeCell ref="J13:K13"/>
    <mergeCell ref="I28:J28"/>
    <mergeCell ref="G29:H29"/>
    <mergeCell ref="I29:J29"/>
    <mergeCell ref="K28:L28"/>
    <mergeCell ref="E23:L23"/>
    <mergeCell ref="E24:F24"/>
    <mergeCell ref="G24:H24"/>
    <mergeCell ref="I24:J24"/>
    <mergeCell ref="K24:L24"/>
    <mergeCell ref="E21:F22"/>
    <mergeCell ref="E29:F29"/>
    <mergeCell ref="I22:J22"/>
    <mergeCell ref="K22:L22"/>
    <mergeCell ref="K29:L29"/>
    <mergeCell ref="G21:L21"/>
    <mergeCell ref="G22:H22"/>
    <mergeCell ref="A7:P7"/>
    <mergeCell ref="L11:M11"/>
    <mergeCell ref="D15:E15"/>
    <mergeCell ref="L15:M15"/>
    <mergeCell ref="D11:E11"/>
    <mergeCell ref="F11:I11"/>
    <mergeCell ref="J11:K11"/>
    <mergeCell ref="F12:I12"/>
    <mergeCell ref="F13:I13"/>
    <mergeCell ref="F14:I14"/>
    <mergeCell ref="F15:I15"/>
    <mergeCell ref="J12:K12"/>
    <mergeCell ref="D12:E12"/>
    <mergeCell ref="D13:E13"/>
  </mergeCells>
  <phoneticPr fontId="93" type="noConversion"/>
  <conditionalFormatting sqref="F18:K18">
    <cfRule type="expression" dxfId="198" priority="1">
      <formula>ISNUMBER(SEARCH("Not permissible", F18))</formula>
    </cfRule>
  </conditionalFormatting>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G105"/>
  <sheetViews>
    <sheetView showGridLines="0" topLeftCell="A2" zoomScaleNormal="100" workbookViewId="0">
      <selection activeCell="A44" sqref="A44"/>
      <extLst>
        <ext xmlns:xlsdti="http://schemas.microsoft.com/office/spreadsheetml/2023/showDataTypeIcons" uri="{77bfe23e-c014-4d31-8a63-9c772dbf06b6}">
          <xlsdti:showDataTypeIcons visible="0"/>
        </ext>
      </extLst>
    </sheetView>
  </sheetViews>
  <sheetFormatPr defaultColWidth="9.140625" defaultRowHeight="12.75" x14ac:dyDescent="0.2"/>
  <cols>
    <col min="1" max="1" width="39.42578125" style="636" customWidth="1"/>
    <col min="2" max="2" width="14.28515625" style="636" customWidth="1"/>
    <col min="3" max="3" width="19" style="637" customWidth="1"/>
    <col min="4" max="4" width="18" style="637" customWidth="1"/>
    <col min="5" max="5" width="9.140625" style="629"/>
    <col min="6" max="9" width="9.5703125" style="629" customWidth="1"/>
    <col min="10" max="16384" width="9.140625" style="629"/>
  </cols>
  <sheetData>
    <row r="1" spans="1:7" hidden="1" x14ac:dyDescent="0.2">
      <c r="A1" s="627" t="s">
        <v>1241</v>
      </c>
      <c r="B1" s="627" t="s">
        <v>1241</v>
      </c>
      <c r="C1" s="627" t="s">
        <v>1241</v>
      </c>
      <c r="D1" s="628" t="s">
        <v>1130</v>
      </c>
    </row>
    <row r="2" spans="1:7" x14ac:dyDescent="0.2">
      <c r="A2" s="874" t="s">
        <v>1246</v>
      </c>
      <c r="B2" s="875" t="s">
        <v>1247</v>
      </c>
      <c r="C2" s="876" t="s">
        <v>1248</v>
      </c>
      <c r="D2" s="877" t="s">
        <v>1249</v>
      </c>
      <c r="G2" s="631"/>
    </row>
    <row r="3" spans="1:7" x14ac:dyDescent="0.2">
      <c r="A3" s="878"/>
      <c r="B3" s="878" t="s">
        <v>1250</v>
      </c>
      <c r="C3" s="879" t="s">
        <v>1251</v>
      </c>
      <c r="D3" s="880" t="s">
        <v>1252</v>
      </c>
      <c r="F3" s="981"/>
      <c r="G3" s="632" t="s">
        <v>1253</v>
      </c>
    </row>
    <row r="4" spans="1:7" x14ac:dyDescent="0.2">
      <c r="A4" s="878"/>
      <c r="B4" s="878"/>
      <c r="C4" s="1141" t="s">
        <v>1254</v>
      </c>
      <c r="D4" s="881" t="s">
        <v>1255</v>
      </c>
      <c r="G4" s="633" t="s">
        <v>1256</v>
      </c>
    </row>
    <row r="5" spans="1:7" ht="25.5" hidden="1" x14ac:dyDescent="0.2">
      <c r="A5" s="960" t="s">
        <v>1242</v>
      </c>
      <c r="B5" s="960" t="s">
        <v>1243</v>
      </c>
      <c r="C5" s="1002" t="s">
        <v>1244</v>
      </c>
      <c r="D5" s="1138" t="s">
        <v>1245</v>
      </c>
    </row>
    <row r="6" spans="1:7" x14ac:dyDescent="0.2">
      <c r="A6" s="1228"/>
      <c r="B6" s="634"/>
      <c r="C6" s="1000"/>
      <c r="D6" s="1139"/>
    </row>
    <row r="7" spans="1:7" x14ac:dyDescent="0.2">
      <c r="A7" s="1228"/>
      <c r="B7" s="634"/>
      <c r="C7" s="1000"/>
      <c r="D7" s="1140"/>
    </row>
    <row r="8" spans="1:7" x14ac:dyDescent="0.2">
      <c r="A8" s="634"/>
      <c r="B8" s="634"/>
      <c r="C8" s="1000"/>
      <c r="D8" s="1140"/>
    </row>
    <row r="9" spans="1:7" ht="13.5" customHeight="1" x14ac:dyDescent="0.2">
      <c r="A9" s="634"/>
      <c r="B9" s="634"/>
      <c r="C9" s="1000"/>
      <c r="D9" s="1140"/>
    </row>
    <row r="10" spans="1:7" x14ac:dyDescent="0.2">
      <c r="A10" s="634"/>
      <c r="B10" s="634"/>
      <c r="C10" s="1000"/>
      <c r="D10" s="1140"/>
    </row>
    <row r="11" spans="1:7" x14ac:dyDescent="0.2">
      <c r="A11" s="634"/>
      <c r="B11" s="634"/>
      <c r="C11" s="1000"/>
      <c r="D11" s="1140"/>
    </row>
    <row r="12" spans="1:7" x14ac:dyDescent="0.2">
      <c r="A12" s="634"/>
      <c r="B12" s="634"/>
      <c r="C12" s="1000"/>
      <c r="D12" s="1140"/>
    </row>
    <row r="13" spans="1:7" x14ac:dyDescent="0.2">
      <c r="A13" s="634"/>
      <c r="B13" s="634"/>
      <c r="C13" s="1000"/>
      <c r="D13" s="1140"/>
    </row>
    <row r="14" spans="1:7" x14ac:dyDescent="0.2">
      <c r="A14" s="634"/>
      <c r="B14" s="634"/>
      <c r="C14" s="1000"/>
      <c r="D14" s="1140"/>
    </row>
    <row r="15" spans="1:7" x14ac:dyDescent="0.2">
      <c r="A15" s="634"/>
      <c r="B15" s="634"/>
      <c r="C15" s="1000"/>
      <c r="D15" s="1140"/>
    </row>
    <row r="16" spans="1:7" x14ac:dyDescent="0.2">
      <c r="A16" s="634"/>
      <c r="B16" s="634"/>
      <c r="C16" s="1000"/>
      <c r="D16" s="1140"/>
    </row>
    <row r="17" spans="1:4" x14ac:dyDescent="0.2">
      <c r="A17" s="634"/>
      <c r="B17" s="634"/>
      <c r="C17" s="1000"/>
      <c r="D17" s="1140"/>
    </row>
    <row r="18" spans="1:4" x14ac:dyDescent="0.2">
      <c r="A18" s="634"/>
      <c r="B18" s="634"/>
      <c r="C18" s="1000"/>
      <c r="D18" s="1140"/>
    </row>
    <row r="19" spans="1:4" x14ac:dyDescent="0.2">
      <c r="A19" s="634"/>
      <c r="B19" s="634"/>
      <c r="C19" s="1000"/>
      <c r="D19" s="1140"/>
    </row>
    <row r="20" spans="1:4" x14ac:dyDescent="0.2">
      <c r="A20" s="634"/>
      <c r="B20" s="634"/>
      <c r="C20" s="1000"/>
      <c r="D20" s="1140"/>
    </row>
    <row r="21" spans="1:4" x14ac:dyDescent="0.2">
      <c r="A21" s="634"/>
      <c r="B21" s="634"/>
      <c r="C21" s="1000"/>
      <c r="D21" s="1140"/>
    </row>
    <row r="22" spans="1:4" x14ac:dyDescent="0.2">
      <c r="A22" s="634"/>
      <c r="B22" s="634"/>
      <c r="C22" s="1000"/>
      <c r="D22" s="1140"/>
    </row>
    <row r="23" spans="1:4" x14ac:dyDescent="0.2">
      <c r="A23" s="634"/>
      <c r="B23" s="634"/>
      <c r="C23" s="1000"/>
      <c r="D23" s="1140"/>
    </row>
    <row r="24" spans="1:4" x14ac:dyDescent="0.2">
      <c r="A24" s="634"/>
      <c r="B24" s="634"/>
      <c r="C24" s="1000"/>
      <c r="D24" s="1140"/>
    </row>
    <row r="25" spans="1:4" x14ac:dyDescent="0.2">
      <c r="A25" s="634"/>
      <c r="B25" s="634"/>
      <c r="C25" s="1000"/>
      <c r="D25" s="1140"/>
    </row>
    <row r="26" spans="1:4" x14ac:dyDescent="0.2">
      <c r="A26" s="634"/>
      <c r="B26" s="634"/>
      <c r="C26" s="1000"/>
      <c r="D26" s="1140"/>
    </row>
    <row r="27" spans="1:4" x14ac:dyDescent="0.2">
      <c r="A27" s="634"/>
      <c r="B27" s="634"/>
      <c r="C27" s="1000"/>
      <c r="D27" s="1140"/>
    </row>
    <row r="28" spans="1:4" x14ac:dyDescent="0.2">
      <c r="A28" s="634"/>
      <c r="B28" s="634"/>
      <c r="C28" s="1000"/>
      <c r="D28" s="1140"/>
    </row>
    <row r="29" spans="1:4" x14ac:dyDescent="0.2">
      <c r="A29" s="634"/>
      <c r="B29" s="634"/>
      <c r="C29" s="1000"/>
      <c r="D29" s="1140"/>
    </row>
    <row r="30" spans="1:4" x14ac:dyDescent="0.2">
      <c r="A30" s="634"/>
      <c r="B30" s="634"/>
      <c r="C30" s="1000"/>
      <c r="D30" s="1140"/>
    </row>
    <row r="31" spans="1:4" x14ac:dyDescent="0.2">
      <c r="A31" s="634"/>
      <c r="B31" s="634"/>
      <c r="C31" s="1000"/>
      <c r="D31" s="1140"/>
    </row>
    <row r="32" spans="1:4" x14ac:dyDescent="0.2">
      <c r="A32" s="634"/>
      <c r="B32" s="634"/>
      <c r="C32" s="1000"/>
      <c r="D32" s="1140"/>
    </row>
    <row r="33" spans="1:4" x14ac:dyDescent="0.2">
      <c r="A33" s="634"/>
      <c r="B33" s="634"/>
      <c r="C33" s="1000"/>
      <c r="D33" s="1140"/>
    </row>
    <row r="34" spans="1:4" x14ac:dyDescent="0.2">
      <c r="A34" s="634"/>
      <c r="B34" s="634"/>
      <c r="C34" s="1000"/>
      <c r="D34" s="1140"/>
    </row>
    <row r="35" spans="1:4" x14ac:dyDescent="0.2">
      <c r="A35" s="634"/>
      <c r="B35" s="634"/>
      <c r="C35" s="1000"/>
      <c r="D35" s="1140"/>
    </row>
    <row r="36" spans="1:4" x14ac:dyDescent="0.2">
      <c r="A36" s="634"/>
      <c r="B36" s="634"/>
      <c r="C36" s="1000"/>
      <c r="D36" s="1140"/>
    </row>
    <row r="37" spans="1:4" x14ac:dyDescent="0.2">
      <c r="A37" s="634"/>
      <c r="B37" s="634"/>
      <c r="C37" s="1000"/>
      <c r="D37" s="1140"/>
    </row>
    <row r="38" spans="1:4" x14ac:dyDescent="0.2">
      <c r="A38" s="634"/>
      <c r="B38" s="634"/>
      <c r="C38" s="1000"/>
      <c r="D38" s="1140"/>
    </row>
    <row r="39" spans="1:4" x14ac:dyDescent="0.2">
      <c r="A39" s="634"/>
      <c r="B39" s="634"/>
      <c r="C39" s="1000"/>
      <c r="D39" s="1140"/>
    </row>
    <row r="40" spans="1:4" x14ac:dyDescent="0.2">
      <c r="A40" s="634"/>
      <c r="B40" s="634"/>
      <c r="C40" s="1000"/>
      <c r="D40" s="1140"/>
    </row>
    <row r="41" spans="1:4" x14ac:dyDescent="0.2">
      <c r="A41" s="634"/>
      <c r="B41" s="634"/>
      <c r="C41" s="1000"/>
      <c r="D41" s="1140"/>
    </row>
    <row r="42" spans="1:4" x14ac:dyDescent="0.2">
      <c r="A42" s="634"/>
      <c r="B42" s="634"/>
      <c r="C42" s="1000"/>
      <c r="D42" s="1140"/>
    </row>
    <row r="43" spans="1:4" x14ac:dyDescent="0.2">
      <c r="A43" s="634"/>
      <c r="B43" s="634"/>
      <c r="C43" s="1000"/>
      <c r="D43" s="1140"/>
    </row>
    <row r="44" spans="1:4" x14ac:dyDescent="0.2">
      <c r="A44" s="634"/>
      <c r="B44" s="634"/>
      <c r="C44" s="1000"/>
      <c r="D44" s="1140"/>
    </row>
    <row r="45" spans="1:4" x14ac:dyDescent="0.2">
      <c r="A45" s="634"/>
      <c r="B45" s="634"/>
      <c r="C45" s="1000"/>
      <c r="D45" s="1140"/>
    </row>
    <row r="46" spans="1:4" x14ac:dyDescent="0.2">
      <c r="A46" s="634"/>
      <c r="B46" s="634"/>
      <c r="C46" s="1000"/>
      <c r="D46" s="1140"/>
    </row>
    <row r="47" spans="1:4" x14ac:dyDescent="0.2">
      <c r="A47" s="634"/>
      <c r="B47" s="634"/>
      <c r="C47" s="1000"/>
      <c r="D47" s="1140"/>
    </row>
    <row r="48" spans="1:4" x14ac:dyDescent="0.2">
      <c r="A48" s="634"/>
      <c r="B48" s="634"/>
      <c r="C48" s="1000"/>
      <c r="D48" s="1140"/>
    </row>
    <row r="49" spans="1:4" x14ac:dyDescent="0.2">
      <c r="A49" s="634"/>
      <c r="B49" s="634"/>
      <c r="C49" s="1000"/>
      <c r="D49" s="1140"/>
    </row>
    <row r="50" spans="1:4" x14ac:dyDescent="0.2">
      <c r="A50" s="634"/>
      <c r="B50" s="634"/>
      <c r="C50" s="1000"/>
      <c r="D50" s="1140"/>
    </row>
    <row r="51" spans="1:4" x14ac:dyDescent="0.2">
      <c r="A51" s="634"/>
      <c r="B51" s="634"/>
      <c r="C51" s="1000"/>
      <c r="D51" s="1140"/>
    </row>
    <row r="52" spans="1:4" x14ac:dyDescent="0.2">
      <c r="A52" s="634"/>
      <c r="B52" s="634"/>
      <c r="C52" s="1000"/>
      <c r="D52" s="1140"/>
    </row>
    <row r="53" spans="1:4" x14ac:dyDescent="0.2">
      <c r="A53" s="634"/>
      <c r="B53" s="634"/>
      <c r="C53" s="1000"/>
      <c r="D53" s="1140"/>
    </row>
    <row r="54" spans="1:4" x14ac:dyDescent="0.2">
      <c r="A54" s="634"/>
      <c r="B54" s="634"/>
      <c r="C54" s="1000"/>
      <c r="D54" s="1140"/>
    </row>
    <row r="55" spans="1:4" x14ac:dyDescent="0.2">
      <c r="A55" s="634"/>
      <c r="B55" s="634"/>
      <c r="C55" s="1000"/>
      <c r="D55" s="1140"/>
    </row>
    <row r="56" spans="1:4" x14ac:dyDescent="0.2">
      <c r="A56" s="634"/>
      <c r="B56" s="634"/>
      <c r="C56" s="1000"/>
      <c r="D56" s="1140"/>
    </row>
    <row r="57" spans="1:4" x14ac:dyDescent="0.2">
      <c r="A57" s="634"/>
      <c r="B57" s="634"/>
      <c r="C57" s="1000"/>
      <c r="D57" s="1140"/>
    </row>
    <row r="58" spans="1:4" x14ac:dyDescent="0.2">
      <c r="A58" s="634"/>
      <c r="B58" s="634"/>
      <c r="C58" s="1000"/>
      <c r="D58" s="1140"/>
    </row>
    <row r="59" spans="1:4" x14ac:dyDescent="0.2">
      <c r="A59" s="634"/>
      <c r="B59" s="634"/>
      <c r="C59" s="1000"/>
      <c r="D59" s="1140"/>
    </row>
    <row r="60" spans="1:4" x14ac:dyDescent="0.2">
      <c r="A60" s="634"/>
      <c r="B60" s="634"/>
      <c r="C60" s="1000"/>
      <c r="D60" s="1140"/>
    </row>
    <row r="61" spans="1:4" x14ac:dyDescent="0.2">
      <c r="A61" s="634"/>
      <c r="B61" s="634"/>
      <c r="C61" s="1000"/>
      <c r="D61" s="1140"/>
    </row>
    <row r="62" spans="1:4" x14ac:dyDescent="0.2">
      <c r="A62" s="634"/>
      <c r="B62" s="634"/>
      <c r="C62" s="1000"/>
      <c r="D62" s="1140"/>
    </row>
    <row r="63" spans="1:4" x14ac:dyDescent="0.2">
      <c r="A63" s="634"/>
      <c r="B63" s="634"/>
      <c r="C63" s="1000"/>
      <c r="D63" s="1140"/>
    </row>
    <row r="64" spans="1:4" x14ac:dyDescent="0.2">
      <c r="A64" s="634"/>
      <c r="B64" s="634"/>
      <c r="C64" s="1000"/>
      <c r="D64" s="1140"/>
    </row>
    <row r="65" spans="1:4" x14ac:dyDescent="0.2">
      <c r="A65" s="634"/>
      <c r="B65" s="634"/>
      <c r="C65" s="1000"/>
      <c r="D65" s="1140"/>
    </row>
    <row r="66" spans="1:4" x14ac:dyDescent="0.2">
      <c r="A66" s="634"/>
      <c r="B66" s="634"/>
      <c r="C66" s="1000"/>
      <c r="D66" s="1140"/>
    </row>
    <row r="67" spans="1:4" x14ac:dyDescent="0.2">
      <c r="A67" s="634"/>
      <c r="B67" s="634"/>
      <c r="C67" s="1000"/>
      <c r="D67" s="1140"/>
    </row>
    <row r="68" spans="1:4" x14ac:dyDescent="0.2">
      <c r="A68" s="634"/>
      <c r="B68" s="634"/>
      <c r="C68" s="1000"/>
      <c r="D68" s="1140"/>
    </row>
    <row r="69" spans="1:4" x14ac:dyDescent="0.2">
      <c r="A69" s="634"/>
      <c r="B69" s="634"/>
      <c r="C69" s="1000"/>
      <c r="D69" s="1140"/>
    </row>
    <row r="70" spans="1:4" x14ac:dyDescent="0.2">
      <c r="A70" s="634"/>
      <c r="B70" s="634"/>
      <c r="C70" s="1000"/>
      <c r="D70" s="1140"/>
    </row>
    <row r="71" spans="1:4" x14ac:dyDescent="0.2">
      <c r="A71" s="634"/>
      <c r="B71" s="634"/>
      <c r="C71" s="1000"/>
      <c r="D71" s="1140"/>
    </row>
    <row r="72" spans="1:4" x14ac:dyDescent="0.2">
      <c r="A72" s="634"/>
      <c r="B72" s="634"/>
      <c r="C72" s="1000"/>
      <c r="D72" s="1140"/>
    </row>
    <row r="73" spans="1:4" x14ac:dyDescent="0.2">
      <c r="A73" s="634"/>
      <c r="B73" s="634"/>
      <c r="C73" s="1000"/>
      <c r="D73" s="1140"/>
    </row>
    <row r="74" spans="1:4" x14ac:dyDescent="0.2">
      <c r="A74" s="634"/>
      <c r="B74" s="634"/>
      <c r="C74" s="1000"/>
      <c r="D74" s="1140"/>
    </row>
    <row r="75" spans="1:4" x14ac:dyDescent="0.2">
      <c r="A75" s="634"/>
      <c r="B75" s="634"/>
      <c r="C75" s="1000"/>
      <c r="D75" s="1140"/>
    </row>
    <row r="76" spans="1:4" x14ac:dyDescent="0.2">
      <c r="A76" s="634"/>
      <c r="B76" s="634"/>
      <c r="C76" s="1000"/>
      <c r="D76" s="1140"/>
    </row>
    <row r="77" spans="1:4" x14ac:dyDescent="0.2">
      <c r="A77" s="634"/>
      <c r="B77" s="634"/>
      <c r="C77" s="1000"/>
      <c r="D77" s="1140"/>
    </row>
    <row r="78" spans="1:4" x14ac:dyDescent="0.2">
      <c r="A78" s="634"/>
      <c r="B78" s="634"/>
      <c r="C78" s="1000"/>
      <c r="D78" s="1140"/>
    </row>
    <row r="79" spans="1:4" x14ac:dyDescent="0.2">
      <c r="A79" s="634"/>
      <c r="B79" s="634"/>
      <c r="C79" s="1000"/>
      <c r="D79" s="1140"/>
    </row>
    <row r="80" spans="1:4" x14ac:dyDescent="0.2">
      <c r="A80" s="634"/>
      <c r="B80" s="634"/>
      <c r="C80" s="1000"/>
      <c r="D80" s="1140"/>
    </row>
    <row r="81" spans="1:4" x14ac:dyDescent="0.2">
      <c r="A81" s="634"/>
      <c r="B81" s="634"/>
      <c r="C81" s="1000"/>
      <c r="D81" s="1140"/>
    </row>
    <row r="82" spans="1:4" x14ac:dyDescent="0.2">
      <c r="A82" s="634"/>
      <c r="B82" s="634"/>
      <c r="C82" s="1000"/>
      <c r="D82" s="1140"/>
    </row>
    <row r="83" spans="1:4" x14ac:dyDescent="0.2">
      <c r="A83" s="634"/>
      <c r="B83" s="634"/>
      <c r="C83" s="1000"/>
      <c r="D83" s="1140"/>
    </row>
    <row r="84" spans="1:4" x14ac:dyDescent="0.2">
      <c r="A84" s="634"/>
      <c r="B84" s="634"/>
      <c r="C84" s="1000"/>
      <c r="D84" s="1140"/>
    </row>
    <row r="85" spans="1:4" x14ac:dyDescent="0.2">
      <c r="A85" s="634"/>
      <c r="B85" s="634"/>
      <c r="C85" s="1000"/>
      <c r="D85" s="1140"/>
    </row>
    <row r="86" spans="1:4" x14ac:dyDescent="0.2">
      <c r="A86" s="634"/>
      <c r="B86" s="634"/>
      <c r="C86" s="1000"/>
      <c r="D86" s="1140"/>
    </row>
    <row r="87" spans="1:4" x14ac:dyDescent="0.2">
      <c r="A87" s="634"/>
      <c r="B87" s="634"/>
      <c r="C87" s="1000"/>
      <c r="D87" s="1140"/>
    </row>
    <row r="88" spans="1:4" x14ac:dyDescent="0.2">
      <c r="A88" s="634"/>
      <c r="B88" s="634"/>
      <c r="C88" s="1000"/>
      <c r="D88" s="1140"/>
    </row>
    <row r="89" spans="1:4" x14ac:dyDescent="0.2">
      <c r="A89" s="634"/>
      <c r="B89" s="634"/>
      <c r="C89" s="1000"/>
      <c r="D89" s="1140"/>
    </row>
    <row r="90" spans="1:4" x14ac:dyDescent="0.2">
      <c r="A90" s="634"/>
      <c r="B90" s="634"/>
      <c r="C90" s="1000"/>
      <c r="D90" s="1140"/>
    </row>
    <row r="91" spans="1:4" x14ac:dyDescent="0.2">
      <c r="A91" s="634"/>
      <c r="B91" s="634"/>
      <c r="C91" s="1000"/>
      <c r="D91" s="1140"/>
    </row>
    <row r="92" spans="1:4" x14ac:dyDescent="0.2">
      <c r="A92" s="634"/>
      <c r="B92" s="634"/>
      <c r="C92" s="1000"/>
      <c r="D92" s="1140"/>
    </row>
    <row r="93" spans="1:4" x14ac:dyDescent="0.2">
      <c r="A93" s="634"/>
      <c r="B93" s="634"/>
      <c r="C93" s="1000"/>
      <c r="D93" s="1140"/>
    </row>
    <row r="94" spans="1:4" x14ac:dyDescent="0.2">
      <c r="A94" s="634"/>
      <c r="B94" s="634"/>
      <c r="C94" s="1000"/>
      <c r="D94" s="1140"/>
    </row>
    <row r="95" spans="1:4" x14ac:dyDescent="0.2">
      <c r="A95" s="634"/>
      <c r="B95" s="634"/>
      <c r="C95" s="1000"/>
      <c r="D95" s="1140"/>
    </row>
    <row r="96" spans="1:4" x14ac:dyDescent="0.2">
      <c r="A96" s="634"/>
      <c r="B96" s="634"/>
      <c r="C96" s="1000"/>
      <c r="D96" s="1140"/>
    </row>
    <row r="97" spans="1:4" x14ac:dyDescent="0.2">
      <c r="A97" s="634"/>
      <c r="B97" s="634"/>
      <c r="C97" s="1000"/>
      <c r="D97" s="1140"/>
    </row>
    <row r="98" spans="1:4" x14ac:dyDescent="0.2">
      <c r="A98" s="634"/>
      <c r="B98" s="634"/>
      <c r="C98" s="1000"/>
      <c r="D98" s="1140"/>
    </row>
    <row r="99" spans="1:4" x14ac:dyDescent="0.2">
      <c r="A99" s="1003"/>
      <c r="B99" s="1003"/>
      <c r="C99" s="1125"/>
      <c r="D99" s="1140"/>
    </row>
    <row r="100" spans="1:4" x14ac:dyDescent="0.2">
      <c r="A100" s="1142"/>
      <c r="B100" s="1142"/>
      <c r="C100" s="1143"/>
      <c r="D100" s="635"/>
    </row>
    <row r="101" spans="1:4" x14ac:dyDescent="0.2">
      <c r="A101" s="634"/>
      <c r="B101" s="634"/>
      <c r="C101" s="993"/>
      <c r="D101" s="635"/>
    </row>
    <row r="102" spans="1:4" x14ac:dyDescent="0.2">
      <c r="A102" s="634"/>
      <c r="B102" s="634"/>
      <c r="C102" s="993"/>
      <c r="D102" s="635"/>
    </row>
    <row r="103" spans="1:4" x14ac:dyDescent="0.2">
      <c r="A103" s="634"/>
      <c r="B103" s="634"/>
      <c r="C103" s="993"/>
      <c r="D103" s="635"/>
    </row>
    <row r="104" spans="1:4" x14ac:dyDescent="0.2">
      <c r="A104" s="634"/>
      <c r="B104" s="634"/>
      <c r="C104" s="993"/>
      <c r="D104" s="635"/>
    </row>
    <row r="105" spans="1:4" x14ac:dyDescent="0.2">
      <c r="A105" s="634"/>
      <c r="B105" s="634"/>
      <c r="C105" s="993"/>
      <c r="D105" s="635"/>
    </row>
  </sheetData>
  <sheetProtection algorithmName="SHA-512" hashValue="+mhrIMoLfCQjlH+XYY1ha6DUErmupuOnf9YAf/6PJnzFzCe2J9z+BYyvPCw08gPwK7YFcaf9zyc8j1IgUw2LFg==" saltValue="TXTtV/rqvp8OwhXl7dljrg==" spinCount="100000" sheet="1" objects="1" scenarios="1"/>
  <phoneticPr fontId="16" type="noConversion"/>
  <dataValidations count="3">
    <dataValidation type="textLength" allowBlank="1" showInputMessage="1" showErrorMessage="1" sqref="C101:C65536 B6:B65536" xr:uid="{00000000-0002-0000-0400-000000000000}">
      <formula1>1</formula1>
      <formula2>4</formula2>
    </dataValidation>
    <dataValidation type="textLength" allowBlank="1" showInputMessage="1" showErrorMessage="1" sqref="A6:A65536 A2:A4" xr:uid="{00000000-0002-0000-0400-000001000000}">
      <formula1>1</formula1>
      <formula2>13</formula2>
    </dataValidation>
    <dataValidation type="textLength" allowBlank="1" showInputMessage="1" showErrorMessage="1" sqref="C6:C100" xr:uid="{00000000-0002-0000-0400-000002000000}">
      <formula1>0</formula1>
      <formula2>999999999</formula2>
    </dataValidation>
  </dataValidations>
  <printOptions horizontalCentered="1"/>
  <pageMargins left="0.78" right="0.75" top="1" bottom="1" header="0.5" footer="0.5"/>
  <pageSetup orientation="portrait" r:id="rId1"/>
  <headerFooter alignWithMargins="0">
    <oddHeader>&amp;R&amp;"Arial,Bold"October 2022</oddHeader>
  </headerFooter>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pageSetUpPr fitToPage="1"/>
  </sheetPr>
  <dimension ref="A1:P42"/>
  <sheetViews>
    <sheetView showGridLines="0" zoomScaleNormal="100" workbookViewId="0">
      <extLst>
        <ext xmlns:xlsdti="http://schemas.microsoft.com/office/spreadsheetml/2023/showDataTypeIcons" uri="{77bfe23e-c014-4d31-8a63-9c772dbf06b6}">
          <xlsdti:showDataTypeIcons visible="0"/>
        </ext>
      </extLst>
    </sheetView>
  </sheetViews>
  <sheetFormatPr defaultColWidth="9.140625" defaultRowHeight="12.75" x14ac:dyDescent="0.2"/>
  <cols>
    <col min="1" max="6" width="11.7109375" style="483" customWidth="1"/>
    <col min="7" max="7" width="15.140625" style="483" customWidth="1"/>
    <col min="8" max="8" width="20" style="483" customWidth="1"/>
    <col min="9" max="10" width="10.7109375" style="483" customWidth="1"/>
    <col min="11" max="16384" width="9.140625" style="483"/>
  </cols>
  <sheetData>
    <row r="1" spans="1:12" s="473" customFormat="1" ht="12" customHeight="1" thickTop="1" x14ac:dyDescent="0.2">
      <c r="A1" s="470"/>
      <c r="B1" s="471"/>
      <c r="C1" s="471"/>
      <c r="D1" s="471"/>
      <c r="E1" s="471"/>
      <c r="F1" s="471"/>
      <c r="G1" s="471"/>
      <c r="H1" s="472" t="str">
        <f>'Design Data'!U2</f>
        <v>January 2026</v>
      </c>
      <c r="J1" s="474"/>
    </row>
    <row r="2" spans="1:12" s="473" customFormat="1" ht="12" customHeight="1" x14ac:dyDescent="0.2">
      <c r="A2" s="475" t="s">
        <v>75</v>
      </c>
      <c r="B2" s="476"/>
      <c r="C2" s="476"/>
      <c r="D2" s="476"/>
      <c r="E2" s="476"/>
      <c r="F2" s="476"/>
      <c r="G2" s="476"/>
      <c r="H2" s="477"/>
      <c r="J2" s="474"/>
    </row>
    <row r="3" spans="1:12" s="473" customFormat="1" ht="12" customHeight="1" x14ac:dyDescent="0.2">
      <c r="A3" s="475" t="s">
        <v>76</v>
      </c>
      <c r="B3" s="476"/>
      <c r="C3" s="476"/>
      <c r="D3" s="476"/>
      <c r="E3" s="476"/>
      <c r="F3" s="476"/>
      <c r="G3" s="476"/>
      <c r="H3" s="477"/>
      <c r="J3" s="474"/>
    </row>
    <row r="4" spans="1:12" s="473" customFormat="1" ht="12" customHeight="1" x14ac:dyDescent="0.2">
      <c r="A4" s="475" t="s">
        <v>77</v>
      </c>
      <c r="B4" s="476"/>
      <c r="C4" s="476"/>
      <c r="D4" s="476"/>
      <c r="E4" s="476"/>
      <c r="F4" s="476"/>
      <c r="G4" s="476"/>
      <c r="H4" s="477"/>
      <c r="J4" s="474"/>
    </row>
    <row r="5" spans="1:12" s="473" customFormat="1" ht="12" customHeight="1" thickBot="1" x14ac:dyDescent="0.25">
      <c r="A5" s="478"/>
      <c r="B5" s="479"/>
      <c r="C5" s="479"/>
      <c r="D5" s="479"/>
      <c r="E5" s="479"/>
      <c r="F5" s="479"/>
      <c r="G5" s="479"/>
      <c r="H5" s="480"/>
      <c r="J5" s="474"/>
    </row>
    <row r="6" spans="1:12" ht="20.100000000000001" customHeight="1" thickTop="1" x14ac:dyDescent="0.25">
      <c r="A6" s="481" t="s">
        <v>255</v>
      </c>
      <c r="B6" s="482"/>
      <c r="C6" s="482"/>
      <c r="D6" s="482"/>
      <c r="E6" s="482"/>
      <c r="F6" s="482"/>
      <c r="G6" s="482"/>
      <c r="H6" s="482"/>
      <c r="J6" s="482"/>
    </row>
    <row r="7" spans="1:12" ht="15" customHeight="1" x14ac:dyDescent="0.2">
      <c r="A7" s="483" t="s">
        <v>256</v>
      </c>
      <c r="C7" s="484" t="str">
        <f>IF('Design Data'!K10="","",(CONCATENATE("# ",'Design Data'!H10,", ",'Design Data'!K10," County")))</f>
        <v/>
      </c>
      <c r="D7" s="485"/>
      <c r="E7" s="485"/>
      <c r="F7" s="483" t="s">
        <v>252</v>
      </c>
      <c r="G7" s="1685" t="str">
        <f>'Chart Data'!W14</f>
        <v/>
      </c>
      <c r="H7" s="1685"/>
    </row>
    <row r="8" spans="1:12" ht="15" customHeight="1" x14ac:dyDescent="0.2">
      <c r="A8" s="483" t="s">
        <v>257</v>
      </c>
      <c r="C8" s="486"/>
      <c r="D8" s="487"/>
      <c r="E8" s="487"/>
      <c r="G8" s="1686"/>
      <c r="H8" s="1686"/>
    </row>
    <row r="9" spans="1:12" ht="15" customHeight="1" x14ac:dyDescent="0.2">
      <c r="A9" s="483" t="s">
        <v>259</v>
      </c>
      <c r="C9" s="488"/>
      <c r="D9" s="487"/>
      <c r="E9" s="487"/>
      <c r="F9" s="483" t="s">
        <v>260</v>
      </c>
      <c r="G9" s="488"/>
      <c r="H9" s="486"/>
    </row>
    <row r="10" spans="1:12" ht="15" customHeight="1" x14ac:dyDescent="0.2">
      <c r="A10" s="483" t="s">
        <v>261</v>
      </c>
      <c r="C10" s="579" t="s">
        <v>262</v>
      </c>
      <c r="D10" s="489"/>
      <c r="E10" s="489"/>
      <c r="F10" s="483" t="s">
        <v>258</v>
      </c>
      <c r="G10" s="1683"/>
      <c r="H10" s="1684"/>
    </row>
    <row r="11" spans="1:12" ht="26.1" customHeight="1" x14ac:dyDescent="0.2">
      <c r="A11" s="490" t="s">
        <v>263</v>
      </c>
      <c r="C11" s="491"/>
      <c r="D11" s="492"/>
      <c r="E11" s="493"/>
    </row>
    <row r="12" spans="1:12" ht="24.95" customHeight="1" thickBot="1" x14ac:dyDescent="0.3">
      <c r="A12" s="481" t="s">
        <v>264</v>
      </c>
      <c r="B12" s="482"/>
      <c r="C12" s="482"/>
      <c r="D12" s="482"/>
      <c r="E12" s="482"/>
      <c r="F12" s="482"/>
      <c r="G12" s="482"/>
      <c r="H12" s="482"/>
      <c r="J12"/>
      <c r="K12"/>
      <c r="L12"/>
    </row>
    <row r="13" spans="1:12" ht="15" thickTop="1" x14ac:dyDescent="0.25">
      <c r="A13"/>
      <c r="B13" s="494" t="s">
        <v>133</v>
      </c>
      <c r="C13" s="497" t="s">
        <v>265</v>
      </c>
      <c r="D13" s="497" t="s">
        <v>266</v>
      </c>
      <c r="E13" s="498" t="s">
        <v>267</v>
      </c>
      <c r="F13" s="499" t="s">
        <v>268</v>
      </c>
      <c r="G13" s="500" t="s">
        <v>136</v>
      </c>
      <c r="J13" s="494" t="s">
        <v>135</v>
      </c>
      <c r="K13" s="495" t="s">
        <v>269</v>
      </c>
      <c r="L13" s="496" t="s">
        <v>270</v>
      </c>
    </row>
    <row r="14" spans="1:12" ht="13.5" thickBot="1" x14ac:dyDescent="0.25">
      <c r="A14"/>
      <c r="B14" s="504"/>
      <c r="C14" s="505"/>
      <c r="D14" s="505" t="s">
        <v>152</v>
      </c>
      <c r="E14" s="505" t="s">
        <v>152</v>
      </c>
      <c r="F14" s="506" t="s">
        <v>152</v>
      </c>
      <c r="G14" s="507"/>
      <c r="J14" s="501" t="s">
        <v>271</v>
      </c>
      <c r="K14" s="502" t="s">
        <v>271</v>
      </c>
      <c r="L14" s="503"/>
    </row>
    <row r="15" spans="1:12" ht="18" customHeight="1" thickTop="1" x14ac:dyDescent="0.2">
      <c r="A15"/>
      <c r="B15" s="515"/>
      <c r="C15" s="511">
        <v>1</v>
      </c>
      <c r="D15" s="512"/>
      <c r="E15" s="512"/>
      <c r="F15" s="513"/>
      <c r="G15" s="514" t="str">
        <f>IF(D15="","",(D15/(F15-E15)))</f>
        <v/>
      </c>
      <c r="H15" s="516" t="s">
        <v>74</v>
      </c>
      <c r="I15" s="516" t="s">
        <v>74</v>
      </c>
      <c r="J15" s="508" t="str">
        <f>IF(F15="","",(F15-E15))</f>
        <v/>
      </c>
      <c r="K15" s="509" t="str">
        <f>IF(D15="","",(D15/J15))</f>
        <v/>
      </c>
      <c r="L15" s="510" t="str">
        <f>IF(K15="","",(K15*62.4))</f>
        <v/>
      </c>
    </row>
    <row r="16" spans="1:12" ht="18" customHeight="1" thickBot="1" x14ac:dyDescent="0.25">
      <c r="A16"/>
      <c r="B16" s="576"/>
      <c r="C16" s="505">
        <v>2</v>
      </c>
      <c r="D16" s="517"/>
      <c r="E16" s="517"/>
      <c r="F16" s="518"/>
      <c r="G16" s="519" t="str">
        <f>IF(D16="","",(D16/(F16-E16)))</f>
        <v/>
      </c>
      <c r="H16" s="483" t="s">
        <v>74</v>
      </c>
      <c r="I16" s="483" t="s">
        <v>74</v>
      </c>
      <c r="J16" s="508" t="str">
        <f>IF(F16="","",(F16-E16))</f>
        <v/>
      </c>
      <c r="K16" s="509" t="str">
        <f>IF(D16="","",(D16/J16))</f>
        <v/>
      </c>
      <c r="L16" s="510" t="str">
        <f>IF(K16="","",(K16*62.4))</f>
        <v/>
      </c>
    </row>
    <row r="17" spans="1:16" ht="24.95" customHeight="1" thickTop="1" thickBot="1" x14ac:dyDescent="0.35">
      <c r="A17" s="481" t="s">
        <v>272</v>
      </c>
      <c r="B17" s="482"/>
      <c r="C17" s="482"/>
      <c r="D17" s="482"/>
      <c r="E17" s="482"/>
      <c r="F17" s="482"/>
      <c r="G17" s="482"/>
      <c r="H17" s="482"/>
      <c r="I17" s="483" t="s">
        <v>74</v>
      </c>
      <c r="J17" s="520" t="str">
        <f>IF(J15="","",(SUM(J15:J16)/2))</f>
        <v/>
      </c>
      <c r="K17" s="521" t="str">
        <f>IF(K15="","",AVERAGE(K15:K16))</f>
        <v/>
      </c>
      <c r="L17" s="522" t="str">
        <f>IF(L15="","",AVERAGE(L15:L16))</f>
        <v/>
      </c>
    </row>
    <row r="18" spans="1:16" ht="20.100000000000001" customHeight="1" thickTop="1" x14ac:dyDescent="0.2">
      <c r="A18" s="523" t="s">
        <v>273</v>
      </c>
      <c r="B18" s="524"/>
      <c r="C18" s="524"/>
      <c r="D18" s="524"/>
      <c r="E18" s="892"/>
      <c r="F18" s="525"/>
      <c r="G18" s="526"/>
      <c r="I18" s="483" t="s">
        <v>74</v>
      </c>
      <c r="J18" s="502" t="s">
        <v>271</v>
      </c>
      <c r="L18" s="502" t="s">
        <v>271</v>
      </c>
    </row>
    <row r="19" spans="1:16" ht="20.100000000000001" customHeight="1" x14ac:dyDescent="0.2">
      <c r="A19" s="527" t="s">
        <v>274</v>
      </c>
      <c r="B19" s="528"/>
      <c r="C19" s="528"/>
      <c r="D19" s="528"/>
      <c r="E19" s="534"/>
      <c r="F19" s="529"/>
      <c r="G19" s="530"/>
    </row>
    <row r="20" spans="1:16" ht="20.100000000000001" customHeight="1" thickBot="1" x14ac:dyDescent="0.25">
      <c r="A20" s="527" t="s">
        <v>275</v>
      </c>
      <c r="B20" s="528"/>
      <c r="C20" s="528"/>
      <c r="D20" s="528"/>
      <c r="E20" s="553" t="str">
        <f>IF(E18="","",E18-E19)</f>
        <v/>
      </c>
      <c r="F20" s="531" t="str">
        <f>IF(F18="","",F18-F19)</f>
        <v/>
      </c>
      <c r="G20" s="532" t="str">
        <f>IF(G18="","",G18-G19)</f>
        <v/>
      </c>
      <c r="J20" s="533" t="s">
        <v>271</v>
      </c>
      <c r="L20" s="502" t="s">
        <v>271</v>
      </c>
    </row>
    <row r="21" spans="1:16" ht="20.100000000000001" customHeight="1" thickTop="1" x14ac:dyDescent="0.2">
      <c r="A21" s="527" t="s">
        <v>276</v>
      </c>
      <c r="B21" s="528"/>
      <c r="C21" s="528"/>
      <c r="D21" s="528"/>
      <c r="E21" s="534"/>
      <c r="F21" s="512"/>
      <c r="G21" s="535"/>
      <c r="J21" s="536" t="s">
        <v>277</v>
      </c>
      <c r="K21" s="537" t="str">
        <f>IF(C33="","",C33)</f>
        <v/>
      </c>
    </row>
    <row r="22" spans="1:16" ht="20.100000000000001" customHeight="1" x14ac:dyDescent="0.2">
      <c r="A22" s="527" t="s">
        <v>278</v>
      </c>
      <c r="B22" s="528"/>
      <c r="C22" s="528"/>
      <c r="D22" s="538"/>
      <c r="E22" s="544" t="str">
        <f>IF(E18="","",E20+E21)</f>
        <v/>
      </c>
      <c r="F22" s="539" t="str">
        <f>IF(F18="","",F20+F21)</f>
        <v/>
      </c>
      <c r="G22" s="540" t="str">
        <f>IF(G18="","",G20+G21)</f>
        <v/>
      </c>
      <c r="H22" s="493" t="s">
        <v>161</v>
      </c>
      <c r="J22" s="541" t="s">
        <v>283</v>
      </c>
      <c r="K22" s="542">
        <v>1.03</v>
      </c>
    </row>
    <row r="23" spans="1:16" ht="20.100000000000001" customHeight="1" x14ac:dyDescent="0.2">
      <c r="A23" s="527" t="s">
        <v>284</v>
      </c>
      <c r="B23" s="528"/>
      <c r="C23" s="528"/>
      <c r="D23" s="528"/>
      <c r="E23" s="534"/>
      <c r="F23" s="512"/>
      <c r="G23" s="535"/>
      <c r="H23" s="543"/>
      <c r="J23" s="541"/>
      <c r="K23" s="503"/>
    </row>
    <row r="24" spans="1:16" ht="20.100000000000001" customHeight="1" thickBot="1" x14ac:dyDescent="0.25">
      <c r="A24" s="527" t="s">
        <v>285</v>
      </c>
      <c r="B24" s="528"/>
      <c r="C24" s="528"/>
      <c r="D24" s="503"/>
      <c r="E24" s="544" t="str">
        <f>IF(E18="","",E22-E23)</f>
        <v/>
      </c>
      <c r="F24" s="539" t="str">
        <f>IF(F18="","",F22-F23)</f>
        <v/>
      </c>
      <c r="G24" s="540" t="str">
        <f>IF(G18="","",G22-G23)</f>
        <v/>
      </c>
      <c r="H24" s="543"/>
      <c r="J24" s="545" t="s">
        <v>286</v>
      </c>
      <c r="K24" s="546" t="str">
        <f>IF(H25="","",IF(H28="",(100-B15)/((100/H25)-(B15/K22)),(100-B15)/((100/H28)-(B15/K22))))</f>
        <v/>
      </c>
    </row>
    <row r="25" spans="1:16" ht="20.100000000000001" customHeight="1" thickTop="1" thickBot="1" x14ac:dyDescent="0.3">
      <c r="A25" s="527" t="s">
        <v>287</v>
      </c>
      <c r="B25" s="528"/>
      <c r="C25" s="528"/>
      <c r="D25" s="547"/>
      <c r="E25" s="548" t="str">
        <f>IF(E18="","",E20/E24)</f>
        <v/>
      </c>
      <c r="F25" s="549" t="str">
        <f>IF(F18="","",F20/F24)</f>
        <v/>
      </c>
      <c r="G25" s="550" t="str">
        <f>IF(G18="","",G20/G24)</f>
        <v/>
      </c>
      <c r="H25" s="551" t="str">
        <f>IF(E25="","",AVERAGE(E25:G25))</f>
        <v/>
      </c>
    </row>
    <row r="26" spans="1:16" ht="20.100000000000001" customHeight="1" thickTop="1" x14ac:dyDescent="0.2">
      <c r="A26" s="527" t="s">
        <v>288</v>
      </c>
      <c r="B26" s="528"/>
      <c r="C26" s="528"/>
      <c r="D26" s="552"/>
      <c r="E26" s="534"/>
      <c r="F26" s="529"/>
      <c r="G26" s="530"/>
    </row>
    <row r="27" spans="1:16" ht="20.100000000000001" customHeight="1" thickBot="1" x14ac:dyDescent="0.25">
      <c r="A27" s="527" t="s">
        <v>375</v>
      </c>
      <c r="B27" s="528"/>
      <c r="C27" s="528"/>
      <c r="D27" s="528"/>
      <c r="E27" s="553" t="str">
        <f>IF(E26="","",E24+E26)</f>
        <v/>
      </c>
      <c r="F27" s="554" t="str">
        <f>IF(F26="","",F24+F26)</f>
        <v/>
      </c>
      <c r="G27" s="555" t="str">
        <f>IF(G26="","",G24+G26)</f>
        <v/>
      </c>
    </row>
    <row r="28" spans="1:16" ht="20.100000000000001" customHeight="1" thickTop="1" thickBot="1" x14ac:dyDescent="0.3">
      <c r="A28" s="545" t="s">
        <v>376</v>
      </c>
      <c r="B28" s="556"/>
      <c r="C28" s="556"/>
      <c r="D28" s="556"/>
      <c r="E28" s="557" t="str">
        <f>IF(E27="","",E20/E27)</f>
        <v/>
      </c>
      <c r="F28" s="558" t="str">
        <f>IF(F27="","",F20/F27)</f>
        <v/>
      </c>
      <c r="G28" s="559" t="str">
        <f>IF(G27="","",G20/G27)</f>
        <v/>
      </c>
      <c r="H28" s="551" t="str">
        <f>IF(E28="","",AVERAGE(E28:G28))</f>
        <v/>
      </c>
    </row>
    <row r="29" spans="1:16" ht="24.95" customHeight="1" thickTop="1" thickBot="1" x14ac:dyDescent="0.3">
      <c r="A29" s="481" t="s">
        <v>377</v>
      </c>
      <c r="B29" s="482"/>
      <c r="C29" s="482"/>
      <c r="D29" s="482"/>
      <c r="E29" s="482"/>
      <c r="F29" s="482"/>
      <c r="G29" s="482"/>
      <c r="H29" s="482"/>
    </row>
    <row r="30" spans="1:16" ht="18" customHeight="1" thickTop="1" x14ac:dyDescent="0.2">
      <c r="A30" s="523" t="s">
        <v>378</v>
      </c>
      <c r="B30" s="524"/>
      <c r="C30" s="560" t="str">
        <f>IF(L17="","",L17)</f>
        <v/>
      </c>
      <c r="D30" s="568" t="s">
        <v>379</v>
      </c>
      <c r="E30" s="569" t="str">
        <f>IF($C$33="","",('Design Data'!$T$28/E32))</f>
        <v/>
      </c>
      <c r="F30" s="645" t="s">
        <v>380</v>
      </c>
      <c r="G30" s="524"/>
      <c r="H30" s="570" t="str">
        <f>IF(B15="","",B15)</f>
        <v/>
      </c>
      <c r="J30"/>
      <c r="K30"/>
      <c r="L30"/>
      <c r="M30"/>
      <c r="N30"/>
    </row>
    <row r="31" spans="1:16" ht="18" customHeight="1" x14ac:dyDescent="0.25">
      <c r="A31" s="527" t="s">
        <v>381</v>
      </c>
      <c r="B31" s="528"/>
      <c r="C31" s="555" t="str">
        <f>IF(E31="","",((+E31-K17)/E31)*100)</f>
        <v/>
      </c>
      <c r="D31" s="528" t="s">
        <v>382</v>
      </c>
      <c r="E31" s="561" t="str">
        <f>IF(H28="",H25,H28)</f>
        <v/>
      </c>
      <c r="F31" s="528" t="s">
        <v>383</v>
      </c>
      <c r="G31" s="528"/>
      <c r="H31" s="555" t="str">
        <f>IF(C33="","",(100-(K17*(100-B15)/C33)))</f>
        <v/>
      </c>
      <c r="J31"/>
      <c r="K31"/>
      <c r="L31"/>
      <c r="M31"/>
      <c r="N31"/>
    </row>
    <row r="32" spans="1:16" ht="18" customHeight="1" x14ac:dyDescent="0.2">
      <c r="A32" s="527" t="s">
        <v>384</v>
      </c>
      <c r="B32" s="528"/>
      <c r="C32" s="555" t="str">
        <f>IF(C31="","",(H31-C31)/H31*100)</f>
        <v/>
      </c>
      <c r="D32" s="528" t="s">
        <v>385</v>
      </c>
      <c r="E32" s="555" t="str">
        <f>IF(B15="","",(B15-H32))</f>
        <v/>
      </c>
      <c r="F32" s="528" t="s">
        <v>386</v>
      </c>
      <c r="G32" s="528"/>
      <c r="H32" s="562" t="str">
        <f>IF(E33="","",(K24-K21)/(K24*K21)*K22*(100-E33))</f>
        <v/>
      </c>
      <c r="J32"/>
      <c r="K32"/>
      <c r="L32"/>
      <c r="M32"/>
      <c r="N32"/>
      <c r="P32" s="563" t="s">
        <v>74</v>
      </c>
    </row>
    <row r="33" spans="1:14" ht="18" customHeight="1" thickBot="1" x14ac:dyDescent="0.3">
      <c r="A33" s="545" t="s">
        <v>387</v>
      </c>
      <c r="B33" s="556"/>
      <c r="C33" s="564"/>
      <c r="D33" s="556" t="s">
        <v>388</v>
      </c>
      <c r="E33" s="559" t="str">
        <f>K24</f>
        <v/>
      </c>
      <c r="F33" s="556" t="s">
        <v>389</v>
      </c>
      <c r="G33" s="556"/>
      <c r="H33" s="565" t="str">
        <f>IF('Design Data'!H20="","",'Design Data'!H20)</f>
        <v/>
      </c>
      <c r="J33"/>
      <c r="K33"/>
      <c r="L33"/>
      <c r="M33"/>
      <c r="N33"/>
    </row>
    <row r="34" spans="1:14" ht="20.100000000000001" customHeight="1" thickTop="1" x14ac:dyDescent="0.2">
      <c r="A34" s="490"/>
      <c r="J34"/>
      <c r="K34"/>
      <c r="L34"/>
      <c r="M34"/>
      <c r="N34"/>
    </row>
    <row r="35" spans="1:14" ht="20.100000000000001" customHeight="1" x14ac:dyDescent="0.2">
      <c r="A35" s="483" t="s">
        <v>390</v>
      </c>
      <c r="D35" s="566"/>
      <c r="E35" s="567"/>
      <c r="F35" s="567"/>
      <c r="G35" s="567"/>
      <c r="H35" s="567"/>
      <c r="J35"/>
      <c r="K35"/>
    </row>
    <row r="36" spans="1:14" ht="20.100000000000001" customHeight="1" x14ac:dyDescent="0.2">
      <c r="A36" s="567"/>
      <c r="B36" s="567"/>
      <c r="C36" s="567"/>
      <c r="D36" s="567"/>
      <c r="E36" s="567"/>
      <c r="F36" s="567"/>
      <c r="G36" s="567"/>
      <c r="H36" s="567"/>
      <c r="K36" s="483" t="s">
        <v>74</v>
      </c>
    </row>
    <row r="37" spans="1:14" ht="20.100000000000001" customHeight="1" x14ac:dyDescent="0.2">
      <c r="A37" s="567"/>
      <c r="B37" s="567"/>
      <c r="C37" s="567"/>
      <c r="D37" s="567"/>
      <c r="E37" s="567"/>
      <c r="F37" s="567"/>
      <c r="G37" s="567"/>
      <c r="H37" s="567"/>
      <c r="K37" s="483" t="s">
        <v>74</v>
      </c>
    </row>
    <row r="38" spans="1:14" ht="15" customHeight="1" x14ac:dyDescent="0.2">
      <c r="A38"/>
      <c r="B38"/>
      <c r="C38"/>
      <c r="D38"/>
      <c r="E38"/>
      <c r="F38"/>
      <c r="G38"/>
      <c r="H38"/>
    </row>
    <row r="39" spans="1:14" ht="15" customHeight="1" x14ac:dyDescent="0.2">
      <c r="A39"/>
      <c r="B39"/>
      <c r="C39"/>
      <c r="D39"/>
      <c r="E39"/>
      <c r="F39"/>
      <c r="G39"/>
      <c r="H39"/>
    </row>
    <row r="40" spans="1:14" ht="15" customHeight="1" x14ac:dyDescent="0.2">
      <c r="A40"/>
      <c r="B40"/>
      <c r="C40"/>
      <c r="D40"/>
      <c r="E40"/>
      <c r="F40"/>
      <c r="G40"/>
      <c r="H40"/>
    </row>
    <row r="41" spans="1:14" ht="15" customHeight="1" x14ac:dyDescent="0.2">
      <c r="A41"/>
      <c r="B41"/>
      <c r="C41"/>
      <c r="D41"/>
      <c r="E41"/>
      <c r="F41"/>
      <c r="G41"/>
      <c r="H41"/>
    </row>
    <row r="42" spans="1:14" ht="15" customHeight="1" x14ac:dyDescent="0.2">
      <c r="A42"/>
      <c r="B42"/>
      <c r="C42"/>
      <c r="D42"/>
      <c r="E42"/>
      <c r="F42"/>
      <c r="G42"/>
      <c r="H42"/>
    </row>
  </sheetData>
  <sheetProtection algorithmName="SHA-512" hashValue="WofhCS4v1RjsEVPYZDYG0kVGZEnb8C/CVL5VGZs83Rmi1mFWS/AEZlE8v46Ybc4M+x/7J9kmc1zUbNOzy0ClLg==" saltValue="ICEtDrsbHUsRbgJhHiQ4bQ==" spinCount="100000" sheet="1" objects="1" scenarios="1"/>
  <mergeCells count="2">
    <mergeCell ref="G10:H10"/>
    <mergeCell ref="G7:H8"/>
  </mergeCells>
  <phoneticPr fontId="16" type="noConversion"/>
  <dataValidations disablePrompts="1" count="1">
    <dataValidation type="decimal" allowBlank="1" showInputMessage="1" showErrorMessage="1" sqref="C33" xr:uid="{00000000-0002-0000-0500-000000000000}">
      <formula1>0</formula1>
      <formula2>4</formula2>
    </dataValidation>
  </dataValidations>
  <printOptions horizontalCentered="1"/>
  <pageMargins left="0.25" right="0.25" top="0.5" bottom="0" header="0.25" footer="0.25"/>
  <pageSetup scale="98"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3" r:id="rId4" name="Check Box 11">
              <controlPr defaultSize="0" autoFill="0" autoLine="0" autoPict="0">
                <anchor moveWithCells="1">
                  <from>
                    <xdr:col>1</xdr:col>
                    <xdr:colOff>676275</xdr:colOff>
                    <xdr:row>10</xdr:row>
                    <xdr:rowOff>76200</xdr:rowOff>
                  </from>
                  <to>
                    <xdr:col>3</xdr:col>
                    <xdr:colOff>752475</xdr:colOff>
                    <xdr:row>10</xdr:row>
                    <xdr:rowOff>276225</xdr:rowOff>
                  </to>
                </anchor>
              </controlPr>
            </control>
          </mc:Choice>
        </mc:AlternateContent>
        <mc:AlternateContent xmlns:mc="http://schemas.openxmlformats.org/markup-compatibility/2006">
          <mc:Choice Requires="x14">
            <control shapeId="3084" r:id="rId5" name="Check Box 12">
              <controlPr defaultSize="0" autoFill="0" autoLine="0" autoPict="0">
                <anchor moveWithCells="1">
                  <from>
                    <xdr:col>4</xdr:col>
                    <xdr:colOff>266700</xdr:colOff>
                    <xdr:row>10</xdr:row>
                    <xdr:rowOff>85725</xdr:rowOff>
                  </from>
                  <to>
                    <xdr:col>6</xdr:col>
                    <xdr:colOff>333375</xdr:colOff>
                    <xdr:row>10</xdr:row>
                    <xdr:rowOff>285750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Z193"/>
  <sheetViews>
    <sheetView showGridLines="0" showZeros="0" zoomScaleNormal="100" workbookViewId="0">
      <extLst>
        <ext xmlns:xlsdti="http://schemas.microsoft.com/office/spreadsheetml/2023/showDataTypeIcons" uri="{77bfe23e-c014-4d31-8a63-9c772dbf06b6}">
          <xlsdti:showDataTypeIcons visible="0"/>
        </ext>
      </extLst>
    </sheetView>
  </sheetViews>
  <sheetFormatPr defaultColWidth="9.140625" defaultRowHeight="12.75" x14ac:dyDescent="0.2"/>
  <cols>
    <col min="1" max="11" width="9.28515625" style="81" customWidth="1"/>
    <col min="12" max="16384" width="9.140625" style="81"/>
  </cols>
  <sheetData>
    <row r="1" spans="1:26" x14ac:dyDescent="0.2">
      <c r="E1" s="82"/>
      <c r="F1" s="83" t="s">
        <v>391</v>
      </c>
      <c r="J1" s="82"/>
      <c r="K1" s="1118" t="str">
        <f>'Design Data'!U2</f>
        <v>January 2026</v>
      </c>
      <c r="L1" s="82"/>
      <c r="M1" s="82"/>
      <c r="N1" s="82"/>
      <c r="O1" s="82"/>
      <c r="P1" s="82"/>
      <c r="Q1" s="82"/>
      <c r="R1" s="82"/>
      <c r="S1" s="82"/>
      <c r="T1" s="82"/>
      <c r="U1" s="82"/>
      <c r="V1" s="82"/>
      <c r="W1" s="82"/>
      <c r="X1" s="82"/>
      <c r="Y1" s="82"/>
      <c r="Z1" s="82"/>
    </row>
    <row r="2" spans="1:26" x14ac:dyDescent="0.2">
      <c r="E2" s="82"/>
      <c r="F2" s="83" t="s">
        <v>392</v>
      </c>
      <c r="K2" s="82"/>
      <c r="L2" s="82"/>
      <c r="M2" s="82"/>
      <c r="N2" s="82"/>
      <c r="O2" s="82"/>
      <c r="P2" s="82"/>
      <c r="Q2" s="82"/>
      <c r="R2" s="82"/>
      <c r="S2" s="82"/>
      <c r="T2" s="82"/>
      <c r="U2" s="82"/>
      <c r="V2" s="82"/>
      <c r="W2" s="82"/>
      <c r="X2" s="82"/>
      <c r="Y2" s="82"/>
      <c r="Z2" s="82"/>
    </row>
    <row r="3" spans="1:26" x14ac:dyDescent="0.2">
      <c r="E3" s="82"/>
      <c r="F3" s="83" t="s">
        <v>393</v>
      </c>
      <c r="K3" s="82"/>
      <c r="L3" s="82"/>
      <c r="M3" s="82"/>
      <c r="N3" s="82"/>
      <c r="O3" s="82"/>
      <c r="P3" s="82"/>
      <c r="Q3" s="82"/>
      <c r="R3" s="82"/>
      <c r="S3" s="82"/>
      <c r="T3" s="82"/>
      <c r="U3" s="82"/>
      <c r="V3" s="82"/>
      <c r="W3" s="82"/>
      <c r="X3" s="82"/>
      <c r="Y3" s="82"/>
      <c r="Z3" s="82"/>
    </row>
    <row r="4" spans="1:26" x14ac:dyDescent="0.2">
      <c r="K4" s="82"/>
      <c r="L4" s="82"/>
      <c r="M4" s="82"/>
      <c r="N4" s="82"/>
      <c r="O4" s="82"/>
      <c r="P4" s="82"/>
      <c r="Q4" s="82"/>
      <c r="R4" s="82"/>
      <c r="S4" s="82"/>
      <c r="T4" s="82"/>
      <c r="U4" s="82"/>
      <c r="V4" s="82"/>
      <c r="W4" s="82"/>
      <c r="X4" s="82"/>
      <c r="Y4" s="82"/>
      <c r="Z4" s="82"/>
    </row>
    <row r="5" spans="1:26" x14ac:dyDescent="0.2">
      <c r="A5" s="85" t="s">
        <v>250</v>
      </c>
      <c r="B5" s="86">
        <f>'Design Data'!$H$10</f>
        <v>0</v>
      </c>
      <c r="C5" s="85" t="s">
        <v>179</v>
      </c>
      <c r="D5" s="81">
        <f>'Design Data'!$K$10</f>
        <v>0</v>
      </c>
      <c r="F5" s="85" t="s">
        <v>394</v>
      </c>
      <c r="G5" s="1687" t="str">
        <f>'Chart Data'!$W$14</f>
        <v/>
      </c>
      <c r="H5" s="1687"/>
      <c r="I5" s="1687"/>
      <c r="J5" s="1687"/>
      <c r="K5" s="1687"/>
      <c r="L5" s="82"/>
      <c r="M5" s="82"/>
      <c r="N5" s="82"/>
      <c r="O5" s="82"/>
      <c r="P5" s="82"/>
      <c r="Q5" s="82"/>
      <c r="R5" s="82"/>
      <c r="S5" s="82"/>
      <c r="T5" s="82"/>
      <c r="U5" s="82"/>
      <c r="V5" s="82"/>
      <c r="W5" s="82"/>
      <c r="X5" s="82"/>
      <c r="Y5" s="82"/>
      <c r="Z5" s="82"/>
    </row>
    <row r="6" spans="1:26" ht="13.5" x14ac:dyDescent="0.25">
      <c r="A6" s="85" t="s">
        <v>395</v>
      </c>
      <c r="C6" s="81" t="str">
        <f>'Design Data'!$C$14</f>
        <v>Enter Project(s) &amp; Line Item(s)</v>
      </c>
      <c r="H6" s="85" t="s">
        <v>396</v>
      </c>
      <c r="I6" s="82"/>
      <c r="J6" s="203" t="str">
        <f>'Design Data'!$Q$88</f>
        <v/>
      </c>
      <c r="K6" s="87"/>
      <c r="L6" s="82"/>
      <c r="M6" s="82"/>
      <c r="N6" s="82"/>
      <c r="O6" s="82"/>
      <c r="P6" s="82"/>
      <c r="Q6" s="82"/>
      <c r="R6" s="82"/>
      <c r="S6" s="82"/>
      <c r="T6" s="82"/>
      <c r="U6" s="82"/>
      <c r="V6" s="82"/>
      <c r="W6" s="82"/>
      <c r="X6" s="82"/>
      <c r="Y6" s="82"/>
      <c r="Z6" s="82"/>
    </row>
    <row r="7" spans="1:26" x14ac:dyDescent="0.2">
      <c r="A7" s="88"/>
      <c r="C7" s="81" t="str">
        <f>'Design Data'!$C$15</f>
        <v>On 'Project Items' Tab.</v>
      </c>
      <c r="H7" s="85" t="s">
        <v>399</v>
      </c>
      <c r="I7" s="82"/>
      <c r="J7" s="89">
        <f>'Design Data'!$H$12</f>
        <v>0</v>
      </c>
      <c r="K7" s="87"/>
      <c r="L7" s="82"/>
      <c r="M7" s="82"/>
      <c r="N7" s="82"/>
      <c r="O7" s="82"/>
      <c r="P7" s="82"/>
      <c r="Q7" s="82"/>
      <c r="R7" s="82"/>
      <c r="S7" s="82"/>
      <c r="T7" s="82"/>
      <c r="U7" s="82"/>
      <c r="V7" s="82"/>
      <c r="W7" s="82"/>
      <c r="X7" s="82"/>
      <c r="Y7" s="82"/>
      <c r="Z7" s="82"/>
    </row>
    <row r="8" spans="1:26" x14ac:dyDescent="0.2">
      <c r="A8" s="85" t="s">
        <v>400</v>
      </c>
      <c r="C8" s="86" t="str">
        <f>'Design Data'!$I$15</f>
        <v/>
      </c>
      <c r="H8" s="85" t="s">
        <v>401</v>
      </c>
      <c r="J8" s="109">
        <f>IF('Design Data'!$H$86="",'Design Data'!$H$16,'Design Data'!$H$86)</f>
        <v>0</v>
      </c>
      <c r="K8" s="87"/>
      <c r="L8" s="82"/>
      <c r="M8" s="82"/>
      <c r="N8" s="82"/>
      <c r="O8" s="82"/>
      <c r="P8" s="82"/>
      <c r="Q8" s="82"/>
      <c r="R8" s="82"/>
      <c r="S8" s="82"/>
      <c r="T8" s="82"/>
      <c r="U8" s="82"/>
      <c r="V8" s="82"/>
      <c r="W8" s="82"/>
      <c r="X8" s="82"/>
      <c r="Y8" s="82"/>
      <c r="Z8" s="82"/>
    </row>
    <row r="9" spans="1:26" x14ac:dyDescent="0.2">
      <c r="H9" s="85" t="s">
        <v>194</v>
      </c>
      <c r="J9" s="109">
        <f>'Design Data'!$H$16</f>
        <v>0</v>
      </c>
      <c r="K9" s="87"/>
      <c r="L9" s="82"/>
      <c r="M9" s="82"/>
      <c r="N9" s="82"/>
      <c r="O9" s="82"/>
      <c r="P9" s="82"/>
      <c r="Q9" s="82"/>
      <c r="R9" s="82"/>
      <c r="S9" s="82"/>
      <c r="T9" s="82"/>
      <c r="U9" s="82"/>
      <c r="V9" s="82"/>
      <c r="W9" s="82"/>
      <c r="X9" s="82"/>
      <c r="Y9" s="82"/>
      <c r="Z9" s="82"/>
    </row>
    <row r="10" spans="1:26" x14ac:dyDescent="0.2">
      <c r="H10" s="82"/>
      <c r="L10" s="82"/>
      <c r="M10" s="82"/>
      <c r="N10" s="82"/>
      <c r="O10" s="82"/>
      <c r="P10" s="82"/>
      <c r="Q10" s="82"/>
      <c r="R10" s="82"/>
      <c r="S10" s="82"/>
      <c r="T10" s="82"/>
      <c r="U10" s="82"/>
      <c r="V10" s="82"/>
      <c r="W10" s="82"/>
      <c r="X10" s="82"/>
      <c r="Y10" s="82"/>
      <c r="Z10" s="82"/>
    </row>
    <row r="11" spans="1:26" x14ac:dyDescent="0.2">
      <c r="H11" s="82"/>
      <c r="L11" s="82"/>
      <c r="M11" s="82"/>
      <c r="N11" s="82"/>
      <c r="O11" s="82"/>
      <c r="P11" s="82"/>
      <c r="Q11" s="82"/>
      <c r="R11" s="82"/>
      <c r="S11" s="82"/>
      <c r="T11" s="82"/>
      <c r="U11" s="82"/>
      <c r="V11" s="82"/>
      <c r="W11" s="82"/>
      <c r="X11" s="82"/>
      <c r="Y11" s="82"/>
      <c r="Z11" s="82"/>
    </row>
    <row r="12" spans="1:26" x14ac:dyDescent="0.2">
      <c r="H12" s="82"/>
      <c r="L12" s="82"/>
      <c r="M12" s="82"/>
      <c r="N12" s="82"/>
      <c r="O12" s="82"/>
      <c r="P12" s="82"/>
      <c r="Q12" s="82"/>
      <c r="R12" s="82"/>
      <c r="S12" s="82"/>
      <c r="T12" s="82"/>
      <c r="U12" s="82"/>
      <c r="V12" s="82"/>
      <c r="W12" s="82"/>
      <c r="X12" s="82"/>
      <c r="Y12" s="82"/>
      <c r="Z12" s="82"/>
    </row>
    <row r="13" spans="1:26" x14ac:dyDescent="0.2">
      <c r="H13" s="82"/>
      <c r="L13" s="82"/>
      <c r="M13" s="82"/>
      <c r="N13" s="82"/>
      <c r="O13" s="82"/>
      <c r="P13" s="82"/>
      <c r="Q13" s="82"/>
      <c r="R13" s="82"/>
      <c r="S13" s="82"/>
      <c r="T13" s="82"/>
      <c r="U13" s="82"/>
      <c r="V13" s="82"/>
      <c r="W13" s="82"/>
      <c r="X13" s="82"/>
      <c r="Y13" s="82"/>
      <c r="Z13" s="82"/>
    </row>
    <row r="14" spans="1:26" x14ac:dyDescent="0.2">
      <c r="H14" s="82"/>
      <c r="I14" s="85" t="s">
        <v>402</v>
      </c>
      <c r="L14" s="82"/>
      <c r="M14" s="82"/>
      <c r="N14" s="82"/>
      <c r="O14" s="82"/>
      <c r="P14" s="82"/>
      <c r="Q14" s="82"/>
      <c r="R14" s="82"/>
      <c r="S14" s="82"/>
      <c r="T14" s="82"/>
      <c r="U14" s="82"/>
      <c r="V14" s="82"/>
      <c r="W14" s="82"/>
      <c r="X14" s="82"/>
      <c r="Y14" s="82"/>
      <c r="Z14" s="82"/>
    </row>
    <row r="15" spans="1:26" x14ac:dyDescent="0.2">
      <c r="H15" s="82"/>
      <c r="L15" s="82"/>
      <c r="M15" s="82"/>
      <c r="N15" s="82"/>
      <c r="O15" s="82"/>
      <c r="P15" s="82"/>
      <c r="Q15" s="82"/>
      <c r="R15" s="82"/>
      <c r="S15" s="82"/>
      <c r="T15" s="82"/>
      <c r="U15" s="82"/>
      <c r="V15" s="82"/>
      <c r="W15" s="82"/>
      <c r="X15" s="82"/>
      <c r="Y15" s="82"/>
      <c r="Z15" s="82"/>
    </row>
    <row r="16" spans="1:26" x14ac:dyDescent="0.2">
      <c r="H16" s="82"/>
      <c r="L16" s="82"/>
      <c r="M16" s="82"/>
      <c r="N16" s="82"/>
      <c r="O16" s="82"/>
      <c r="P16" s="82"/>
      <c r="Q16" s="82"/>
      <c r="R16" s="82"/>
      <c r="S16" s="82"/>
      <c r="T16" s="82"/>
      <c r="U16" s="82"/>
      <c r="V16" s="82"/>
      <c r="W16" s="82"/>
      <c r="X16" s="82"/>
      <c r="Y16" s="82"/>
      <c r="Z16" s="82"/>
    </row>
    <row r="17" spans="8:26" x14ac:dyDescent="0.2">
      <c r="H17" s="82"/>
      <c r="I17" s="81" t="s">
        <v>403</v>
      </c>
      <c r="K17" s="126"/>
      <c r="L17" s="82"/>
      <c r="M17" s="82"/>
      <c r="N17" s="82"/>
      <c r="O17" s="82"/>
      <c r="P17" s="82"/>
      <c r="Q17" s="82"/>
      <c r="R17" s="82"/>
      <c r="S17" s="82"/>
      <c r="T17" s="82"/>
      <c r="U17" s="82"/>
      <c r="V17" s="82"/>
      <c r="W17" s="82"/>
      <c r="X17" s="82"/>
      <c r="Y17" s="82"/>
      <c r="Z17" s="82"/>
    </row>
    <row r="18" spans="8:26" x14ac:dyDescent="0.2">
      <c r="H18" s="82"/>
      <c r="K18" s="90"/>
      <c r="L18" s="82"/>
      <c r="M18" s="82"/>
      <c r="N18" s="82"/>
      <c r="O18" s="82"/>
      <c r="P18" s="82"/>
      <c r="Q18" s="82"/>
      <c r="R18" s="82"/>
      <c r="S18" s="82"/>
      <c r="T18" s="82"/>
      <c r="U18" s="82"/>
      <c r="V18" s="82"/>
      <c r="W18" s="82"/>
      <c r="X18" s="82"/>
      <c r="Y18" s="82"/>
      <c r="Z18" s="82"/>
    </row>
    <row r="19" spans="8:26" x14ac:dyDescent="0.2">
      <c r="H19" s="82"/>
      <c r="I19"/>
      <c r="K19" s="90"/>
      <c r="L19" s="82"/>
      <c r="M19" s="82"/>
      <c r="N19" s="82"/>
      <c r="O19" s="82"/>
      <c r="P19" s="82"/>
      <c r="Q19" s="82"/>
      <c r="R19" s="82"/>
      <c r="S19" s="82"/>
      <c r="T19" s="82"/>
      <c r="U19" s="82"/>
      <c r="V19" s="82"/>
      <c r="W19" s="82"/>
      <c r="X19" s="82"/>
      <c r="Y19" s="82"/>
      <c r="Z19" s="82"/>
    </row>
    <row r="20" spans="8:26" ht="13.5" x14ac:dyDescent="0.25">
      <c r="H20" s="82"/>
      <c r="I20" s="81" t="s">
        <v>404</v>
      </c>
      <c r="K20" s="126"/>
      <c r="L20" s="82"/>
      <c r="M20" s="82"/>
      <c r="N20" s="82"/>
      <c r="O20" s="82"/>
      <c r="P20" s="82"/>
      <c r="Q20" s="82"/>
      <c r="R20" s="82"/>
      <c r="S20" s="82"/>
      <c r="T20" s="82"/>
    </row>
    <row r="21" spans="8:26" x14ac:dyDescent="0.2">
      <c r="H21" s="82"/>
      <c r="K21" s="90"/>
      <c r="L21" s="82"/>
      <c r="M21" s="82"/>
      <c r="N21" s="82"/>
      <c r="O21" s="82"/>
      <c r="P21" s="82"/>
      <c r="Q21" s="82"/>
      <c r="R21" s="82"/>
      <c r="S21" s="82"/>
      <c r="T21" s="82"/>
    </row>
    <row r="22" spans="8:26" x14ac:dyDescent="0.2">
      <c r="H22" s="82"/>
      <c r="K22" s="90"/>
      <c r="L22" s="82"/>
      <c r="M22" s="82"/>
      <c r="N22" s="82"/>
      <c r="O22" s="82"/>
      <c r="P22" s="82"/>
      <c r="Q22" s="82"/>
      <c r="R22" s="82"/>
      <c r="S22" s="82"/>
      <c r="T22" s="82"/>
    </row>
    <row r="23" spans="8:26" x14ac:dyDescent="0.2">
      <c r="H23" s="82"/>
      <c r="I23" s="81" t="s">
        <v>405</v>
      </c>
      <c r="K23" s="126"/>
      <c r="L23" s="82"/>
      <c r="M23" s="82"/>
      <c r="N23" s="82"/>
      <c r="O23" s="82"/>
      <c r="P23" s="82"/>
      <c r="Q23" s="82"/>
      <c r="R23" s="82"/>
      <c r="S23" s="82"/>
      <c r="T23" s="82"/>
    </row>
    <row r="24" spans="8:26" x14ac:dyDescent="0.2">
      <c r="H24" s="82"/>
      <c r="K24" s="90"/>
      <c r="L24" s="82"/>
      <c r="M24" s="82"/>
      <c r="N24" s="82"/>
      <c r="O24" s="82"/>
      <c r="P24" s="82"/>
      <c r="Q24" s="82"/>
      <c r="R24" s="82"/>
      <c r="S24" s="82"/>
      <c r="T24" s="82"/>
    </row>
    <row r="25" spans="8:26" x14ac:dyDescent="0.2">
      <c r="H25" s="82"/>
      <c r="K25" s="90"/>
      <c r="L25" s="82"/>
      <c r="M25" s="82"/>
      <c r="N25" s="82"/>
      <c r="O25" s="82"/>
      <c r="P25" s="82"/>
      <c r="Q25" s="82"/>
      <c r="R25" s="82"/>
      <c r="S25" s="82"/>
      <c r="T25" s="82"/>
    </row>
    <row r="26" spans="8:26" x14ac:dyDescent="0.2">
      <c r="H26" s="82"/>
      <c r="I26" s="81" t="s">
        <v>406</v>
      </c>
      <c r="K26" s="126"/>
      <c r="L26" s="82"/>
      <c r="M26" s="82"/>
      <c r="N26" s="82"/>
      <c r="O26" s="82"/>
      <c r="P26" s="82"/>
      <c r="Q26" s="82"/>
      <c r="R26" s="82"/>
      <c r="S26" s="82"/>
      <c r="T26" s="82"/>
    </row>
    <row r="27" spans="8:26" x14ac:dyDescent="0.2">
      <c r="H27" s="82"/>
      <c r="L27" s="82"/>
      <c r="M27" s="82"/>
      <c r="N27" s="82"/>
      <c r="O27" s="82"/>
      <c r="P27" s="82"/>
      <c r="Q27" s="82"/>
      <c r="R27" s="82"/>
      <c r="S27" s="82"/>
      <c r="T27" s="82"/>
    </row>
    <row r="28" spans="8:26" x14ac:dyDescent="0.2">
      <c r="H28" s="82"/>
      <c r="L28" s="82"/>
      <c r="M28" s="82"/>
      <c r="N28" s="82"/>
      <c r="O28" s="82"/>
      <c r="P28" s="82"/>
      <c r="Q28" s="82"/>
      <c r="R28" s="82"/>
      <c r="S28" s="82"/>
      <c r="T28" s="82"/>
    </row>
    <row r="29" spans="8:26" x14ac:dyDescent="0.2">
      <c r="H29"/>
      <c r="I29" s="618" t="str">
        <f>IF(AND(ISNUMBER('Design Data'!H20),'Chart Data'!J48=0.5,'Design Data'!O63&lt;5,'Chart Data'!H48&lt;&gt;20550),"WARNING: Cannot choose AC%",IF(AND(ISNUMBER('Design Data'!H20),'Chart Data'!J48=0.38,'Design Data'!O63&lt;5.3),"WARNING: Cannot choose AC%",""))</f>
        <v/>
      </c>
      <c r="J29" s="588"/>
      <c r="K29" s="588"/>
      <c r="L29" s="82"/>
      <c r="M29" s="617"/>
      <c r="N29" s="82"/>
      <c r="O29" s="82"/>
      <c r="P29" s="82"/>
      <c r="Q29" s="82"/>
      <c r="R29" s="82"/>
      <c r="S29" s="82"/>
      <c r="T29" s="82"/>
    </row>
    <row r="30" spans="8:26" x14ac:dyDescent="0.2">
      <c r="H30" s="82"/>
      <c r="I30" s="618" t="str">
        <f>IF(AND(ISNUMBER('Design Data'!H20),'Chart Data'!J48=0.5,'Design Data'!O63&lt;5,'Chart Data'!H48&lt;&gt;20550),"below 5.0% according to",IF(AND(ISNUMBER('Design Data'!H20),'Chart Data'!J48=0.38,'Design Data'!O63&lt;5.3),"below 5.3% according to",""))</f>
        <v/>
      </c>
      <c r="J30" s="588"/>
      <c r="K30" s="588"/>
      <c r="L30" s="82"/>
      <c r="M30" s="82"/>
      <c r="N30" s="82"/>
      <c r="O30" s="82"/>
      <c r="P30" s="82"/>
      <c r="Q30" s="82"/>
      <c r="R30" s="82"/>
      <c r="S30" s="82"/>
      <c r="T30" s="82"/>
    </row>
    <row r="31" spans="8:26" x14ac:dyDescent="0.2">
      <c r="H31" s="82"/>
      <c r="I31" s="618" t="str">
        <f>IF(AND(ISNUMBER('Design Data'!H20),'Chart Data'!J48=0.5,'Design Data'!O63&lt;5,'Chart Data'!H48&lt;&gt;20550),"current specification.",IF(AND(ISNUMBER('Design Data'!H20),'Chart Data'!J48=0.38,'Design Data'!O63&lt;5.3),"current specification.",""))</f>
        <v/>
      </c>
      <c r="J31" s="588"/>
      <c r="K31" s="588"/>
      <c r="L31" s="82"/>
      <c r="M31" s="82"/>
      <c r="N31" s="82"/>
      <c r="O31" s="82"/>
      <c r="P31" s="82"/>
      <c r="Q31" s="82"/>
      <c r="R31" s="82"/>
      <c r="S31" s="82"/>
      <c r="T31" s="82"/>
    </row>
    <row r="32" spans="8:26" x14ac:dyDescent="0.2">
      <c r="H32" s="82"/>
      <c r="L32" s="82"/>
      <c r="M32" s="82"/>
      <c r="N32" s="82"/>
      <c r="O32" s="82"/>
      <c r="P32" s="82"/>
      <c r="Q32" s="82"/>
      <c r="R32" s="82"/>
      <c r="S32" s="82"/>
      <c r="T32" s="82"/>
    </row>
    <row r="33" spans="8:20" x14ac:dyDescent="0.2">
      <c r="H33" s="82"/>
      <c r="L33" s="82"/>
      <c r="M33" s="82"/>
      <c r="N33" s="82"/>
      <c r="O33" s="82"/>
      <c r="P33" s="82"/>
      <c r="Q33" s="82"/>
      <c r="R33" s="82"/>
      <c r="S33" s="82"/>
      <c r="T33" s="82"/>
    </row>
    <row r="34" spans="8:20" x14ac:dyDescent="0.2">
      <c r="H34" s="82"/>
      <c r="L34" s="82"/>
      <c r="M34" s="82"/>
      <c r="N34" s="82"/>
      <c r="O34" s="82"/>
      <c r="P34" s="82"/>
      <c r="Q34" s="82"/>
      <c r="R34" s="82"/>
      <c r="S34" s="82"/>
      <c r="T34" s="82"/>
    </row>
    <row r="35" spans="8:20" x14ac:dyDescent="0.2">
      <c r="H35" s="82"/>
      <c r="L35" s="82"/>
      <c r="M35" s="82"/>
      <c r="N35" s="82"/>
      <c r="O35" s="82"/>
      <c r="P35" s="82"/>
      <c r="Q35" s="82"/>
      <c r="R35" s="82"/>
      <c r="S35" s="82"/>
      <c r="T35" s="82"/>
    </row>
    <row r="36" spans="8:20" x14ac:dyDescent="0.2">
      <c r="H36" s="82"/>
      <c r="L36" s="82"/>
      <c r="M36" s="82"/>
      <c r="N36" s="82"/>
      <c r="O36" s="82"/>
      <c r="P36" s="82"/>
      <c r="Q36" s="82"/>
      <c r="R36" s="82"/>
      <c r="S36" s="82"/>
      <c r="T36" s="82"/>
    </row>
    <row r="37" spans="8:20" x14ac:dyDescent="0.2">
      <c r="H37" s="82"/>
      <c r="I37" s="85" t="s">
        <v>407</v>
      </c>
      <c r="L37" s="82"/>
      <c r="M37" s="82"/>
      <c r="N37" s="82"/>
      <c r="O37" s="82"/>
      <c r="P37" s="82"/>
      <c r="Q37" s="82"/>
      <c r="R37" s="82"/>
      <c r="S37" s="82"/>
      <c r="T37" s="82"/>
    </row>
    <row r="38" spans="8:20" x14ac:dyDescent="0.2">
      <c r="H38" s="82"/>
      <c r="L38" s="82"/>
      <c r="M38" s="82"/>
      <c r="N38" s="82"/>
      <c r="O38" s="82"/>
      <c r="P38" s="82"/>
      <c r="Q38" s="82"/>
      <c r="R38" s="82"/>
      <c r="S38" s="82"/>
      <c r="T38" s="82"/>
    </row>
    <row r="39" spans="8:20" x14ac:dyDescent="0.2">
      <c r="H39" s="82"/>
      <c r="I39" s="169" t="s">
        <v>74</v>
      </c>
      <c r="J39" s="128"/>
      <c r="K39" s="128"/>
      <c r="L39" s="82"/>
      <c r="M39" s="82"/>
      <c r="N39" s="82"/>
      <c r="O39" s="82"/>
      <c r="P39" s="82"/>
      <c r="Q39" s="82"/>
      <c r="R39" s="82"/>
      <c r="S39" s="82"/>
      <c r="T39" s="82"/>
    </row>
    <row r="40" spans="8:20" x14ac:dyDescent="0.2">
      <c r="H40" s="82"/>
      <c r="I40" s="169" t="s">
        <v>74</v>
      </c>
      <c r="J40" s="128"/>
      <c r="K40" s="128"/>
      <c r="L40" s="82"/>
      <c r="M40" s="82"/>
      <c r="N40" s="82"/>
      <c r="O40" s="82"/>
      <c r="P40" s="82"/>
      <c r="Q40" s="82"/>
      <c r="R40" s="82"/>
      <c r="S40" s="82"/>
      <c r="T40" s="82"/>
    </row>
    <row r="41" spans="8:20" x14ac:dyDescent="0.2">
      <c r="H41" s="82"/>
      <c r="I41" s="169" t="s">
        <v>74</v>
      </c>
      <c r="J41" s="128"/>
      <c r="K41" s="128"/>
      <c r="L41" s="82"/>
      <c r="M41" s="82"/>
      <c r="N41" s="82"/>
      <c r="O41" s="82"/>
      <c r="P41" s="82"/>
      <c r="Q41" s="82"/>
      <c r="R41" s="82"/>
      <c r="S41" s="82"/>
      <c r="T41" s="82"/>
    </row>
    <row r="42" spans="8:20" x14ac:dyDescent="0.2">
      <c r="H42" s="82"/>
      <c r="I42" s="169" t="s">
        <v>74</v>
      </c>
      <c r="J42" s="128"/>
      <c r="K42" s="128"/>
      <c r="L42" s="82"/>
      <c r="M42" s="82"/>
      <c r="N42" s="82"/>
      <c r="O42" s="82"/>
      <c r="P42" s="82"/>
      <c r="Q42" s="82"/>
      <c r="R42" s="82"/>
      <c r="S42" s="82"/>
      <c r="T42" s="82"/>
    </row>
    <row r="43" spans="8:20" x14ac:dyDescent="0.2">
      <c r="H43" s="82"/>
      <c r="I43" s="169" t="s">
        <v>74</v>
      </c>
      <c r="J43" s="128"/>
      <c r="K43" s="128"/>
      <c r="L43" s="82"/>
      <c r="M43" s="82"/>
      <c r="N43" s="82"/>
      <c r="O43" s="82"/>
      <c r="P43" s="82"/>
      <c r="Q43" s="82"/>
      <c r="R43" s="82"/>
      <c r="S43" s="82"/>
      <c r="T43" s="82"/>
    </row>
    <row r="44" spans="8:20" x14ac:dyDescent="0.2">
      <c r="H44" s="82"/>
      <c r="I44" s="169" t="s">
        <v>74</v>
      </c>
      <c r="J44" s="128"/>
      <c r="K44" s="128"/>
      <c r="L44" s="82"/>
      <c r="M44" s="82"/>
      <c r="N44" s="82"/>
      <c r="O44" s="82"/>
      <c r="P44" s="82"/>
      <c r="Q44" s="82"/>
      <c r="R44" s="82"/>
      <c r="S44" s="82"/>
      <c r="T44" s="82"/>
    </row>
    <row r="45" spans="8:20" x14ac:dyDescent="0.2">
      <c r="H45" s="82"/>
      <c r="I45" s="169"/>
      <c r="J45" s="128"/>
      <c r="K45" s="128"/>
      <c r="L45" s="82"/>
      <c r="M45" s="82"/>
      <c r="N45" s="82"/>
      <c r="O45" s="82"/>
      <c r="P45" s="82"/>
      <c r="Q45" s="82"/>
      <c r="R45" s="82"/>
      <c r="S45" s="82"/>
      <c r="T45" s="82"/>
    </row>
    <row r="46" spans="8:20" x14ac:dyDescent="0.2">
      <c r="H46" s="82"/>
      <c r="I46" s="169"/>
      <c r="J46" s="128"/>
      <c r="K46" s="128"/>
      <c r="L46" s="82"/>
      <c r="M46" s="82"/>
      <c r="N46" s="82"/>
      <c r="O46" s="82"/>
      <c r="P46" s="82"/>
      <c r="Q46" s="82"/>
      <c r="R46" s="82"/>
      <c r="S46" s="82"/>
      <c r="T46" s="82"/>
    </row>
    <row r="47" spans="8:20" x14ac:dyDescent="0.2">
      <c r="H47" s="82"/>
      <c r="I47" s="169"/>
      <c r="J47" s="128"/>
      <c r="K47" s="128"/>
      <c r="L47" s="82"/>
      <c r="M47" s="82"/>
      <c r="N47" s="82"/>
      <c r="O47" s="82"/>
      <c r="P47" s="82"/>
      <c r="Q47" s="82"/>
      <c r="R47" s="82"/>
      <c r="S47" s="82"/>
      <c r="T47" s="82"/>
    </row>
    <row r="48" spans="8:20" x14ac:dyDescent="0.2">
      <c r="H48" s="82"/>
      <c r="I48" s="169"/>
      <c r="J48" s="128"/>
      <c r="K48" s="128"/>
      <c r="L48" s="82"/>
      <c r="M48" s="82"/>
      <c r="N48" s="82"/>
      <c r="O48" s="82"/>
      <c r="P48" s="82"/>
      <c r="Q48" s="82"/>
      <c r="R48" s="82"/>
      <c r="S48" s="82"/>
      <c r="T48" s="82"/>
    </row>
    <row r="49" spans="1:20" x14ac:dyDescent="0.2">
      <c r="H49" s="82"/>
      <c r="L49" s="82"/>
      <c r="M49" s="82"/>
      <c r="N49" s="82"/>
      <c r="O49" s="82"/>
      <c r="P49" s="82"/>
      <c r="Q49" s="82"/>
      <c r="R49" s="82"/>
      <c r="S49" s="82"/>
      <c r="T49" s="82"/>
    </row>
    <row r="50" spans="1:20" x14ac:dyDescent="0.2">
      <c r="H50" s="82"/>
      <c r="L50" s="82"/>
      <c r="M50" s="82"/>
      <c r="N50" s="82"/>
      <c r="O50" s="82"/>
      <c r="P50" s="82"/>
      <c r="Q50" s="82"/>
      <c r="R50" s="82"/>
      <c r="S50" s="82"/>
      <c r="T50" s="82"/>
    </row>
    <row r="51" spans="1:20" x14ac:dyDescent="0.2">
      <c r="H51" s="82"/>
      <c r="L51" s="82"/>
      <c r="M51" s="82"/>
      <c r="N51" s="82"/>
      <c r="O51" s="82"/>
      <c r="P51" s="82"/>
      <c r="Q51" s="82"/>
      <c r="R51" s="82"/>
      <c r="S51" s="82"/>
      <c r="T51" s="82"/>
    </row>
    <row r="52" spans="1:20" x14ac:dyDescent="0.2">
      <c r="H52" s="82"/>
      <c r="L52" s="82"/>
      <c r="M52" s="82"/>
      <c r="N52" s="82"/>
      <c r="O52" s="82"/>
      <c r="P52" s="82"/>
      <c r="Q52" s="82"/>
      <c r="R52" s="82"/>
      <c r="S52" s="82"/>
      <c r="T52" s="82"/>
    </row>
    <row r="53" spans="1:20" x14ac:dyDescent="0.2">
      <c r="H53" s="82"/>
      <c r="L53" s="82"/>
      <c r="M53" s="82"/>
      <c r="N53" s="82"/>
      <c r="O53" s="82"/>
      <c r="P53" s="82"/>
      <c r="Q53" s="82"/>
      <c r="R53" s="82"/>
      <c r="S53" s="82"/>
      <c r="T53" s="82"/>
    </row>
    <row r="54" spans="1:20" x14ac:dyDescent="0.2">
      <c r="H54" s="82"/>
      <c r="I54" s="91" t="s">
        <v>408</v>
      </c>
      <c r="L54" s="82"/>
      <c r="M54" s="82"/>
      <c r="N54" s="82"/>
      <c r="O54" s="82"/>
      <c r="P54" s="82"/>
      <c r="Q54" s="82"/>
      <c r="R54" s="82"/>
      <c r="S54" s="82"/>
      <c r="T54" s="82"/>
    </row>
    <row r="55" spans="1:20" x14ac:dyDescent="0.2">
      <c r="H55" s="82"/>
      <c r="L55" s="82"/>
      <c r="M55" s="82"/>
      <c r="N55" s="82"/>
      <c r="O55" s="82"/>
      <c r="P55" s="82"/>
      <c r="Q55" s="82"/>
      <c r="R55" s="82"/>
      <c r="S55" s="82"/>
      <c r="T55" s="82"/>
    </row>
    <row r="56" spans="1:20" x14ac:dyDescent="0.2">
      <c r="H56" s="82"/>
      <c r="I56" s="127"/>
      <c r="J56" s="128"/>
      <c r="L56" s="82"/>
      <c r="M56" s="82"/>
      <c r="N56" s="82"/>
      <c r="O56" s="82"/>
      <c r="P56" s="82"/>
      <c r="Q56" s="82"/>
      <c r="R56" s="82"/>
      <c r="S56" s="82"/>
      <c r="T56" s="82"/>
    </row>
    <row r="57" spans="1:20" x14ac:dyDescent="0.2">
      <c r="H57" s="82"/>
      <c r="L57" s="82"/>
      <c r="M57" s="82"/>
      <c r="N57" s="82"/>
      <c r="O57" s="82"/>
      <c r="P57" s="82"/>
      <c r="Q57" s="82"/>
      <c r="R57" s="82"/>
      <c r="S57" s="82"/>
      <c r="T57" s="82"/>
    </row>
    <row r="58" spans="1:20" x14ac:dyDescent="0.2">
      <c r="E58" s="83"/>
      <c r="F58" s="83" t="str">
        <f>F1</f>
        <v>KENTUCKY DEPARTMENT OF HIGHWAYS</v>
      </c>
      <c r="H58" s="82"/>
      <c r="K58" s="84" t="str">
        <f>K1</f>
        <v>January 2026</v>
      </c>
      <c r="L58" s="82"/>
      <c r="M58" s="82"/>
      <c r="N58" s="82"/>
      <c r="O58" s="82"/>
      <c r="P58" s="82"/>
      <c r="Q58" s="82"/>
      <c r="R58" s="82"/>
      <c r="S58" s="82"/>
      <c r="T58" s="82"/>
    </row>
    <row r="59" spans="1:20" x14ac:dyDescent="0.2">
      <c r="E59" s="83"/>
      <c r="F59" s="83" t="str">
        <f>F2</f>
        <v>DIVISION OF MATERIALS</v>
      </c>
      <c r="H59" s="82"/>
      <c r="L59" s="82"/>
      <c r="M59" s="82"/>
      <c r="N59" s="82"/>
      <c r="O59" s="82"/>
      <c r="P59" s="82"/>
      <c r="Q59" s="82"/>
      <c r="R59" s="82"/>
      <c r="S59" s="82"/>
      <c r="T59" s="82"/>
    </row>
    <row r="60" spans="1:20" x14ac:dyDescent="0.2">
      <c r="E60" s="83"/>
      <c r="F60" s="83" t="str">
        <f>F3</f>
        <v>Laboratory Mix Design</v>
      </c>
      <c r="H60" s="82"/>
      <c r="L60" s="82"/>
      <c r="M60" s="82"/>
      <c r="N60" s="82"/>
      <c r="O60" s="82"/>
      <c r="P60" s="82"/>
      <c r="Q60" s="82"/>
      <c r="R60" s="82"/>
      <c r="S60" s="82"/>
      <c r="T60" s="82"/>
    </row>
    <row r="61" spans="1:20" x14ac:dyDescent="0.2">
      <c r="H61" s="82"/>
      <c r="L61" s="82"/>
      <c r="M61" s="82"/>
      <c r="N61" s="82"/>
      <c r="O61" s="82"/>
      <c r="P61" s="82"/>
      <c r="Q61" s="82"/>
      <c r="R61" s="82"/>
      <c r="S61" s="82"/>
      <c r="T61" s="82"/>
    </row>
    <row r="62" spans="1:20" x14ac:dyDescent="0.2">
      <c r="A62" s="85" t="s">
        <v>250</v>
      </c>
      <c r="B62" s="86">
        <f>B5</f>
        <v>0</v>
      </c>
      <c r="C62" s="85" t="s">
        <v>179</v>
      </c>
      <c r="D62" s="81">
        <f>D5</f>
        <v>0</v>
      </c>
      <c r="F62" s="85" t="s">
        <v>394</v>
      </c>
      <c r="G62" s="1687" t="str">
        <f>G5</f>
        <v/>
      </c>
      <c r="H62" s="1687"/>
      <c r="I62" s="1687"/>
      <c r="J62" s="1687"/>
      <c r="K62" s="1687"/>
      <c r="L62" s="82"/>
      <c r="M62" s="82"/>
      <c r="N62" s="82"/>
      <c r="O62" s="82"/>
      <c r="P62" s="82"/>
      <c r="Q62" s="82"/>
      <c r="R62" s="82"/>
      <c r="S62" s="82"/>
      <c r="T62" s="82"/>
    </row>
    <row r="63" spans="1:20" ht="13.5" x14ac:dyDescent="0.25">
      <c r="A63" s="85" t="s">
        <v>395</v>
      </c>
      <c r="C63" s="81" t="str">
        <f>C6</f>
        <v>Enter Project(s) &amp; Line Item(s)</v>
      </c>
      <c r="H63" s="85" t="s">
        <v>396</v>
      </c>
      <c r="I63" s="82"/>
      <c r="J63" s="203" t="str">
        <f>J6</f>
        <v/>
      </c>
      <c r="K63" s="87"/>
      <c r="L63" s="82"/>
      <c r="M63" s="82"/>
      <c r="N63" s="82"/>
      <c r="O63" s="82"/>
      <c r="P63" s="82"/>
      <c r="Q63" s="82"/>
      <c r="R63" s="82"/>
      <c r="S63" s="82"/>
      <c r="T63" s="82"/>
    </row>
    <row r="64" spans="1:20" x14ac:dyDescent="0.2">
      <c r="A64" s="88"/>
      <c r="C64" s="81" t="str">
        <f>C7</f>
        <v>On 'Project Items' Tab.</v>
      </c>
      <c r="H64" s="85" t="s">
        <v>258</v>
      </c>
      <c r="I64" s="82"/>
      <c r="J64" s="89">
        <f>J7</f>
        <v>0</v>
      </c>
      <c r="K64" s="87"/>
      <c r="L64" s="82"/>
      <c r="M64" s="82"/>
      <c r="N64" s="82"/>
      <c r="O64" s="82"/>
      <c r="P64" s="82"/>
      <c r="Q64" s="82"/>
      <c r="R64" s="82"/>
      <c r="S64" s="82"/>
      <c r="T64" s="82"/>
    </row>
    <row r="65" spans="1:20" x14ac:dyDescent="0.2">
      <c r="A65" s="85" t="s">
        <v>400</v>
      </c>
      <c r="C65" s="86" t="str">
        <f>C8</f>
        <v/>
      </c>
      <c r="H65" s="85" t="s">
        <v>401</v>
      </c>
      <c r="J65" s="109">
        <f>J8</f>
        <v>0</v>
      </c>
      <c r="K65" s="87"/>
      <c r="L65" s="82"/>
      <c r="M65" s="82"/>
      <c r="N65" s="82"/>
      <c r="O65" s="82"/>
      <c r="P65" s="82"/>
      <c r="Q65" s="82"/>
      <c r="R65" s="82"/>
      <c r="S65" s="82"/>
      <c r="T65" s="82"/>
    </row>
    <row r="66" spans="1:20" x14ac:dyDescent="0.2">
      <c r="H66" s="85" t="s">
        <v>194</v>
      </c>
      <c r="J66" s="109">
        <f>J9</f>
        <v>0</v>
      </c>
      <c r="K66" s="87"/>
      <c r="L66" s="82"/>
      <c r="M66" s="82"/>
      <c r="N66" s="82"/>
      <c r="O66" s="82"/>
      <c r="P66" s="82"/>
      <c r="Q66" s="82"/>
      <c r="R66" s="82"/>
      <c r="S66" s="82"/>
      <c r="T66" s="82"/>
    </row>
    <row r="67" spans="1:20" x14ac:dyDescent="0.2">
      <c r="H67" s="82"/>
      <c r="L67" s="82"/>
      <c r="M67" s="82"/>
      <c r="N67" s="82"/>
      <c r="O67" s="82"/>
      <c r="P67" s="82"/>
      <c r="Q67" s="82"/>
      <c r="R67" s="82"/>
      <c r="S67" s="82"/>
      <c r="T67" s="82"/>
    </row>
    <row r="68" spans="1:20" x14ac:dyDescent="0.2">
      <c r="H68" s="82"/>
      <c r="L68" s="82"/>
      <c r="M68" s="82"/>
      <c r="N68" s="82"/>
      <c r="O68" s="82"/>
      <c r="P68" s="82"/>
      <c r="Q68" s="82"/>
      <c r="R68" s="82"/>
      <c r="S68" s="82"/>
      <c r="T68" s="82"/>
    </row>
    <row r="69" spans="1:20" x14ac:dyDescent="0.2">
      <c r="H69" s="82"/>
      <c r="L69" s="82"/>
      <c r="M69" s="82"/>
      <c r="N69" s="82"/>
      <c r="O69" s="82"/>
      <c r="P69" s="82"/>
      <c r="Q69" s="82"/>
      <c r="R69" s="82"/>
      <c r="S69" s="82"/>
      <c r="T69" s="82"/>
    </row>
    <row r="70" spans="1:20" x14ac:dyDescent="0.2">
      <c r="H70" s="82"/>
      <c r="L70" s="82"/>
      <c r="M70" s="82"/>
      <c r="N70" s="82"/>
      <c r="O70" s="82"/>
      <c r="P70" s="82"/>
      <c r="Q70" s="82"/>
      <c r="R70" s="82"/>
      <c r="S70" s="82"/>
      <c r="T70" s="82"/>
    </row>
    <row r="71" spans="1:20" x14ac:dyDescent="0.2">
      <c r="H71" s="82"/>
      <c r="I71" s="85" t="s">
        <v>402</v>
      </c>
      <c r="L71" s="82"/>
      <c r="M71" s="82"/>
      <c r="N71" s="82"/>
      <c r="O71" s="82"/>
      <c r="P71" s="82"/>
      <c r="Q71" s="82"/>
      <c r="R71" s="82"/>
      <c r="S71" s="82"/>
      <c r="T71" s="82"/>
    </row>
    <row r="72" spans="1:20" x14ac:dyDescent="0.2">
      <c r="H72" s="82"/>
      <c r="L72" s="82"/>
      <c r="M72" s="82"/>
      <c r="N72" s="82"/>
      <c r="O72" s="82"/>
      <c r="P72" s="82"/>
      <c r="Q72" s="82"/>
      <c r="R72" s="82"/>
      <c r="S72" s="82"/>
      <c r="T72" s="82"/>
    </row>
    <row r="73" spans="1:20" x14ac:dyDescent="0.2">
      <c r="H73" s="82"/>
      <c r="L73" s="82"/>
      <c r="M73" s="82"/>
      <c r="N73" s="82"/>
      <c r="O73" s="82"/>
      <c r="P73" s="82"/>
      <c r="Q73" s="82"/>
      <c r="R73" s="82"/>
      <c r="S73" s="82"/>
      <c r="T73" s="82"/>
    </row>
    <row r="74" spans="1:20" x14ac:dyDescent="0.2">
      <c r="H74" s="82"/>
      <c r="I74" s="81" t="s">
        <v>403</v>
      </c>
      <c r="K74" s="92">
        <f>K17</f>
        <v>0</v>
      </c>
      <c r="L74" s="82"/>
      <c r="M74" s="82"/>
      <c r="N74" s="82"/>
      <c r="O74" s="82"/>
      <c r="P74" s="82"/>
      <c r="Q74" s="82"/>
      <c r="R74" s="82"/>
      <c r="S74" s="82"/>
      <c r="T74" s="82"/>
    </row>
    <row r="75" spans="1:20" x14ac:dyDescent="0.2">
      <c r="H75" s="82"/>
      <c r="K75" s="90"/>
      <c r="L75" s="82"/>
      <c r="M75" s="82"/>
      <c r="N75" s="82"/>
      <c r="O75" s="82"/>
      <c r="P75" s="82"/>
      <c r="Q75" s="82"/>
      <c r="R75" s="82"/>
      <c r="S75" s="82"/>
      <c r="T75" s="82"/>
    </row>
    <row r="76" spans="1:20" x14ac:dyDescent="0.2">
      <c r="H76" s="82"/>
      <c r="K76" s="90"/>
      <c r="L76" s="82"/>
      <c r="M76" s="82"/>
      <c r="N76" s="82"/>
      <c r="O76" s="82"/>
      <c r="P76" s="82"/>
      <c r="Q76" s="82"/>
      <c r="R76" s="82"/>
      <c r="S76" s="82"/>
      <c r="T76" s="82"/>
    </row>
    <row r="77" spans="1:20" x14ac:dyDescent="0.2">
      <c r="H77" s="82"/>
      <c r="I77" s="81" t="s">
        <v>409</v>
      </c>
      <c r="K77" s="126"/>
      <c r="L77" s="82"/>
      <c r="M77" s="82"/>
      <c r="N77" s="82"/>
      <c r="O77" s="82"/>
      <c r="P77" s="82"/>
      <c r="Q77" s="82"/>
      <c r="R77" s="82"/>
      <c r="S77" s="82"/>
      <c r="T77" s="82"/>
    </row>
    <row r="78" spans="1:20" x14ac:dyDescent="0.2">
      <c r="H78" s="82"/>
      <c r="K78" s="90"/>
      <c r="L78" s="82"/>
      <c r="M78" s="82"/>
      <c r="N78" s="82"/>
      <c r="O78" s="82"/>
      <c r="P78" s="82"/>
      <c r="Q78" s="82"/>
      <c r="R78" s="82"/>
      <c r="S78" s="82"/>
      <c r="T78" s="82"/>
    </row>
    <row r="79" spans="1:20" x14ac:dyDescent="0.2">
      <c r="H79" s="82"/>
      <c r="K79" s="90"/>
      <c r="L79" s="82"/>
      <c r="M79" s="82"/>
      <c r="N79" s="82"/>
      <c r="O79" s="82"/>
      <c r="P79" s="82"/>
      <c r="Q79" s="82"/>
      <c r="R79" s="82"/>
      <c r="S79" s="82"/>
      <c r="T79" s="82"/>
    </row>
    <row r="80" spans="1:20" x14ac:dyDescent="0.2">
      <c r="H80" s="82"/>
      <c r="I80" s="81" t="s">
        <v>410</v>
      </c>
      <c r="K80" s="126"/>
      <c r="L80" s="82"/>
      <c r="M80" s="82"/>
      <c r="N80" s="82"/>
      <c r="O80" s="82"/>
      <c r="P80" s="82"/>
      <c r="Q80" s="82"/>
      <c r="R80" s="82"/>
      <c r="S80" s="82"/>
      <c r="T80" s="82"/>
    </row>
    <row r="81" spans="8:20" x14ac:dyDescent="0.2">
      <c r="H81" s="82"/>
      <c r="K81" s="90"/>
      <c r="L81" s="82"/>
      <c r="M81" s="82"/>
      <c r="N81" s="82"/>
      <c r="O81" s="82"/>
      <c r="P81" s="82"/>
      <c r="Q81" s="82"/>
      <c r="R81" s="82"/>
      <c r="S81" s="82"/>
      <c r="T81" s="82"/>
    </row>
    <row r="82" spans="8:20" x14ac:dyDescent="0.2">
      <c r="H82" s="82"/>
      <c r="K82" s="90"/>
      <c r="L82" s="82"/>
      <c r="M82" s="82"/>
      <c r="N82" s="82"/>
      <c r="O82" s="82"/>
      <c r="P82" s="82"/>
      <c r="Q82" s="82"/>
      <c r="R82" s="82"/>
      <c r="S82" s="82"/>
      <c r="T82" s="82"/>
    </row>
    <row r="83" spans="8:20" ht="13.5" x14ac:dyDescent="0.25">
      <c r="H83" s="82"/>
      <c r="I83" s="81" t="s">
        <v>411</v>
      </c>
      <c r="K83" s="129"/>
      <c r="L83" s="82"/>
      <c r="M83" s="82"/>
      <c r="N83" s="82"/>
      <c r="O83" s="82"/>
      <c r="P83" s="82"/>
      <c r="Q83" s="82"/>
      <c r="R83" s="82"/>
      <c r="S83" s="82"/>
      <c r="T83" s="82"/>
    </row>
    <row r="84" spans="8:20" x14ac:dyDescent="0.2">
      <c r="H84" s="82"/>
      <c r="L84" s="82"/>
      <c r="M84" s="82"/>
      <c r="N84" s="82"/>
      <c r="O84" s="82"/>
      <c r="P84" s="82"/>
      <c r="Q84" s="82"/>
      <c r="R84" s="82"/>
      <c r="S84" s="82"/>
      <c r="T84" s="82"/>
    </row>
    <row r="85" spans="8:20" x14ac:dyDescent="0.2">
      <c r="H85" s="82"/>
      <c r="L85" s="82"/>
      <c r="M85" s="82"/>
      <c r="N85" s="82"/>
      <c r="O85" s="82"/>
      <c r="P85" s="82"/>
      <c r="Q85" s="82"/>
      <c r="R85" s="82"/>
      <c r="S85" s="82"/>
      <c r="T85" s="82"/>
    </row>
    <row r="86" spans="8:20" x14ac:dyDescent="0.2">
      <c r="H86" s="619"/>
      <c r="I86" s="620" t="str">
        <f>I29</f>
        <v/>
      </c>
      <c r="J86" s="588"/>
      <c r="K86" s="588"/>
      <c r="L86" s="82"/>
      <c r="M86" s="82"/>
      <c r="N86" s="82"/>
      <c r="O86" s="82"/>
      <c r="P86" s="82"/>
      <c r="Q86" s="82"/>
      <c r="R86" s="82"/>
      <c r="S86" s="82"/>
      <c r="T86" s="82"/>
    </row>
    <row r="87" spans="8:20" x14ac:dyDescent="0.2">
      <c r="H87" s="619"/>
      <c r="I87" s="620" t="str">
        <f>I30</f>
        <v/>
      </c>
      <c r="J87" s="588"/>
      <c r="K87" s="588"/>
      <c r="L87" s="82"/>
      <c r="M87" s="82"/>
      <c r="N87" s="82"/>
      <c r="O87" s="82"/>
      <c r="P87" s="82"/>
      <c r="Q87" s="82"/>
      <c r="R87" s="82"/>
      <c r="S87" s="82"/>
      <c r="T87" s="82"/>
    </row>
    <row r="88" spans="8:20" x14ac:dyDescent="0.2">
      <c r="H88" s="619"/>
      <c r="I88" s="620" t="str">
        <f>I31</f>
        <v/>
      </c>
      <c r="J88" s="588"/>
      <c r="K88" s="588"/>
      <c r="L88" s="82"/>
      <c r="M88" s="82"/>
      <c r="N88" s="82"/>
      <c r="O88" s="82"/>
      <c r="P88" s="82"/>
      <c r="Q88" s="82"/>
      <c r="R88" s="82"/>
      <c r="S88" s="82"/>
      <c r="T88" s="82"/>
    </row>
    <row r="89" spans="8:20" x14ac:dyDescent="0.2">
      <c r="H89" s="82"/>
      <c r="L89" s="82"/>
      <c r="M89" s="82"/>
      <c r="N89" s="82"/>
      <c r="O89" s="82"/>
      <c r="P89" s="82"/>
      <c r="Q89" s="82"/>
      <c r="R89" s="82"/>
      <c r="S89" s="82"/>
      <c r="T89" s="82"/>
    </row>
    <row r="90" spans="8:20" x14ac:dyDescent="0.2">
      <c r="H90" s="82"/>
      <c r="L90" s="82"/>
      <c r="M90" s="82"/>
      <c r="N90" s="82"/>
      <c r="O90" s="82"/>
      <c r="P90" s="82"/>
      <c r="Q90" s="82"/>
      <c r="R90" s="82"/>
      <c r="S90" s="82"/>
      <c r="T90" s="82"/>
    </row>
    <row r="91" spans="8:20" x14ac:dyDescent="0.2">
      <c r="H91" s="82"/>
      <c r="L91" s="82"/>
      <c r="M91" s="82"/>
      <c r="N91" s="82"/>
      <c r="O91" s="82"/>
      <c r="P91" s="82"/>
      <c r="Q91" s="82"/>
      <c r="R91" s="82"/>
      <c r="S91" s="82"/>
      <c r="T91" s="82"/>
    </row>
    <row r="92" spans="8:20" x14ac:dyDescent="0.2">
      <c r="H92" s="82"/>
      <c r="L92" s="82"/>
      <c r="M92" s="82"/>
      <c r="N92" s="82"/>
      <c r="O92" s="82"/>
      <c r="P92" s="82"/>
      <c r="Q92" s="82"/>
      <c r="R92" s="82"/>
      <c r="S92" s="82"/>
      <c r="T92" s="82"/>
    </row>
    <row r="93" spans="8:20" x14ac:dyDescent="0.2">
      <c r="H93" s="82"/>
      <c r="L93" s="82"/>
      <c r="M93" s="82"/>
      <c r="N93" s="82"/>
      <c r="O93" s="82"/>
      <c r="P93" s="82"/>
      <c r="Q93" s="82"/>
      <c r="R93" s="82"/>
      <c r="S93" s="82"/>
      <c r="T93" s="82"/>
    </row>
    <row r="94" spans="8:20" x14ac:dyDescent="0.2">
      <c r="H94" s="82"/>
      <c r="I94" s="85" t="s">
        <v>407</v>
      </c>
      <c r="L94" s="82"/>
      <c r="M94" s="82"/>
      <c r="N94" s="82"/>
      <c r="O94" s="82"/>
      <c r="P94" s="82"/>
      <c r="Q94" s="82"/>
      <c r="R94" s="82"/>
      <c r="S94" s="82"/>
      <c r="T94" s="82"/>
    </row>
    <row r="95" spans="8:20" x14ac:dyDescent="0.2">
      <c r="H95" s="82"/>
      <c r="L95" s="82"/>
      <c r="M95" s="82"/>
      <c r="N95" s="82"/>
      <c r="O95" s="82"/>
      <c r="P95" s="82"/>
      <c r="Q95" s="82"/>
      <c r="R95" s="82"/>
      <c r="S95" s="82"/>
      <c r="T95" s="82"/>
    </row>
    <row r="96" spans="8:20" x14ac:dyDescent="0.2">
      <c r="H96" s="82"/>
      <c r="I96" s="169" t="s">
        <v>74</v>
      </c>
      <c r="J96" s="128"/>
      <c r="K96" s="128"/>
      <c r="L96" s="82"/>
      <c r="M96" s="82"/>
      <c r="N96" s="82"/>
      <c r="O96" s="82"/>
      <c r="P96" s="82"/>
      <c r="Q96" s="82"/>
      <c r="R96" s="82"/>
      <c r="S96" s="82"/>
      <c r="T96" s="82"/>
    </row>
    <row r="97" spans="8:20" x14ac:dyDescent="0.2">
      <c r="H97" s="82"/>
      <c r="I97" s="169" t="s">
        <v>74</v>
      </c>
      <c r="J97" s="128"/>
      <c r="K97" s="128"/>
      <c r="L97" s="82"/>
      <c r="M97" s="82"/>
      <c r="N97" s="82"/>
      <c r="O97" s="82"/>
      <c r="P97" s="82"/>
      <c r="Q97" s="82"/>
      <c r="R97" s="82"/>
      <c r="S97" s="82"/>
      <c r="T97" s="82"/>
    </row>
    <row r="98" spans="8:20" x14ac:dyDescent="0.2">
      <c r="H98" s="82"/>
      <c r="I98" s="169" t="s">
        <v>74</v>
      </c>
      <c r="J98" s="128"/>
      <c r="K98" s="128"/>
      <c r="L98" s="82"/>
      <c r="M98" s="82"/>
      <c r="N98" s="82"/>
      <c r="O98" s="82"/>
      <c r="P98" s="82"/>
      <c r="Q98" s="82"/>
      <c r="R98" s="82"/>
      <c r="S98" s="82"/>
      <c r="T98" s="82"/>
    </row>
    <row r="99" spans="8:20" x14ac:dyDescent="0.2">
      <c r="H99" s="82"/>
      <c r="I99" s="169" t="s">
        <v>74</v>
      </c>
      <c r="J99" s="128"/>
      <c r="K99" s="128"/>
      <c r="L99" s="82"/>
      <c r="M99" s="82"/>
      <c r="N99" s="82"/>
      <c r="O99" s="82"/>
      <c r="P99" s="82"/>
      <c r="Q99" s="82"/>
      <c r="R99" s="82"/>
      <c r="S99" s="82"/>
      <c r="T99" s="82"/>
    </row>
    <row r="100" spans="8:20" x14ac:dyDescent="0.2">
      <c r="H100" s="82"/>
      <c r="I100" s="169" t="s">
        <v>74</v>
      </c>
      <c r="J100" s="128"/>
      <c r="K100" s="128"/>
      <c r="L100" s="82"/>
      <c r="M100" s="82"/>
      <c r="N100" s="82"/>
      <c r="O100" s="82"/>
      <c r="P100" s="82"/>
      <c r="Q100" s="82"/>
      <c r="R100" s="82"/>
      <c r="S100" s="82"/>
      <c r="T100" s="82"/>
    </row>
    <row r="101" spans="8:20" x14ac:dyDescent="0.2">
      <c r="H101" s="82"/>
      <c r="I101" s="169" t="s">
        <v>74</v>
      </c>
      <c r="J101" s="128"/>
      <c r="K101" s="128"/>
      <c r="L101" s="82"/>
      <c r="M101" s="82"/>
      <c r="N101" s="82"/>
      <c r="O101" s="82"/>
      <c r="P101" s="82"/>
      <c r="Q101" s="82"/>
      <c r="R101" s="82"/>
      <c r="S101" s="82"/>
      <c r="T101" s="82"/>
    </row>
    <row r="102" spans="8:20" x14ac:dyDescent="0.2">
      <c r="H102" s="82"/>
      <c r="I102" s="169"/>
      <c r="J102" s="128"/>
      <c r="K102" s="128"/>
      <c r="L102" s="82"/>
      <c r="M102" s="82"/>
      <c r="N102" s="82"/>
      <c r="O102" s="82"/>
      <c r="P102" s="82"/>
      <c r="Q102" s="82"/>
      <c r="R102" s="82"/>
      <c r="S102" s="82"/>
      <c r="T102" s="82"/>
    </row>
    <row r="103" spans="8:20" x14ac:dyDescent="0.2">
      <c r="H103" s="82"/>
      <c r="I103" s="169"/>
      <c r="J103" s="128"/>
      <c r="K103" s="128"/>
      <c r="L103" s="82"/>
      <c r="M103" s="82"/>
      <c r="N103" s="82"/>
      <c r="O103" s="82"/>
      <c r="P103" s="82"/>
      <c r="Q103" s="82"/>
      <c r="R103" s="82"/>
      <c r="S103" s="82"/>
      <c r="T103" s="82"/>
    </row>
    <row r="104" spans="8:20" x14ac:dyDescent="0.2">
      <c r="H104" s="82"/>
      <c r="I104" s="169"/>
      <c r="J104" s="128"/>
      <c r="K104" s="128"/>
      <c r="L104" s="82"/>
      <c r="M104" s="82"/>
      <c r="N104" s="82"/>
      <c r="O104" s="82"/>
      <c r="P104" s="82"/>
      <c r="Q104" s="82"/>
      <c r="R104" s="82"/>
      <c r="S104" s="82"/>
      <c r="T104" s="82"/>
    </row>
    <row r="105" spans="8:20" x14ac:dyDescent="0.2">
      <c r="H105" s="82"/>
      <c r="I105" s="169"/>
      <c r="J105" s="128"/>
      <c r="K105" s="128"/>
      <c r="L105" s="82"/>
      <c r="M105" s="82"/>
      <c r="N105" s="82"/>
      <c r="O105" s="82"/>
      <c r="P105" s="82"/>
      <c r="Q105" s="82"/>
      <c r="R105" s="82"/>
      <c r="S105" s="82"/>
      <c r="T105" s="82"/>
    </row>
    <row r="106" spans="8:20" x14ac:dyDescent="0.2">
      <c r="H106" s="82"/>
      <c r="L106" s="82"/>
      <c r="M106" s="82"/>
      <c r="N106" s="82"/>
      <c r="O106" s="82"/>
      <c r="P106" s="82"/>
      <c r="Q106" s="82"/>
      <c r="R106" s="82"/>
      <c r="S106" s="82"/>
      <c r="T106" s="82"/>
    </row>
    <row r="107" spans="8:20" x14ac:dyDescent="0.2">
      <c r="H107" s="82"/>
      <c r="L107" s="82"/>
      <c r="M107" s="82"/>
      <c r="N107" s="82"/>
      <c r="O107" s="82"/>
      <c r="P107" s="82"/>
      <c r="Q107" s="82"/>
      <c r="R107" s="82"/>
      <c r="S107" s="82"/>
      <c r="T107" s="82"/>
    </row>
    <row r="108" spans="8:20" x14ac:dyDescent="0.2">
      <c r="H108" s="82"/>
      <c r="L108" s="82"/>
      <c r="M108" s="82"/>
      <c r="N108" s="82"/>
      <c r="O108" s="82"/>
      <c r="P108" s="82"/>
      <c r="Q108" s="82"/>
      <c r="R108" s="82"/>
      <c r="S108" s="82"/>
      <c r="T108" s="82"/>
    </row>
    <row r="109" spans="8:20" x14ac:dyDescent="0.2">
      <c r="H109" s="82"/>
      <c r="L109" s="82"/>
      <c r="M109" s="82"/>
      <c r="N109" s="82"/>
      <c r="O109" s="82"/>
      <c r="P109" s="82"/>
      <c r="Q109" s="82"/>
      <c r="R109" s="82"/>
      <c r="S109" s="82"/>
      <c r="T109" s="82"/>
    </row>
    <row r="110" spans="8:20" x14ac:dyDescent="0.2">
      <c r="H110" s="82"/>
      <c r="L110" s="82"/>
      <c r="M110" s="82"/>
      <c r="N110" s="82"/>
      <c r="O110" s="82"/>
      <c r="P110" s="82"/>
      <c r="Q110" s="82"/>
      <c r="R110" s="82"/>
      <c r="S110" s="82"/>
      <c r="T110" s="82"/>
    </row>
    <row r="111" spans="8:20" x14ac:dyDescent="0.2">
      <c r="H111" s="82"/>
      <c r="I111" s="91" t="s">
        <v>408</v>
      </c>
      <c r="L111" s="82"/>
      <c r="M111" s="82"/>
      <c r="N111" s="82"/>
      <c r="O111" s="82"/>
      <c r="P111" s="82"/>
      <c r="Q111" s="82"/>
      <c r="R111" s="82"/>
      <c r="S111" s="82"/>
      <c r="T111" s="82"/>
    </row>
    <row r="112" spans="8:20" x14ac:dyDescent="0.2">
      <c r="H112" s="82"/>
    </row>
    <row r="113" spans="1:11" x14ac:dyDescent="0.2">
      <c r="H113" s="82"/>
      <c r="I113" s="88">
        <f>I56</f>
        <v>0</v>
      </c>
    </row>
    <row r="114" spans="1:11" x14ac:dyDescent="0.2">
      <c r="H114" s="82"/>
      <c r="I114" s="88"/>
    </row>
    <row r="115" spans="1:11" x14ac:dyDescent="0.2">
      <c r="E115" s="82"/>
      <c r="F115" s="83" t="str">
        <f>F1</f>
        <v>KENTUCKY DEPARTMENT OF HIGHWAYS</v>
      </c>
      <c r="H115" s="82"/>
      <c r="K115" s="84" t="str">
        <f>K1</f>
        <v>January 2026</v>
      </c>
    </row>
    <row r="116" spans="1:11" x14ac:dyDescent="0.2">
      <c r="E116" s="82"/>
      <c r="F116" s="83" t="str">
        <f>F2</f>
        <v>DIVISION OF MATERIALS</v>
      </c>
      <c r="H116" s="82"/>
    </row>
    <row r="117" spans="1:11" x14ac:dyDescent="0.2">
      <c r="E117" s="82"/>
      <c r="F117" s="83" t="str">
        <f>F3</f>
        <v>Laboratory Mix Design</v>
      </c>
      <c r="H117" s="82"/>
    </row>
    <row r="118" spans="1:11" x14ac:dyDescent="0.2">
      <c r="H118" s="82"/>
    </row>
    <row r="119" spans="1:11" x14ac:dyDescent="0.2">
      <c r="A119" s="85" t="s">
        <v>250</v>
      </c>
      <c r="B119" s="86">
        <f>B5</f>
        <v>0</v>
      </c>
      <c r="C119" s="85" t="s">
        <v>179</v>
      </c>
      <c r="D119" s="81">
        <f>D5</f>
        <v>0</v>
      </c>
      <c r="F119" s="85" t="s">
        <v>394</v>
      </c>
      <c r="G119" s="1687" t="str">
        <f>G5</f>
        <v/>
      </c>
      <c r="H119" s="1687"/>
      <c r="I119" s="1687"/>
      <c r="J119" s="1687"/>
      <c r="K119" s="1687"/>
    </row>
    <row r="120" spans="1:11" ht="13.5" x14ac:dyDescent="0.25">
      <c r="A120" s="85" t="s">
        <v>395</v>
      </c>
      <c r="C120" s="81" t="str">
        <f>C6</f>
        <v>Enter Project(s) &amp; Line Item(s)</v>
      </c>
      <c r="H120" s="85" t="s">
        <v>396</v>
      </c>
      <c r="I120" s="82"/>
      <c r="J120" s="203" t="str">
        <f>J6</f>
        <v/>
      </c>
      <c r="K120" s="87"/>
    </row>
    <row r="121" spans="1:11" x14ac:dyDescent="0.2">
      <c r="A121" s="88"/>
      <c r="C121" s="81" t="str">
        <f>C7</f>
        <v>On 'Project Items' Tab.</v>
      </c>
      <c r="H121" s="85" t="s">
        <v>258</v>
      </c>
      <c r="I121" s="82"/>
      <c r="J121" s="89">
        <f>J7</f>
        <v>0</v>
      </c>
      <c r="K121" s="87"/>
    </row>
    <row r="122" spans="1:11" x14ac:dyDescent="0.2">
      <c r="A122" s="85" t="s">
        <v>400</v>
      </c>
      <c r="C122" s="86" t="str">
        <f>C8</f>
        <v/>
      </c>
      <c r="H122" s="85" t="s">
        <v>401</v>
      </c>
      <c r="J122" s="109">
        <f>J8</f>
        <v>0</v>
      </c>
      <c r="K122" s="87"/>
    </row>
    <row r="123" spans="1:11" x14ac:dyDescent="0.2">
      <c r="H123" s="85" t="s">
        <v>194</v>
      </c>
      <c r="J123" s="109">
        <f>J9</f>
        <v>0</v>
      </c>
      <c r="K123" s="87"/>
    </row>
    <row r="124" spans="1:11" x14ac:dyDescent="0.2">
      <c r="H124" s="82"/>
    </row>
    <row r="125" spans="1:11" x14ac:dyDescent="0.2">
      <c r="H125" s="82"/>
    </row>
    <row r="126" spans="1:11" x14ac:dyDescent="0.2">
      <c r="H126" s="82"/>
    </row>
    <row r="127" spans="1:11" x14ac:dyDescent="0.2">
      <c r="H127" s="82"/>
    </row>
    <row r="128" spans="1:11" x14ac:dyDescent="0.2">
      <c r="H128" s="82"/>
      <c r="I128" s="85" t="s">
        <v>402</v>
      </c>
    </row>
    <row r="129" spans="8:11" x14ac:dyDescent="0.2">
      <c r="H129" s="82"/>
    </row>
    <row r="130" spans="8:11" x14ac:dyDescent="0.2">
      <c r="H130" s="82"/>
    </row>
    <row r="131" spans="8:11" x14ac:dyDescent="0.2">
      <c r="H131" s="82"/>
      <c r="I131" s="81" t="s">
        <v>403</v>
      </c>
      <c r="K131" s="92">
        <f>K17</f>
        <v>0</v>
      </c>
    </row>
    <row r="132" spans="8:11" x14ac:dyDescent="0.2">
      <c r="H132" s="82"/>
      <c r="K132" s="90"/>
    </row>
    <row r="133" spans="8:11" x14ac:dyDescent="0.2">
      <c r="H133" s="82"/>
      <c r="K133" s="90"/>
    </row>
    <row r="134" spans="8:11" x14ac:dyDescent="0.2">
      <c r="H134" s="82"/>
      <c r="I134" s="81" t="s">
        <v>412</v>
      </c>
      <c r="K134" s="1137" t="str">
        <f>'Chart Data'!BL17</f>
        <v/>
      </c>
    </row>
    <row r="135" spans="8:11" x14ac:dyDescent="0.2">
      <c r="H135" s="82"/>
      <c r="K135" s="90"/>
    </row>
    <row r="136" spans="8:11" x14ac:dyDescent="0.2">
      <c r="H136" s="82"/>
      <c r="K136" s="90"/>
    </row>
    <row r="137" spans="8:11" x14ac:dyDescent="0.2">
      <c r="H137" s="82"/>
      <c r="I137" s="574" t="s">
        <v>413</v>
      </c>
      <c r="K137" s="126"/>
    </row>
    <row r="138" spans="8:11" x14ac:dyDescent="0.2">
      <c r="H138" s="82"/>
      <c r="K138" s="90"/>
    </row>
    <row r="139" spans="8:11" x14ac:dyDescent="0.2">
      <c r="H139" s="82"/>
      <c r="K139" s="90"/>
    </row>
    <row r="140" spans="8:11" x14ac:dyDescent="0.2">
      <c r="H140" s="82"/>
      <c r="I140" s="81" t="s">
        <v>414</v>
      </c>
      <c r="K140" s="126"/>
    </row>
    <row r="141" spans="8:11" x14ac:dyDescent="0.2">
      <c r="H141" s="82"/>
    </row>
    <row r="142" spans="8:11" x14ac:dyDescent="0.2">
      <c r="H142" s="82"/>
    </row>
    <row r="143" spans="8:11" x14ac:dyDescent="0.2">
      <c r="H143" s="82"/>
      <c r="I143" s="618" t="str">
        <f>I86</f>
        <v/>
      </c>
      <c r="J143" s="588"/>
      <c r="K143" s="588"/>
    </row>
    <row r="144" spans="8:11" x14ac:dyDescent="0.2">
      <c r="H144" s="82"/>
      <c r="I144" s="618" t="str">
        <f>I87</f>
        <v/>
      </c>
      <c r="J144" s="588"/>
      <c r="K144" s="588"/>
    </row>
    <row r="145" spans="1:11" x14ac:dyDescent="0.2">
      <c r="H145" s="82"/>
      <c r="I145" s="618" t="str">
        <f>I88</f>
        <v/>
      </c>
      <c r="J145" s="588"/>
      <c r="K145" s="588"/>
    </row>
    <row r="146" spans="1:11" x14ac:dyDescent="0.2">
      <c r="H146" s="82"/>
      <c r="I146" s="82"/>
    </row>
    <row r="147" spans="1:11" x14ac:dyDescent="0.2">
      <c r="H147" s="82"/>
    </row>
    <row r="148" spans="1:11" x14ac:dyDescent="0.2">
      <c r="H148" s="82"/>
    </row>
    <row r="149" spans="1:11" x14ac:dyDescent="0.2">
      <c r="H149" s="82"/>
    </row>
    <row r="150" spans="1:11" x14ac:dyDescent="0.2">
      <c r="H150" s="82"/>
    </row>
    <row r="151" spans="1:11" x14ac:dyDescent="0.2">
      <c r="H151" s="82"/>
      <c r="I151" s="85" t="s">
        <v>407</v>
      </c>
    </row>
    <row r="152" spans="1:11" x14ac:dyDescent="0.2">
      <c r="H152" s="82"/>
    </row>
    <row r="153" spans="1:11" x14ac:dyDescent="0.2">
      <c r="H153" s="82"/>
      <c r="I153" s="169" t="s">
        <v>74</v>
      </c>
      <c r="J153" s="128"/>
      <c r="K153" s="128"/>
    </row>
    <row r="154" spans="1:11" x14ac:dyDescent="0.2">
      <c r="H154" s="82"/>
      <c r="I154" s="169" t="s">
        <v>74</v>
      </c>
      <c r="J154" s="128"/>
      <c r="K154" s="128"/>
    </row>
    <row r="155" spans="1:11" x14ac:dyDescent="0.2">
      <c r="H155" s="82"/>
      <c r="I155" s="169" t="s">
        <v>74</v>
      </c>
      <c r="J155" s="128"/>
      <c r="K155" s="128"/>
    </row>
    <row r="156" spans="1:11" x14ac:dyDescent="0.2">
      <c r="H156" s="82"/>
      <c r="I156" s="169" t="s">
        <v>74</v>
      </c>
      <c r="J156" s="128"/>
      <c r="K156" s="128"/>
    </row>
    <row r="157" spans="1:11" x14ac:dyDescent="0.2">
      <c r="A157"/>
      <c r="B157"/>
      <c r="C157"/>
      <c r="D157"/>
      <c r="E157"/>
      <c r="F157"/>
      <c r="G157"/>
      <c r="H157" s="82"/>
      <c r="I157" s="169" t="s">
        <v>74</v>
      </c>
      <c r="J157" s="128"/>
      <c r="K157" s="128"/>
    </row>
    <row r="158" spans="1:11" x14ac:dyDescent="0.2">
      <c r="A158"/>
      <c r="B158"/>
      <c r="C158"/>
      <c r="D158"/>
      <c r="E158"/>
      <c r="F158"/>
      <c r="G158"/>
      <c r="H158" s="82"/>
      <c r="I158" s="169" t="s">
        <v>74</v>
      </c>
      <c r="J158" s="128"/>
      <c r="K158" s="128"/>
    </row>
    <row r="159" spans="1:11" x14ac:dyDescent="0.2">
      <c r="A159"/>
      <c r="B159"/>
      <c r="C159"/>
      <c r="D159"/>
      <c r="E159"/>
      <c r="F159"/>
      <c r="G159"/>
      <c r="H159" s="82"/>
      <c r="I159" s="169"/>
      <c r="J159" s="128"/>
      <c r="K159" s="128"/>
    </row>
    <row r="160" spans="1:11" x14ac:dyDescent="0.2">
      <c r="A160"/>
      <c r="B160"/>
      <c r="C160"/>
      <c r="D160"/>
      <c r="E160"/>
      <c r="F160"/>
      <c r="G160"/>
      <c r="H160" s="82"/>
      <c r="I160" s="169"/>
      <c r="J160" s="128"/>
      <c r="K160" s="128"/>
    </row>
    <row r="161" spans="1:11" x14ac:dyDescent="0.2">
      <c r="A161"/>
      <c r="B161"/>
      <c r="C161"/>
      <c r="D161"/>
      <c r="E161"/>
      <c r="F161"/>
      <c r="G161"/>
      <c r="H161" s="82"/>
      <c r="I161" s="169"/>
      <c r="J161" s="128"/>
      <c r="K161" s="128"/>
    </row>
    <row r="162" spans="1:11" x14ac:dyDescent="0.2">
      <c r="A162"/>
      <c r="B162"/>
      <c r="C162"/>
      <c r="D162"/>
      <c r="E162"/>
      <c r="F162"/>
      <c r="G162"/>
      <c r="H162" s="82"/>
      <c r="I162" s="169"/>
      <c r="J162" s="128"/>
      <c r="K162" s="128"/>
    </row>
    <row r="163" spans="1:11" x14ac:dyDescent="0.2">
      <c r="A163"/>
      <c r="B163"/>
      <c r="C163"/>
      <c r="D163"/>
      <c r="E163"/>
      <c r="F163"/>
      <c r="G163"/>
      <c r="H163" s="82"/>
    </row>
    <row r="164" spans="1:11" x14ac:dyDescent="0.2">
      <c r="A164"/>
      <c r="B164"/>
      <c r="C164"/>
      <c r="D164"/>
      <c r="E164"/>
      <c r="F164"/>
      <c r="G164"/>
      <c r="H164" s="82"/>
    </row>
    <row r="165" spans="1:11" x14ac:dyDescent="0.2">
      <c r="A165"/>
      <c r="B165"/>
      <c r="C165"/>
      <c r="D165"/>
      <c r="E165"/>
      <c r="F165"/>
      <c r="G165"/>
      <c r="H165" s="82"/>
    </row>
    <row r="166" spans="1:11" x14ac:dyDescent="0.2">
      <c r="A166"/>
      <c r="B166"/>
      <c r="C166"/>
      <c r="D166"/>
      <c r="E166"/>
      <c r="F166"/>
      <c r="G166"/>
      <c r="H166" s="82"/>
    </row>
    <row r="167" spans="1:11" x14ac:dyDescent="0.2">
      <c r="A167"/>
      <c r="B167"/>
      <c r="C167"/>
      <c r="D167"/>
      <c r="E167"/>
      <c r="F167"/>
      <c r="G167"/>
      <c r="H167" s="82"/>
    </row>
    <row r="168" spans="1:11" x14ac:dyDescent="0.2">
      <c r="A168"/>
      <c r="B168"/>
      <c r="C168"/>
      <c r="D168"/>
      <c r="E168"/>
      <c r="F168"/>
      <c r="G168"/>
      <c r="H168" s="82"/>
      <c r="I168" s="91" t="s">
        <v>408</v>
      </c>
    </row>
    <row r="169" spans="1:11" x14ac:dyDescent="0.2">
      <c r="A169"/>
      <c r="B169"/>
      <c r="C169"/>
      <c r="D169"/>
      <c r="E169"/>
      <c r="F169"/>
      <c r="G169"/>
      <c r="H169" s="82"/>
    </row>
    <row r="170" spans="1:11" x14ac:dyDescent="0.2">
      <c r="A170"/>
      <c r="B170"/>
      <c r="C170"/>
      <c r="D170"/>
      <c r="E170"/>
      <c r="F170"/>
      <c r="G170"/>
      <c r="H170" s="82"/>
      <c r="I170" s="88">
        <f>I56</f>
        <v>0</v>
      </c>
    </row>
    <row r="171" spans="1:11" x14ac:dyDescent="0.2">
      <c r="A171"/>
      <c r="B171"/>
      <c r="C171"/>
      <c r="D171"/>
      <c r="E171"/>
      <c r="F171"/>
      <c r="G171"/>
      <c r="H171" s="82"/>
      <c r="I171" s="82"/>
    </row>
    <row r="172" spans="1:11" x14ac:dyDescent="0.2">
      <c r="H172" s="82"/>
      <c r="I172" s="82"/>
    </row>
    <row r="173" spans="1:11" x14ac:dyDescent="0.2">
      <c r="H173" s="82"/>
      <c r="I173" s="88"/>
    </row>
    <row r="174" spans="1:11" x14ac:dyDescent="0.2">
      <c r="H174" s="82"/>
      <c r="I174" s="88"/>
    </row>
    <row r="175" spans="1:11" x14ac:dyDescent="0.2">
      <c r="I175" s="88"/>
    </row>
    <row r="176" spans="1:11" x14ac:dyDescent="0.2">
      <c r="A176" s="93"/>
      <c r="B176" s="93"/>
      <c r="C176" s="93"/>
      <c r="D176" s="94"/>
      <c r="E176" s="93"/>
      <c r="F176" s="93"/>
    </row>
    <row r="177" spans="1:6" x14ac:dyDescent="0.2">
      <c r="A177" s="93"/>
      <c r="B177" s="93"/>
      <c r="C177" s="93"/>
      <c r="D177" s="94"/>
      <c r="E177" s="93"/>
      <c r="F177" s="93"/>
    </row>
    <row r="178" spans="1:6" x14ac:dyDescent="0.2">
      <c r="A178" s="93"/>
      <c r="B178" s="93"/>
      <c r="C178" s="93"/>
      <c r="D178" s="94"/>
      <c r="E178" s="93"/>
      <c r="F178" s="93"/>
    </row>
    <row r="179" spans="1:6" x14ac:dyDescent="0.2">
      <c r="A179" s="93"/>
      <c r="B179" s="93"/>
      <c r="C179" s="93"/>
      <c r="D179" s="94"/>
      <c r="E179" s="93"/>
      <c r="F179" s="93"/>
    </row>
    <row r="180" spans="1:6" x14ac:dyDescent="0.2">
      <c r="A180" s="93"/>
      <c r="B180" s="93"/>
      <c r="C180" s="93"/>
      <c r="D180" s="95"/>
      <c r="E180" s="93"/>
      <c r="F180" s="93"/>
    </row>
    <row r="181" spans="1:6" x14ac:dyDescent="0.2">
      <c r="A181" s="93"/>
      <c r="B181" s="93"/>
      <c r="C181" s="93"/>
      <c r="D181" s="95"/>
      <c r="E181" s="93"/>
      <c r="F181" s="93"/>
    </row>
    <row r="182" spans="1:6" x14ac:dyDescent="0.2">
      <c r="A182" s="93"/>
      <c r="B182" s="93"/>
      <c r="C182" s="93"/>
      <c r="D182" s="95"/>
      <c r="E182" s="93"/>
      <c r="F182" s="93"/>
    </row>
    <row r="183" spans="1:6" x14ac:dyDescent="0.2">
      <c r="A183" s="93"/>
      <c r="B183" s="93"/>
      <c r="C183" s="93"/>
      <c r="D183" s="95"/>
      <c r="E183" s="93"/>
      <c r="F183" s="93"/>
    </row>
    <row r="184" spans="1:6" x14ac:dyDescent="0.2">
      <c r="A184" s="93"/>
      <c r="B184" s="94"/>
      <c r="C184" s="93"/>
      <c r="D184" s="93"/>
      <c r="E184" s="93"/>
      <c r="F184" s="93"/>
    </row>
    <row r="185" spans="1:6" x14ac:dyDescent="0.2">
      <c r="A185" s="93"/>
      <c r="B185" s="94"/>
      <c r="C185" s="93"/>
      <c r="D185" s="93"/>
      <c r="E185" s="93"/>
      <c r="F185" s="93"/>
    </row>
    <row r="186" spans="1:6" x14ac:dyDescent="0.2">
      <c r="A186" s="93"/>
      <c r="B186" s="94"/>
      <c r="C186" s="93"/>
      <c r="D186" s="93"/>
      <c r="E186" s="93"/>
      <c r="F186" s="93"/>
    </row>
    <row r="187" spans="1:6" x14ac:dyDescent="0.2">
      <c r="A187" s="93"/>
      <c r="B187" s="94"/>
      <c r="C187" s="93"/>
      <c r="D187" s="93"/>
      <c r="E187" s="93"/>
      <c r="F187" s="93"/>
    </row>
    <row r="188" spans="1:6" x14ac:dyDescent="0.2">
      <c r="A188" s="93"/>
      <c r="B188" s="93"/>
      <c r="C188" s="93"/>
      <c r="D188" s="94"/>
      <c r="E188" s="93"/>
      <c r="F188" s="93"/>
    </row>
    <row r="189" spans="1:6" x14ac:dyDescent="0.2">
      <c r="A189" s="93"/>
      <c r="B189" s="93"/>
      <c r="C189" s="93"/>
      <c r="D189" s="94"/>
      <c r="E189" s="93"/>
      <c r="F189" s="93"/>
    </row>
    <row r="190" spans="1:6" x14ac:dyDescent="0.2">
      <c r="A190" s="93"/>
      <c r="B190" s="93"/>
      <c r="C190" s="93"/>
      <c r="D190" s="95"/>
      <c r="E190" s="93"/>
      <c r="F190" s="93"/>
    </row>
    <row r="191" spans="1:6" x14ac:dyDescent="0.2">
      <c r="A191" s="93"/>
      <c r="B191" s="93"/>
      <c r="C191" s="93"/>
      <c r="D191" s="95"/>
      <c r="E191" s="93"/>
      <c r="F191" s="93"/>
    </row>
    <row r="192" spans="1:6" x14ac:dyDescent="0.2">
      <c r="A192" s="93"/>
      <c r="B192" s="94"/>
      <c r="C192" s="93"/>
      <c r="D192" s="93"/>
      <c r="E192" s="93"/>
      <c r="F192" s="93"/>
    </row>
    <row r="193" spans="1:6" x14ac:dyDescent="0.2">
      <c r="A193" s="93"/>
      <c r="B193" s="94"/>
      <c r="C193" s="93"/>
      <c r="D193" s="93"/>
      <c r="E193" s="93"/>
      <c r="F193" s="93"/>
    </row>
  </sheetData>
  <sheetProtection algorithmName="SHA-512" hashValue="LRLGkPhnIB2v3KFT5+qHkTKwuM6JzZY9dj2u3mg+84+75nFEGqEyUcrYWs+KSPzl3rkA6pNQIJn0UPpKVT4DrQ==" saltValue="UxX4K4Fq+ZWaM/Wc+PzFnw==" spinCount="100000" sheet="1" objects="1" scenarios="1"/>
  <mergeCells count="3">
    <mergeCell ref="G5:K5"/>
    <mergeCell ref="G62:K62"/>
    <mergeCell ref="G119:K119"/>
  </mergeCells>
  <phoneticPr fontId="16" type="noConversion"/>
  <printOptions horizontalCentered="1" verticalCentered="1"/>
  <pageMargins left="0.25" right="0.25" top="0.25" bottom="0" header="0.5" footer="0.5"/>
  <pageSetup orientation="portrait" horizontalDpi="4294967292" verticalDpi="4294967292" r:id="rId1"/>
  <headerFooter alignWithMargins="0"/>
  <rowBreaks count="3" manualBreakCount="3">
    <brk id="57" max="10" man="1"/>
    <brk id="114" max="10" man="1"/>
    <brk id="171" max="65535" man="1"/>
  </rowBreak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pageSetUpPr fitToPage="1"/>
  </sheetPr>
  <dimension ref="A1:U74"/>
  <sheetViews>
    <sheetView showGridLines="0" topLeftCell="A6" zoomScaleNormal="100" workbookViewId="0">
      <selection activeCell="C25" sqref="C25:D25"/>
      <extLst>
        <ext xmlns:xlsdti="http://schemas.microsoft.com/office/spreadsheetml/2023/showDataTypeIcons" uri="{77bfe23e-c014-4d31-8a63-9c772dbf06b6}">
          <xlsdti:showDataTypeIcons visible="0"/>
        </ext>
      </extLst>
    </sheetView>
  </sheetViews>
  <sheetFormatPr defaultColWidth="9.140625" defaultRowHeight="12.75" x14ac:dyDescent="0.2"/>
  <cols>
    <col min="1" max="1" width="14.42578125" style="277" customWidth="1"/>
    <col min="2" max="2" width="7.28515625" style="277" customWidth="1"/>
    <col min="3" max="3" width="7.7109375" style="277" customWidth="1"/>
    <col min="4" max="4" width="7.5703125" style="277" customWidth="1"/>
    <col min="5" max="15" width="7.28515625" style="277" customWidth="1"/>
    <col min="16" max="16" width="9" style="277" customWidth="1"/>
    <col min="17" max="16384" width="9.140625" style="277"/>
  </cols>
  <sheetData>
    <row r="1" spans="1:18" ht="13.5" thickTop="1" x14ac:dyDescent="0.2">
      <c r="A1" s="274"/>
      <c r="B1" s="275"/>
      <c r="C1" s="275"/>
      <c r="D1" s="275"/>
      <c r="E1" s="275"/>
      <c r="F1" s="275"/>
      <c r="G1" s="275"/>
      <c r="H1" s="275"/>
      <c r="I1" s="275"/>
      <c r="J1" s="275"/>
      <c r="K1" s="275"/>
      <c r="L1" s="275"/>
      <c r="M1" s="275"/>
      <c r="N1" s="275"/>
      <c r="O1" s="276" t="str">
        <f>'Design Data'!U2</f>
        <v>January 2026</v>
      </c>
    </row>
    <row r="2" spans="1:18" s="281" customFormat="1" ht="13.9" customHeight="1" x14ac:dyDescent="0.25">
      <c r="A2" s="278" t="s">
        <v>75</v>
      </c>
      <c r="B2" s="279"/>
      <c r="C2" s="279"/>
      <c r="D2" s="279"/>
      <c r="E2" s="279"/>
      <c r="F2" s="279"/>
      <c r="G2" s="279"/>
      <c r="H2" s="279"/>
      <c r="I2" s="279"/>
      <c r="J2" s="279"/>
      <c r="K2" s="279"/>
      <c r="L2" s="279"/>
      <c r="M2" s="279"/>
      <c r="N2" s="279"/>
      <c r="O2" s="280"/>
    </row>
    <row r="3" spans="1:18" s="281" customFormat="1" ht="13.9" customHeight="1" x14ac:dyDescent="0.25">
      <c r="A3" s="278" t="s">
        <v>76</v>
      </c>
      <c r="B3" s="279"/>
      <c r="C3" s="279"/>
      <c r="D3" s="279"/>
      <c r="E3" s="279"/>
      <c r="F3" s="279"/>
      <c r="G3" s="279"/>
      <c r="H3" s="279"/>
      <c r="I3" s="279"/>
      <c r="J3" s="279"/>
      <c r="K3" s="279"/>
      <c r="L3" s="279"/>
      <c r="M3" s="279"/>
      <c r="N3" s="279"/>
      <c r="O3" s="280"/>
    </row>
    <row r="4" spans="1:18" s="281" customFormat="1" ht="13.9" customHeight="1" x14ac:dyDescent="0.25">
      <c r="A4" s="278" t="s">
        <v>77</v>
      </c>
      <c r="B4" s="279"/>
      <c r="C4" s="279"/>
      <c r="D4" s="279"/>
      <c r="E4" s="279"/>
      <c r="F4" s="279"/>
      <c r="G4" s="279"/>
      <c r="H4" s="279"/>
      <c r="I4" s="279"/>
      <c r="J4" s="279"/>
      <c r="K4" s="279"/>
      <c r="L4" s="279"/>
      <c r="M4" s="279"/>
      <c r="N4" s="279"/>
      <c r="O4" s="280"/>
    </row>
    <row r="5" spans="1:18" s="281" customFormat="1" ht="13.9" customHeight="1" thickBot="1" x14ac:dyDescent="0.25">
      <c r="A5" s="282"/>
      <c r="B5" s="283"/>
      <c r="C5" s="283"/>
      <c r="D5" s="283"/>
      <c r="E5" s="283"/>
      <c r="F5" s="283"/>
      <c r="G5" s="283"/>
      <c r="H5" s="283"/>
      <c r="I5" s="283"/>
      <c r="J5" s="283"/>
      <c r="K5" s="283"/>
      <c r="L5" s="283"/>
      <c r="M5" s="283"/>
      <c r="N5" s="283"/>
      <c r="O5" s="284"/>
    </row>
    <row r="6" spans="1:18" s="281" customFormat="1" ht="13.9" customHeight="1" thickTop="1" x14ac:dyDescent="0.2"/>
    <row r="7" spans="1:18" s="281" customFormat="1" ht="13.9" customHeight="1" x14ac:dyDescent="0.25">
      <c r="A7" s="285" t="s">
        <v>415</v>
      </c>
      <c r="B7" s="286"/>
      <c r="C7" s="286"/>
      <c r="D7" s="286"/>
      <c r="E7" s="286"/>
      <c r="F7" s="286"/>
      <c r="G7" s="286"/>
      <c r="H7" s="286"/>
      <c r="I7" s="286"/>
      <c r="J7" s="286"/>
      <c r="K7" s="286"/>
      <c r="L7" s="286"/>
      <c r="M7" s="286"/>
      <c r="N7" s="286"/>
      <c r="O7" s="286"/>
    </row>
    <row r="8" spans="1:18" s="281" customFormat="1" ht="13.9" customHeight="1" x14ac:dyDescent="0.2">
      <c r="A8"/>
      <c r="B8" s="287"/>
      <c r="C8" s="287"/>
      <c r="D8" s="287"/>
      <c r="E8" s="287"/>
      <c r="F8" s="287"/>
      <c r="G8" s="287"/>
      <c r="H8" s="287"/>
      <c r="I8" s="287"/>
      <c r="J8" s="287"/>
      <c r="K8" s="287"/>
      <c r="L8" s="287"/>
      <c r="M8" s="287"/>
      <c r="N8" s="287"/>
      <c r="O8" s="287"/>
    </row>
    <row r="9" spans="1:18" s="281" customFormat="1" ht="13.9" customHeight="1" x14ac:dyDescent="0.2">
      <c r="A9" s="288" t="s">
        <v>416</v>
      </c>
      <c r="B9" s="289" t="str">
        <f>IF('Design Data'!H10="","",'Design Data'!H10)</f>
        <v/>
      </c>
      <c r="E9"/>
      <c r="F9" s="288" t="s">
        <v>80</v>
      </c>
      <c r="H9" s="289" t="str">
        <f>IF('Design Data'!K10="","",'Design Data'!K10)</f>
        <v/>
      </c>
      <c r="J9" s="288" t="s">
        <v>417</v>
      </c>
      <c r="K9"/>
      <c r="L9" s="1688" t="str">
        <f>'Chart Data'!W14</f>
        <v/>
      </c>
      <c r="M9" s="1688"/>
      <c r="N9" s="1688"/>
      <c r="O9" s="1688"/>
    </row>
    <row r="10" spans="1:18" s="281" customFormat="1" ht="13.9" customHeight="1" x14ac:dyDescent="0.2">
      <c r="E10"/>
      <c r="K10"/>
      <c r="L10" s="1688"/>
      <c r="M10" s="1688"/>
      <c r="N10" s="1688"/>
      <c r="O10" s="1688"/>
    </row>
    <row r="11" spans="1:18" s="281" customFormat="1" ht="13.9" customHeight="1" x14ac:dyDescent="0.2">
      <c r="A11" s="288" t="s">
        <v>418</v>
      </c>
      <c r="B11" s="289" t="str">
        <f>IF('Design Data'!C14="","",'Design Data'!C14)</f>
        <v>Enter Project(s) &amp; Line Item(s)</v>
      </c>
      <c r="E11"/>
      <c r="F11" s="288" t="s">
        <v>81</v>
      </c>
      <c r="H11" s="289" t="str">
        <f>IF('Design Data'!H12="","",'Design Data'!H12)</f>
        <v/>
      </c>
      <c r="J11" s="288" t="s">
        <v>419</v>
      </c>
      <c r="K11"/>
      <c r="L11" s="1688" t="e">
        <f>IF('Design Data'!Q14="","",'Design Data'!I15)</f>
        <v>#N/A</v>
      </c>
      <c r="M11" s="1688"/>
      <c r="N11" s="1688"/>
      <c r="O11" s="1688"/>
      <c r="P11" s="34"/>
      <c r="R11" s="290"/>
    </row>
    <row r="12" spans="1:18" s="281" customFormat="1" ht="13.9" customHeight="1" x14ac:dyDescent="0.2">
      <c r="B12" s="289" t="str">
        <f>IF('Design Data'!C15="","",'Design Data'!C15)</f>
        <v>On 'Project Items' Tab.</v>
      </c>
      <c r="E12"/>
      <c r="F12"/>
      <c r="G12"/>
      <c r="H12"/>
      <c r="I12"/>
      <c r="J12"/>
      <c r="K12"/>
      <c r="L12" s="1688"/>
      <c r="M12" s="1688"/>
      <c r="N12" s="1688"/>
      <c r="O12" s="1688"/>
      <c r="P12" s="34"/>
    </row>
    <row r="13" spans="1:18" s="281" customFormat="1" ht="13.9" customHeight="1" x14ac:dyDescent="0.2">
      <c r="A13" s="288" t="s">
        <v>420</v>
      </c>
      <c r="B13" s="289" t="str">
        <f>IF('Design Data'!C18="","",'Design Data'!C18)</f>
        <v/>
      </c>
      <c r="E13"/>
      <c r="F13" s="288" t="s">
        <v>1830</v>
      </c>
      <c r="H13" s="281" t="str">
        <f>IF('Chart Data'!AJ37="","",'Chart Data'!AJ37)</f>
        <v>PG64-22</v>
      </c>
      <c r="J13" s="288" t="s">
        <v>82</v>
      </c>
      <c r="K13"/>
      <c r="L13" s="281" t="s">
        <v>421</v>
      </c>
      <c r="M13"/>
      <c r="N13"/>
      <c r="O13"/>
      <c r="P13" s="34"/>
    </row>
    <row r="14" spans="1:18" s="281" customFormat="1" ht="13.9" customHeight="1" thickBot="1" x14ac:dyDescent="0.25">
      <c r="A14" s="965" t="s">
        <v>1829</v>
      </c>
      <c r="B14"/>
      <c r="E14"/>
      <c r="J14" s="34"/>
      <c r="P14" s="34"/>
    </row>
    <row r="15" spans="1:18" s="281" customFormat="1" ht="13.9" customHeight="1" thickTop="1" thickBot="1" x14ac:dyDescent="0.25">
      <c r="A15" s="288" t="s">
        <v>422</v>
      </c>
      <c r="B15" s="289" t="str">
        <f>IF('Design Data'!H18="","",'Design Data'!A17)</f>
        <v/>
      </c>
      <c r="E15"/>
      <c r="F15" s="62" t="s">
        <v>1233</v>
      </c>
      <c r="H15" s="289" t="str">
        <f>IF(H13="","",VLOOKUP(H13,'Chart Data'!J33:K36,2,FALSE))</f>
        <v>300/265 (deg. F)</v>
      </c>
      <c r="I15" s="68"/>
      <c r="J15"/>
      <c r="K15" s="291" t="s">
        <v>423</v>
      </c>
      <c r="L15" s="292"/>
      <c r="M15" s="293"/>
      <c r="N15" s="294"/>
      <c r="O15" s="295"/>
      <c r="P15" s="34"/>
    </row>
    <row r="16" spans="1:18" s="281" customFormat="1" ht="13.9" customHeight="1" thickTop="1" thickBot="1" x14ac:dyDescent="0.25">
      <c r="A16"/>
      <c r="B16"/>
      <c r="C16"/>
      <c r="D16"/>
      <c r="E16"/>
      <c r="F16"/>
      <c r="G16"/>
      <c r="H16"/>
      <c r="I16"/>
      <c r="J16"/>
      <c r="K16" s="296" t="s">
        <v>424</v>
      </c>
      <c r="L16" s="297"/>
      <c r="M16" s="298"/>
      <c r="N16" s="299"/>
      <c r="O16" s="300"/>
      <c r="P16" s="34"/>
      <c r="Q16" s="34"/>
      <c r="R16" s="34"/>
    </row>
    <row r="17" spans="1:21" s="281" customFormat="1" ht="13.9" customHeight="1" thickTop="1" x14ac:dyDescent="0.2">
      <c r="A17" s="301" t="str">
        <f>IF(B31=150,"TSR specimens are to be compacted to a height","TSR specimens are to be compacted by the")</f>
        <v>TSR specimens are to be compacted to a height</v>
      </c>
      <c r="B17" s="302"/>
      <c r="C17" s="302"/>
      <c r="D17" s="302"/>
      <c r="E17" s="303"/>
      <c r="F17"/>
      <c r="G17" s="304" t="s">
        <v>425</v>
      </c>
      <c r="H17" s="305" t="s">
        <v>426</v>
      </c>
      <c r="I17" s="306"/>
      <c r="J17"/>
      <c r="K17" s="600" t="s">
        <v>427</v>
      </c>
      <c r="L17" s="601"/>
      <c r="M17" s="602"/>
      <c r="N17" s="603"/>
      <c r="O17" s="604"/>
      <c r="P17" s="270"/>
      <c r="Q17" s="270"/>
      <c r="R17" s="270"/>
    </row>
    <row r="18" spans="1:21" s="281" customFormat="1" ht="13.9" customHeight="1" thickBot="1" x14ac:dyDescent="0.25">
      <c r="A18" s="312" t="str">
        <f>IF(B31=150,"of 95.0 mm with a target air void percentage of","amount of blows that will yeild 7.0% (+ or - 1.0%)")</f>
        <v>of 95.0 mm with a target air void percentage of</v>
      </c>
      <c r="B18" s="313"/>
      <c r="C18" s="313"/>
      <c r="D18" s="313"/>
      <c r="E18" s="314"/>
      <c r="F18"/>
      <c r="G18" s="575"/>
      <c r="H18" s="1689"/>
      <c r="I18" s="1690"/>
      <c r="J18" s="315"/>
      <c r="K18" s="307" t="s">
        <v>428</v>
      </c>
      <c r="L18" s="308"/>
      <c r="M18" s="309"/>
      <c r="N18" s="310" t="str">
        <f>IF(N17="","",(($G$18)*N17)/(100-($G$18)))</f>
        <v/>
      </c>
      <c r="O18" s="311" t="str">
        <f>IF(O17="","",(($G$18)*O17)/(100-($G$18)))</f>
        <v/>
      </c>
      <c r="P18" s="34"/>
      <c r="Q18" s="34"/>
      <c r="R18" s="34"/>
    </row>
    <row r="19" spans="1:21" s="281" customFormat="1" ht="13.9" customHeight="1" thickTop="1" x14ac:dyDescent="0.2">
      <c r="A19" s="312" t="str">
        <f>IF(B31=150,"7.0 % (+ or - 1.0 %).  The target degree of initial","air voids.  The target degree of initial saturation")</f>
        <v>7.0 % (+ or - 1.0 %).  The target degree of initial</v>
      </c>
      <c r="B19" s="313"/>
      <c r="C19" s="313"/>
      <c r="D19" s="313"/>
      <c r="E19" s="314"/>
      <c r="F19"/>
      <c r="G19" s="305" t="s">
        <v>429</v>
      </c>
      <c r="H19" s="316"/>
      <c r="I19" s="306"/>
      <c r="J19"/>
      <c r="K19" s="317" t="s">
        <v>430</v>
      </c>
      <c r="L19" s="308"/>
      <c r="M19" s="318"/>
      <c r="N19" s="319"/>
      <c r="O19" s="320"/>
      <c r="P19" s="34"/>
      <c r="Q19" s="321"/>
      <c r="R19" s="321"/>
    </row>
    <row r="20" spans="1:21" s="281" customFormat="1" ht="13.9" customHeight="1" thickBot="1" x14ac:dyDescent="0.25">
      <c r="A20" s="322" t="str">
        <f>IF(B31=150,"saturation is 65.0% (+ or - 5.0 %).","is 65.0% (+ or - 5.0%)")</f>
        <v>saturation is 65.0% (+ or - 5.0 %).</v>
      </c>
      <c r="B20" s="323"/>
      <c r="C20" s="323"/>
      <c r="D20" s="323"/>
      <c r="E20" s="324"/>
      <c r="F20"/>
      <c r="G20" s="1689"/>
      <c r="H20" s="1691"/>
      <c r="I20" s="1690"/>
      <c r="J20"/>
      <c r="K20" s="317" t="s">
        <v>431</v>
      </c>
      <c r="L20" s="308"/>
      <c r="M20" s="325"/>
      <c r="N20" s="319"/>
      <c r="O20" s="320"/>
      <c r="P20" s="34"/>
      <c r="Q20" s="321"/>
      <c r="R20" s="321"/>
      <c r="S20"/>
      <c r="T20"/>
      <c r="U20"/>
    </row>
    <row r="21" spans="1:21" s="281" customFormat="1" ht="13.9" customHeight="1" thickTop="1" thickBot="1" x14ac:dyDescent="0.25">
      <c r="A21"/>
      <c r="B21"/>
      <c r="C21"/>
      <c r="D21"/>
      <c r="E21"/>
      <c r="F21"/>
      <c r="G21"/>
      <c r="H21"/>
      <c r="I21"/>
      <c r="K21" s="317" t="s">
        <v>432</v>
      </c>
      <c r="L21" s="308"/>
      <c r="M21" s="326"/>
      <c r="N21" s="319"/>
      <c r="O21" s="320"/>
      <c r="P21" s="34"/>
      <c r="Q21" s="321"/>
      <c r="R21" s="321"/>
      <c r="S21"/>
      <c r="T21"/>
      <c r="U21"/>
    </row>
    <row r="22" spans="1:21" s="281" customFormat="1" ht="13.9" customHeight="1" thickTop="1" thickBot="1" x14ac:dyDescent="0.25">
      <c r="A22" s="327" t="s">
        <v>433</v>
      </c>
      <c r="B22" s="328"/>
      <c r="C22" s="78" t="s">
        <v>434</v>
      </c>
      <c r="D22" s="70"/>
      <c r="E22" s="78" t="s">
        <v>435</v>
      </c>
      <c r="F22" s="70"/>
      <c r="G22" s="329"/>
      <c r="H22" s="330" t="s">
        <v>436</v>
      </c>
      <c r="I22" s="331"/>
      <c r="J22"/>
      <c r="K22" s="317" t="s">
        <v>437</v>
      </c>
      <c r="L22" s="308"/>
      <c r="M22" s="309"/>
      <c r="N22" s="332" t="str">
        <f>IF(N21="","",N21-N20)</f>
        <v/>
      </c>
      <c r="O22" s="333" t="str">
        <f>IF(O21="","",O21-O20)</f>
        <v/>
      </c>
      <c r="Q22" s="321"/>
      <c r="R22" s="321"/>
    </row>
    <row r="23" spans="1:21" s="281" customFormat="1" ht="13.9" customHeight="1" thickTop="1" x14ac:dyDescent="0.2">
      <c r="A23" s="296" t="s">
        <v>438</v>
      </c>
      <c r="B23" s="334"/>
      <c r="C23" s="1711"/>
      <c r="D23" s="1712"/>
      <c r="E23" s="1698"/>
      <c r="F23" s="1699"/>
      <c r="G23" s="1692"/>
      <c r="H23" s="1693"/>
      <c r="I23" s="1694"/>
      <c r="J23"/>
      <c r="K23" s="317" t="s">
        <v>439</v>
      </c>
      <c r="L23" s="308"/>
      <c r="M23" s="335"/>
      <c r="N23" s="336" t="str">
        <f>IF(N22="","",(N19/N22))</f>
        <v/>
      </c>
      <c r="O23" s="337" t="str">
        <f>IF(O22="","",(O19/O22))</f>
        <v/>
      </c>
      <c r="Q23" s="338"/>
      <c r="R23" s="338"/>
    </row>
    <row r="24" spans="1:21" s="281" customFormat="1" ht="13.9" customHeight="1" x14ac:dyDescent="0.2">
      <c r="A24" s="307" t="s">
        <v>440</v>
      </c>
      <c r="B24" s="339"/>
      <c r="C24" s="1707"/>
      <c r="D24" s="1708"/>
      <c r="E24" s="1700"/>
      <c r="F24" s="1701"/>
      <c r="G24" s="1702"/>
      <c r="H24" s="1703"/>
      <c r="I24" s="1704"/>
      <c r="J24"/>
      <c r="K24" s="317" t="s">
        <v>205</v>
      </c>
      <c r="L24" s="308"/>
      <c r="M24" s="340"/>
      <c r="N24" s="341"/>
      <c r="O24" s="337" t="str">
        <f>IF(N24="","",N24)</f>
        <v/>
      </c>
      <c r="Q24" s="338"/>
      <c r="R24" s="338"/>
    </row>
    <row r="25" spans="1:21" s="281" customFormat="1" ht="13.9" customHeight="1" x14ac:dyDescent="0.2">
      <c r="A25" s="307" t="s">
        <v>441</v>
      </c>
      <c r="B25" s="342"/>
      <c r="C25" s="1707"/>
      <c r="D25" s="1708"/>
      <c r="E25" s="1700"/>
      <c r="F25" s="1701"/>
      <c r="G25" s="1702"/>
      <c r="H25" s="1703"/>
      <c r="I25" s="1704"/>
      <c r="J25"/>
      <c r="K25" s="317" t="s">
        <v>202</v>
      </c>
      <c r="L25" s="308"/>
      <c r="M25" s="309"/>
      <c r="N25" s="332" t="str">
        <f>IF(N21="","",(100*(N24-N23)/N24))</f>
        <v/>
      </c>
      <c r="O25" s="333" t="str">
        <f>IF(O21="","",(100*(O24-O23)/O24))</f>
        <v/>
      </c>
      <c r="Q25" s="321"/>
      <c r="R25" s="321"/>
    </row>
    <row r="26" spans="1:21" s="281" customFormat="1" ht="13.9" customHeight="1" x14ac:dyDescent="0.2">
      <c r="A26" s="317" t="s">
        <v>442</v>
      </c>
      <c r="B26" s="342"/>
      <c r="C26" s="1707"/>
      <c r="D26" s="1708"/>
      <c r="E26" s="1700"/>
      <c r="F26" s="1701"/>
      <c r="G26" s="1702"/>
      <c r="H26" s="1703"/>
      <c r="I26" s="1704"/>
      <c r="J26"/>
      <c r="K26" s="307" t="s">
        <v>443</v>
      </c>
      <c r="L26" s="308"/>
      <c r="M26" s="199"/>
      <c r="N26" s="343" t="str">
        <f>IF(N24="","",7)</f>
        <v/>
      </c>
      <c r="O26" s="344" t="str">
        <f>IF(N24="","","%")</f>
        <v/>
      </c>
      <c r="Q26" s="243"/>
      <c r="R26" s="34"/>
    </row>
    <row r="27" spans="1:21" s="281" customFormat="1" ht="13.9" customHeight="1" x14ac:dyDescent="0.2">
      <c r="A27" s="307" t="s">
        <v>444</v>
      </c>
      <c r="B27" s="342"/>
      <c r="C27" s="1707"/>
      <c r="D27" s="1708"/>
      <c r="E27" s="1700"/>
      <c r="F27" s="1701"/>
      <c r="G27" s="1702"/>
      <c r="H27" s="1703"/>
      <c r="I27" s="1704"/>
      <c r="J27"/>
      <c r="K27" s="307" t="s">
        <v>445</v>
      </c>
      <c r="L27" s="308"/>
      <c r="M27" s="309"/>
      <c r="N27" s="345" t="str">
        <f>IF($N$21="","",(N17+(((N25-N26)/(N25-O25))*(O17-N17))))</f>
        <v/>
      </c>
      <c r="O27" s="346"/>
      <c r="Q27" s="242"/>
      <c r="R27" s="34"/>
    </row>
    <row r="28" spans="1:21" s="281" customFormat="1" ht="13.9" customHeight="1" thickBot="1" x14ac:dyDescent="0.25">
      <c r="A28" s="347" t="s">
        <v>446</v>
      </c>
      <c r="B28" s="348"/>
      <c r="C28" s="1709"/>
      <c r="D28" s="1710"/>
      <c r="E28" s="1705"/>
      <c r="F28" s="1706"/>
      <c r="G28" s="1695"/>
      <c r="H28" s="1696"/>
      <c r="I28" s="1697"/>
      <c r="J28"/>
      <c r="K28" s="349" t="s">
        <v>447</v>
      </c>
      <c r="L28" s="350"/>
      <c r="M28" s="351"/>
      <c r="N28" s="352" t="str">
        <f>IF(N27="","",(($G$18)*N27)/(100-($G$18)))</f>
        <v/>
      </c>
      <c r="O28" s="353"/>
      <c r="Q28" s="270"/>
    </row>
    <row r="29" spans="1:21" s="281" customFormat="1" ht="13.9" customHeight="1" thickTop="1" thickBot="1" x14ac:dyDescent="0.25">
      <c r="J29"/>
      <c r="K29"/>
      <c r="L29"/>
      <c r="M29"/>
      <c r="N29"/>
      <c r="O29"/>
    </row>
    <row r="30" spans="1:21" ht="13.9" customHeight="1" thickTop="1" thickBot="1" x14ac:dyDescent="0.25">
      <c r="A30" s="354" t="s">
        <v>448</v>
      </c>
      <c r="B30" s="355">
        <v>1</v>
      </c>
      <c r="C30" s="356">
        <v>2</v>
      </c>
      <c r="D30" s="356">
        <v>3</v>
      </c>
      <c r="E30" s="356">
        <v>4</v>
      </c>
      <c r="F30" s="356">
        <v>5</v>
      </c>
      <c r="G30" s="357">
        <v>6</v>
      </c>
      <c r="H30" s="358" t="s">
        <v>161</v>
      </c>
      <c r="I30" s="355">
        <v>7</v>
      </c>
      <c r="J30" s="356">
        <v>8</v>
      </c>
      <c r="K30" s="356">
        <v>9</v>
      </c>
      <c r="L30" s="356">
        <v>10</v>
      </c>
      <c r="M30" s="356">
        <v>11</v>
      </c>
      <c r="N30" s="357">
        <v>12</v>
      </c>
      <c r="O30" s="359" t="s">
        <v>161</v>
      </c>
    </row>
    <row r="31" spans="1:21" ht="13.5" thickTop="1" x14ac:dyDescent="0.2">
      <c r="A31" s="360" t="s">
        <v>449</v>
      </c>
      <c r="B31" s="361">
        <v>150</v>
      </c>
      <c r="C31" s="362">
        <f>$B$31</f>
        <v>150</v>
      </c>
      <c r="D31" s="362">
        <f>$B$31</f>
        <v>150</v>
      </c>
      <c r="E31" s="362">
        <f>$B$31</f>
        <v>150</v>
      </c>
      <c r="F31" s="362">
        <f>$B$31</f>
        <v>150</v>
      </c>
      <c r="G31" s="363">
        <f>$B$31</f>
        <v>150</v>
      </c>
      <c r="H31" s="364"/>
      <c r="I31" s="365">
        <f t="shared" ref="I31:N31" si="0">$B$31</f>
        <v>150</v>
      </c>
      <c r="J31" s="362">
        <f t="shared" si="0"/>
        <v>150</v>
      </c>
      <c r="K31" s="362">
        <f t="shared" si="0"/>
        <v>150</v>
      </c>
      <c r="L31" s="362">
        <f t="shared" si="0"/>
        <v>150</v>
      </c>
      <c r="M31" s="362">
        <f t="shared" si="0"/>
        <v>150</v>
      </c>
      <c r="N31" s="363">
        <f t="shared" si="0"/>
        <v>150</v>
      </c>
      <c r="O31" s="364"/>
    </row>
    <row r="32" spans="1:21" x14ac:dyDescent="0.2">
      <c r="A32" s="360" t="s">
        <v>450</v>
      </c>
      <c r="B32" s="366"/>
      <c r="C32" s="367"/>
      <c r="D32" s="367"/>
      <c r="E32" s="367"/>
      <c r="F32" s="367"/>
      <c r="G32" s="368"/>
      <c r="H32" s="369"/>
      <c r="I32" s="366"/>
      <c r="J32" s="367"/>
      <c r="K32" s="367"/>
      <c r="L32" s="367"/>
      <c r="M32" s="367"/>
      <c r="N32" s="368"/>
      <c r="O32" s="369"/>
    </row>
    <row r="33" spans="1:15" x14ac:dyDescent="0.2">
      <c r="A33" s="360" t="s">
        <v>451</v>
      </c>
      <c r="B33" s="366"/>
      <c r="C33" s="367"/>
      <c r="D33" s="367"/>
      <c r="E33" s="367"/>
      <c r="F33" s="367"/>
      <c r="G33" s="368"/>
      <c r="H33" s="364"/>
      <c r="I33" s="366"/>
      <c r="J33" s="367"/>
      <c r="K33" s="367"/>
      <c r="L33" s="367"/>
      <c r="M33" s="367"/>
      <c r="N33" s="368"/>
      <c r="O33" s="364"/>
    </row>
    <row r="34" spans="1:15" x14ac:dyDescent="0.2">
      <c r="A34" s="360" t="s">
        <v>432</v>
      </c>
      <c r="B34" s="366"/>
      <c r="C34" s="367"/>
      <c r="D34" s="367"/>
      <c r="E34" s="367"/>
      <c r="F34" s="367"/>
      <c r="G34" s="368"/>
      <c r="H34" s="364"/>
      <c r="I34" s="366"/>
      <c r="J34" s="367"/>
      <c r="K34" s="367"/>
      <c r="L34" s="367"/>
      <c r="M34" s="367"/>
      <c r="N34" s="368"/>
      <c r="O34" s="364"/>
    </row>
    <row r="35" spans="1:15" x14ac:dyDescent="0.2">
      <c r="A35" s="360" t="s">
        <v>452</v>
      </c>
      <c r="B35" s="366"/>
      <c r="C35" s="367"/>
      <c r="D35" s="367"/>
      <c r="E35" s="367"/>
      <c r="F35" s="367"/>
      <c r="G35" s="368"/>
      <c r="H35" s="364"/>
      <c r="I35" s="366"/>
      <c r="J35" s="367"/>
      <c r="K35" s="367"/>
      <c r="L35" s="367"/>
      <c r="M35" s="367"/>
      <c r="N35" s="368"/>
      <c r="O35" s="364"/>
    </row>
    <row r="36" spans="1:15" x14ac:dyDescent="0.2">
      <c r="A36" s="360" t="s">
        <v>453</v>
      </c>
      <c r="B36" s="370" t="str">
        <f t="shared" ref="B36:G36" si="1">IF(B34="","",B34-B35)</f>
        <v/>
      </c>
      <c r="C36" s="371" t="str">
        <f t="shared" si="1"/>
        <v/>
      </c>
      <c r="D36" s="371" t="str">
        <f t="shared" si="1"/>
        <v/>
      </c>
      <c r="E36" s="371" t="str">
        <f t="shared" si="1"/>
        <v/>
      </c>
      <c r="F36" s="371" t="str">
        <f t="shared" si="1"/>
        <v/>
      </c>
      <c r="G36" s="372" t="str">
        <f t="shared" si="1"/>
        <v/>
      </c>
      <c r="H36" s="364"/>
      <c r="I36" s="370" t="str">
        <f t="shared" ref="I36:N36" si="2">IF(I34="","",I34-I35)</f>
        <v/>
      </c>
      <c r="J36" s="371" t="str">
        <f t="shared" si="2"/>
        <v/>
      </c>
      <c r="K36" s="371" t="str">
        <f t="shared" si="2"/>
        <v/>
      </c>
      <c r="L36" s="371" t="str">
        <f t="shared" si="2"/>
        <v/>
      </c>
      <c r="M36" s="371" t="str">
        <f t="shared" si="2"/>
        <v/>
      </c>
      <c r="N36" s="372" t="str">
        <f t="shared" si="2"/>
        <v/>
      </c>
      <c r="O36" s="364"/>
    </row>
    <row r="37" spans="1:15" x14ac:dyDescent="0.2">
      <c r="A37" s="360" t="s">
        <v>454</v>
      </c>
      <c r="B37" s="373" t="str">
        <f t="shared" ref="B37:G37" si="3">IF(B36="","",(B33/B36))</f>
        <v/>
      </c>
      <c r="C37" s="374" t="str">
        <f t="shared" si="3"/>
        <v/>
      </c>
      <c r="D37" s="374" t="str">
        <f t="shared" si="3"/>
        <v/>
      </c>
      <c r="E37" s="374" t="str">
        <f t="shared" si="3"/>
        <v/>
      </c>
      <c r="F37" s="374" t="str">
        <f t="shared" si="3"/>
        <v/>
      </c>
      <c r="G37" s="375" t="str">
        <f t="shared" si="3"/>
        <v/>
      </c>
      <c r="H37" s="376"/>
      <c r="I37" s="373" t="str">
        <f t="shared" ref="I37:N37" si="4">IF(I36="","",(I33/I36))</f>
        <v/>
      </c>
      <c r="J37" s="374" t="str">
        <f t="shared" si="4"/>
        <v/>
      </c>
      <c r="K37" s="374" t="str">
        <f t="shared" si="4"/>
        <v/>
      </c>
      <c r="L37" s="374" t="str">
        <f t="shared" si="4"/>
        <v/>
      </c>
      <c r="M37" s="374" t="str">
        <f t="shared" si="4"/>
        <v/>
      </c>
      <c r="N37" s="375" t="str">
        <f t="shared" si="4"/>
        <v/>
      </c>
      <c r="O37" s="376"/>
    </row>
    <row r="38" spans="1:15" x14ac:dyDescent="0.2">
      <c r="A38" s="360" t="s">
        <v>455</v>
      </c>
      <c r="B38" s="377"/>
      <c r="C38" s="374" t="str">
        <f>IF(C35="","",$B$38)</f>
        <v/>
      </c>
      <c r="D38" s="374" t="str">
        <f>IF(D35="","",$B$38)</f>
        <v/>
      </c>
      <c r="E38" s="374" t="str">
        <f>IF(E35="","",$B$38)</f>
        <v/>
      </c>
      <c r="F38" s="374" t="str">
        <f>IF(F35="","",$B$38)</f>
        <v/>
      </c>
      <c r="G38" s="375" t="str">
        <f>IF(G35="","",$B$38)</f>
        <v/>
      </c>
      <c r="H38" s="376"/>
      <c r="I38" s="373" t="str">
        <f t="shared" ref="I38:N38" si="5">IF(I35="","",$B$38)</f>
        <v/>
      </c>
      <c r="J38" s="374" t="str">
        <f t="shared" si="5"/>
        <v/>
      </c>
      <c r="K38" s="374" t="str">
        <f t="shared" si="5"/>
        <v/>
      </c>
      <c r="L38" s="374" t="str">
        <f t="shared" si="5"/>
        <v/>
      </c>
      <c r="M38" s="374" t="str">
        <f t="shared" si="5"/>
        <v/>
      </c>
      <c r="N38" s="375" t="str">
        <f t="shared" si="5"/>
        <v/>
      </c>
      <c r="O38" s="376"/>
    </row>
    <row r="39" spans="1:15" x14ac:dyDescent="0.2">
      <c r="A39" s="360" t="s">
        <v>202</v>
      </c>
      <c r="B39" s="370" t="str">
        <f t="shared" ref="B39:G39" si="6">IF(B37="","",(100*(B38-B37)/B38))</f>
        <v/>
      </c>
      <c r="C39" s="371" t="str">
        <f t="shared" si="6"/>
        <v/>
      </c>
      <c r="D39" s="371" t="str">
        <f t="shared" si="6"/>
        <v/>
      </c>
      <c r="E39" s="371" t="str">
        <f t="shared" si="6"/>
        <v/>
      </c>
      <c r="F39" s="371" t="str">
        <f t="shared" si="6"/>
        <v/>
      </c>
      <c r="G39" s="372" t="str">
        <f t="shared" si="6"/>
        <v/>
      </c>
      <c r="H39" s="364" t="str">
        <f>IF(B39="","",(AVERAGE(B39:G39)))</f>
        <v/>
      </c>
      <c r="I39" s="370" t="str">
        <f t="shared" ref="I39:N39" si="7">IF(I37="","",(100*(I38-I37)/I38))</f>
        <v/>
      </c>
      <c r="J39" s="371" t="str">
        <f t="shared" si="7"/>
        <v/>
      </c>
      <c r="K39" s="371" t="str">
        <f t="shared" si="7"/>
        <v/>
      </c>
      <c r="L39" s="371" t="str">
        <f t="shared" si="7"/>
        <v/>
      </c>
      <c r="M39" s="371" t="str">
        <f t="shared" si="7"/>
        <v/>
      </c>
      <c r="N39" s="372" t="str">
        <f t="shared" si="7"/>
        <v/>
      </c>
      <c r="O39" s="364" t="str">
        <f>IF(I39="","",(AVERAGE(I39:N39)))</f>
        <v/>
      </c>
    </row>
    <row r="40" spans="1:15" x14ac:dyDescent="0.2">
      <c r="A40" s="360" t="s">
        <v>456</v>
      </c>
      <c r="B40" s="370" t="str">
        <f t="shared" ref="B40:G40" si="8">IF(B39="","",(B39*B36/100))</f>
        <v/>
      </c>
      <c r="C40" s="371" t="str">
        <f t="shared" si="8"/>
        <v/>
      </c>
      <c r="D40" s="371" t="str">
        <f t="shared" si="8"/>
        <v/>
      </c>
      <c r="E40" s="371" t="str">
        <f t="shared" si="8"/>
        <v/>
      </c>
      <c r="F40" s="371" t="str">
        <f t="shared" si="8"/>
        <v/>
      </c>
      <c r="G40" s="372" t="str">
        <f t="shared" si="8"/>
        <v/>
      </c>
      <c r="H40" s="364"/>
      <c r="I40" s="370" t="str">
        <f t="shared" ref="I40:N40" si="9">IF(I39="","",(I39*I36/100))</f>
        <v/>
      </c>
      <c r="J40" s="371" t="str">
        <f t="shared" si="9"/>
        <v/>
      </c>
      <c r="K40" s="371" t="str">
        <f t="shared" si="9"/>
        <v/>
      </c>
      <c r="L40" s="371" t="str">
        <f t="shared" si="9"/>
        <v/>
      </c>
      <c r="M40" s="371" t="str">
        <f t="shared" si="9"/>
        <v/>
      </c>
      <c r="N40" s="372" t="str">
        <f t="shared" si="9"/>
        <v/>
      </c>
      <c r="O40" s="364"/>
    </row>
    <row r="41" spans="1:15" ht="13.5" thickBot="1" x14ac:dyDescent="0.25">
      <c r="A41" s="360" t="s">
        <v>457</v>
      </c>
      <c r="B41" s="378"/>
      <c r="C41" s="379"/>
      <c r="D41" s="379"/>
      <c r="E41" s="379"/>
      <c r="F41" s="379"/>
      <c r="G41" s="380"/>
      <c r="H41" s="381"/>
      <c r="I41" s="378"/>
      <c r="J41" s="379"/>
      <c r="K41" s="379"/>
      <c r="L41" s="379"/>
      <c r="M41" s="379"/>
      <c r="N41" s="380"/>
      <c r="O41" s="381"/>
    </row>
    <row r="42" spans="1:15" ht="14.25" thickTop="1" thickBot="1" x14ac:dyDescent="0.25">
      <c r="A42" s="382" t="s">
        <v>458</v>
      </c>
      <c r="B42" s="383"/>
      <c r="C42" s="383"/>
      <c r="D42" s="383"/>
      <c r="E42" s="383"/>
      <c r="F42" s="383"/>
      <c r="G42" s="383"/>
      <c r="H42" s="383"/>
      <c r="I42" s="383"/>
      <c r="J42" s="383"/>
      <c r="K42" s="383"/>
      <c r="L42" s="383"/>
      <c r="M42" s="383"/>
      <c r="N42" s="383"/>
      <c r="O42" s="383"/>
    </row>
    <row r="43" spans="1:15" ht="14.25" thickTop="1" thickBot="1" x14ac:dyDescent="0.25">
      <c r="A43" s="354" t="s">
        <v>448</v>
      </c>
      <c r="B43" s="384">
        <f t="shared" ref="B43:G43" si="10">B30</f>
        <v>1</v>
      </c>
      <c r="C43" s="384">
        <f t="shared" si="10"/>
        <v>2</v>
      </c>
      <c r="D43" s="384">
        <f t="shared" si="10"/>
        <v>3</v>
      </c>
      <c r="E43" s="384">
        <f t="shared" si="10"/>
        <v>4</v>
      </c>
      <c r="F43" s="384">
        <f t="shared" si="10"/>
        <v>5</v>
      </c>
      <c r="G43" s="384">
        <f t="shared" si="10"/>
        <v>6</v>
      </c>
      <c r="H43" s="385" t="s">
        <v>161</v>
      </c>
      <c r="I43" s="386">
        <f t="shared" ref="I43:N43" si="11">I30</f>
        <v>7</v>
      </c>
      <c r="J43" s="384">
        <f t="shared" si="11"/>
        <v>8</v>
      </c>
      <c r="K43" s="384">
        <f t="shared" si="11"/>
        <v>9</v>
      </c>
      <c r="L43" s="384">
        <f t="shared" si="11"/>
        <v>10</v>
      </c>
      <c r="M43" s="384">
        <f t="shared" si="11"/>
        <v>11</v>
      </c>
      <c r="N43" s="387">
        <f t="shared" si="11"/>
        <v>12</v>
      </c>
      <c r="O43" s="385" t="s">
        <v>161</v>
      </c>
    </row>
    <row r="44" spans="1:15" ht="13.5" thickTop="1" x14ac:dyDescent="0.2">
      <c r="A44" s="388" t="s">
        <v>432</v>
      </c>
      <c r="B44" s="367"/>
      <c r="C44" s="367"/>
      <c r="D44" s="367"/>
      <c r="E44" s="367"/>
      <c r="F44" s="367"/>
      <c r="G44" s="367"/>
      <c r="H44" s="364"/>
      <c r="I44" s="361"/>
      <c r="J44" s="893"/>
      <c r="K44" s="893"/>
      <c r="L44" s="893"/>
      <c r="M44" s="893"/>
      <c r="N44" s="894"/>
      <c r="O44" s="364"/>
    </row>
    <row r="45" spans="1:15" x14ac:dyDescent="0.2">
      <c r="A45" s="388" t="s">
        <v>459</v>
      </c>
      <c r="B45" s="370" t="str">
        <f t="shared" ref="B45:G45" si="12">IF(B44-B34&gt;0,B44-B33," ")</f>
        <v xml:space="preserve"> </v>
      </c>
      <c r="C45" s="371" t="str">
        <f t="shared" si="12"/>
        <v xml:space="preserve"> </v>
      </c>
      <c r="D45" s="371" t="str">
        <f t="shared" si="12"/>
        <v xml:space="preserve"> </v>
      </c>
      <c r="E45" s="371" t="str">
        <f t="shared" si="12"/>
        <v xml:space="preserve"> </v>
      </c>
      <c r="F45" s="371" t="str">
        <f t="shared" si="12"/>
        <v xml:space="preserve"> </v>
      </c>
      <c r="G45" s="372" t="str">
        <f t="shared" si="12"/>
        <v xml:space="preserve"> </v>
      </c>
      <c r="H45" s="364"/>
      <c r="I45" s="370" t="str">
        <f t="shared" ref="I45:N45" si="13">IF(I44-I34&gt;0,I44-I33," ")</f>
        <v xml:space="preserve"> </v>
      </c>
      <c r="J45" s="371" t="str">
        <f t="shared" si="13"/>
        <v xml:space="preserve"> </v>
      </c>
      <c r="K45" s="371" t="str">
        <f t="shared" si="13"/>
        <v xml:space="preserve"> </v>
      </c>
      <c r="L45" s="371" t="str">
        <f t="shared" si="13"/>
        <v xml:space="preserve"> </v>
      </c>
      <c r="M45" s="371" t="str">
        <f t="shared" si="13"/>
        <v xml:space="preserve"> </v>
      </c>
      <c r="N45" s="372" t="str">
        <f t="shared" si="13"/>
        <v xml:space="preserve"> </v>
      </c>
      <c r="O45" s="364"/>
    </row>
    <row r="46" spans="1:15" ht="13.5" thickBot="1" x14ac:dyDescent="0.25">
      <c r="A46" s="388" t="s">
        <v>460</v>
      </c>
      <c r="B46" s="895" t="str">
        <f t="shared" ref="B46:G46" si="14">IF(ISNUMBER(B45),100*B45/B40," ")</f>
        <v xml:space="preserve"> </v>
      </c>
      <c r="C46" s="394" t="str">
        <f t="shared" si="14"/>
        <v xml:space="preserve"> </v>
      </c>
      <c r="D46" s="394" t="str">
        <f t="shared" si="14"/>
        <v xml:space="preserve"> </v>
      </c>
      <c r="E46" s="394" t="str">
        <f t="shared" si="14"/>
        <v xml:space="preserve"> </v>
      </c>
      <c r="F46" s="394" t="str">
        <f t="shared" si="14"/>
        <v xml:space="preserve"> </v>
      </c>
      <c r="G46" s="896" t="str">
        <f t="shared" si="14"/>
        <v xml:space="preserve"> </v>
      </c>
      <c r="H46" s="364" t="str">
        <f>IF(ISERROR(AVERAGE(B46:G46)),"",AVERAGE(B46:G46))</f>
        <v/>
      </c>
      <c r="I46" s="895" t="str">
        <f t="shared" ref="I46:N46" si="15">IF(ISNUMBER(I45),100*I45/I40," ")</f>
        <v xml:space="preserve"> </v>
      </c>
      <c r="J46" s="394" t="str">
        <f t="shared" si="15"/>
        <v xml:space="preserve"> </v>
      </c>
      <c r="K46" s="394" t="str">
        <f t="shared" si="15"/>
        <v xml:space="preserve"> </v>
      </c>
      <c r="L46" s="394" t="str">
        <f t="shared" si="15"/>
        <v xml:space="preserve"> </v>
      </c>
      <c r="M46" s="394" t="str">
        <f t="shared" si="15"/>
        <v xml:space="preserve"> </v>
      </c>
      <c r="N46" s="896" t="str">
        <f t="shared" si="15"/>
        <v xml:space="preserve"> </v>
      </c>
      <c r="O46" s="364" t="str">
        <f>IF(ISERROR(AVERAGE(I46:N46)),"",AVERAGE(I46:N46))</f>
        <v/>
      </c>
    </row>
    <row r="47" spans="1:15" ht="15.75" thickTop="1" thickBot="1" x14ac:dyDescent="0.25">
      <c r="A47" s="382" t="s">
        <v>461</v>
      </c>
      <c r="B47" s="382"/>
      <c r="C47" s="382"/>
      <c r="D47" s="382"/>
      <c r="E47" s="383"/>
      <c r="F47" s="383"/>
      <c r="G47" s="383"/>
      <c r="H47" s="389"/>
      <c r="I47" s="383"/>
      <c r="J47" s="383"/>
      <c r="K47" s="383"/>
      <c r="L47" s="383"/>
      <c r="M47" s="383"/>
      <c r="N47" s="383"/>
      <c r="O47" s="389"/>
    </row>
    <row r="48" spans="1:15" ht="14.25" thickTop="1" thickBot="1" x14ac:dyDescent="0.25">
      <c r="A48" s="354" t="s">
        <v>448</v>
      </c>
      <c r="B48" s="384">
        <f t="shared" ref="B48:G48" si="16">B43</f>
        <v>1</v>
      </c>
      <c r="C48" s="384">
        <f t="shared" si="16"/>
        <v>2</v>
      </c>
      <c r="D48" s="384">
        <f t="shared" si="16"/>
        <v>3</v>
      </c>
      <c r="E48" s="384">
        <f t="shared" si="16"/>
        <v>4</v>
      </c>
      <c r="F48" s="384">
        <f t="shared" si="16"/>
        <v>5</v>
      </c>
      <c r="G48" s="384">
        <f t="shared" si="16"/>
        <v>6</v>
      </c>
      <c r="H48" s="385" t="s">
        <v>161</v>
      </c>
      <c r="I48" s="386">
        <f t="shared" ref="I48:N48" si="17">I43</f>
        <v>7</v>
      </c>
      <c r="J48" s="384">
        <f t="shared" si="17"/>
        <v>8</v>
      </c>
      <c r="K48" s="384">
        <f t="shared" si="17"/>
        <v>9</v>
      </c>
      <c r="L48" s="384">
        <f t="shared" si="17"/>
        <v>10</v>
      </c>
      <c r="M48" s="384">
        <f t="shared" si="17"/>
        <v>11</v>
      </c>
      <c r="N48" s="387">
        <f t="shared" si="17"/>
        <v>12</v>
      </c>
      <c r="O48" s="385" t="s">
        <v>161</v>
      </c>
    </row>
    <row r="49" spans="1:15" ht="13.5" thickTop="1" x14ac:dyDescent="0.2">
      <c r="A49" s="388" t="s">
        <v>450</v>
      </c>
      <c r="B49" s="367"/>
      <c r="C49" s="367"/>
      <c r="D49" s="367"/>
      <c r="E49" s="367"/>
      <c r="F49" s="367"/>
      <c r="G49" s="367"/>
      <c r="H49" s="369"/>
      <c r="I49" s="361"/>
      <c r="J49" s="893"/>
      <c r="K49" s="893"/>
      <c r="L49" s="893"/>
      <c r="M49" s="893"/>
      <c r="N49" s="894"/>
      <c r="O49" s="369"/>
    </row>
    <row r="50" spans="1:15" x14ac:dyDescent="0.2">
      <c r="A50" s="388" t="s">
        <v>432</v>
      </c>
      <c r="B50" s="367"/>
      <c r="C50" s="367"/>
      <c r="D50" s="367"/>
      <c r="E50" s="367"/>
      <c r="F50" s="367"/>
      <c r="G50" s="367"/>
      <c r="H50" s="364"/>
      <c r="I50" s="366"/>
      <c r="J50" s="367"/>
      <c r="K50" s="367"/>
      <c r="L50" s="367"/>
      <c r="M50" s="367"/>
      <c r="N50" s="368"/>
      <c r="O50" s="364"/>
    </row>
    <row r="51" spans="1:15" x14ac:dyDescent="0.2">
      <c r="A51" s="388" t="s">
        <v>459</v>
      </c>
      <c r="B51" s="370" t="str">
        <f t="shared" ref="B51:G51" si="18">IF(B50-B34&gt;0,B50-B33," ")</f>
        <v xml:space="preserve"> </v>
      </c>
      <c r="C51" s="371" t="str">
        <f t="shared" si="18"/>
        <v xml:space="preserve"> </v>
      </c>
      <c r="D51" s="371" t="str">
        <f t="shared" si="18"/>
        <v xml:space="preserve"> </v>
      </c>
      <c r="E51" s="371" t="str">
        <f t="shared" si="18"/>
        <v xml:space="preserve"> </v>
      </c>
      <c r="F51" s="371" t="str">
        <f t="shared" si="18"/>
        <v xml:space="preserve"> </v>
      </c>
      <c r="G51" s="372" t="str">
        <f t="shared" si="18"/>
        <v xml:space="preserve"> </v>
      </c>
      <c r="H51" s="364"/>
      <c r="I51" s="370" t="str">
        <f t="shared" ref="I51:N51" si="19">IF(I50-I34&gt;0,I50-I33," ")</f>
        <v xml:space="preserve"> </v>
      </c>
      <c r="J51" s="371" t="str">
        <f t="shared" si="19"/>
        <v xml:space="preserve"> </v>
      </c>
      <c r="K51" s="371" t="str">
        <f t="shared" si="19"/>
        <v xml:space="preserve"> </v>
      </c>
      <c r="L51" s="371" t="str">
        <f t="shared" si="19"/>
        <v xml:space="preserve"> </v>
      </c>
      <c r="M51" s="371" t="str">
        <f t="shared" si="19"/>
        <v xml:space="preserve"> </v>
      </c>
      <c r="N51" s="372" t="str">
        <f t="shared" si="19"/>
        <v xml:space="preserve"> </v>
      </c>
      <c r="O51" s="390"/>
    </row>
    <row r="52" spans="1:15" x14ac:dyDescent="0.2">
      <c r="A52" s="388" t="s">
        <v>460</v>
      </c>
      <c r="B52" s="370" t="str">
        <f t="shared" ref="B52:G52" si="20">IF(ISNUMBER(B51),100*B51/B40," ")</f>
        <v xml:space="preserve"> </v>
      </c>
      <c r="C52" s="371" t="str">
        <f t="shared" si="20"/>
        <v xml:space="preserve"> </v>
      </c>
      <c r="D52" s="371" t="str">
        <f t="shared" si="20"/>
        <v xml:space="preserve"> </v>
      </c>
      <c r="E52" s="371" t="str">
        <f t="shared" si="20"/>
        <v xml:space="preserve"> </v>
      </c>
      <c r="F52" s="371" t="str">
        <f t="shared" si="20"/>
        <v xml:space="preserve"> </v>
      </c>
      <c r="G52" s="372" t="str">
        <f t="shared" si="20"/>
        <v xml:space="preserve"> </v>
      </c>
      <c r="H52" s="391" t="str">
        <f>IF(ISERROR(AVERAGE(B52:G52)),"",AVERAGE(B52:G52))</f>
        <v/>
      </c>
      <c r="I52" s="370" t="str">
        <f t="shared" ref="I52:N52" si="21">IF(ISNUMBER(I51),100*I51/I40," ")</f>
        <v xml:space="preserve"> </v>
      </c>
      <c r="J52" s="371" t="str">
        <f t="shared" si="21"/>
        <v xml:space="preserve"> </v>
      </c>
      <c r="K52" s="371" t="str">
        <f t="shared" si="21"/>
        <v xml:space="preserve"> </v>
      </c>
      <c r="L52" s="371" t="str">
        <f t="shared" si="21"/>
        <v xml:space="preserve"> </v>
      </c>
      <c r="M52" s="371" t="str">
        <f t="shared" si="21"/>
        <v xml:space="preserve"> </v>
      </c>
      <c r="N52" s="372" t="str">
        <f t="shared" si="21"/>
        <v xml:space="preserve"> </v>
      </c>
      <c r="O52" s="391" t="str">
        <f>IF(ISERROR(AVERAGE(I52:N52)),"",AVERAGE(I52:N52))</f>
        <v/>
      </c>
    </row>
    <row r="53" spans="1:15" x14ac:dyDescent="0.2">
      <c r="A53" s="388" t="s">
        <v>457</v>
      </c>
      <c r="B53" s="392"/>
      <c r="C53" s="392"/>
      <c r="D53" s="392"/>
      <c r="E53" s="392"/>
      <c r="F53" s="392"/>
      <c r="G53" s="392"/>
      <c r="H53" s="390"/>
      <c r="I53" s="897"/>
      <c r="J53" s="392"/>
      <c r="K53" s="392"/>
      <c r="L53" s="392"/>
      <c r="M53" s="392"/>
      <c r="N53" s="898"/>
      <c r="O53" s="390"/>
    </row>
    <row r="54" spans="1:15" x14ac:dyDescent="0.2">
      <c r="A54" s="388" t="s">
        <v>462</v>
      </c>
      <c r="B54" s="370" t="str">
        <f t="shared" ref="B54:G54" si="22">IF(B49="","",((2*B53)/((B31/25.4)*(B49/25.4)*PI())))</f>
        <v/>
      </c>
      <c r="C54" s="371" t="str">
        <f t="shared" si="22"/>
        <v/>
      </c>
      <c r="D54" s="371" t="str">
        <f t="shared" si="22"/>
        <v/>
      </c>
      <c r="E54" s="371" t="str">
        <f t="shared" si="22"/>
        <v/>
      </c>
      <c r="F54" s="371" t="str">
        <f t="shared" si="22"/>
        <v/>
      </c>
      <c r="G54" s="372" t="str">
        <f t="shared" si="22"/>
        <v/>
      </c>
      <c r="H54" s="391" t="str">
        <f>IF(ISERROR(AVERAGE(B54:G54)),"",AVERAGE(B54:G54))</f>
        <v/>
      </c>
      <c r="I54" s="370" t="str">
        <f t="shared" ref="I54:N54" si="23">IF(I49="","",((2*I53)/((I31/25.4)*(I49/25.4)*PI())))</f>
        <v/>
      </c>
      <c r="J54" s="371" t="str">
        <f t="shared" si="23"/>
        <v/>
      </c>
      <c r="K54" s="371" t="str">
        <f t="shared" si="23"/>
        <v/>
      </c>
      <c r="L54" s="371" t="str">
        <f t="shared" si="23"/>
        <v/>
      </c>
      <c r="M54" s="371" t="str">
        <f t="shared" si="23"/>
        <v/>
      </c>
      <c r="N54" s="372" t="str">
        <f t="shared" si="23"/>
        <v/>
      </c>
      <c r="O54" s="391" t="str">
        <f>IF(ISERROR(AVERAGE(I54:N54)),"",AVERAGE(I54:N54))</f>
        <v/>
      </c>
    </row>
    <row r="55" spans="1:15" ht="13.5" thickBot="1" x14ac:dyDescent="0.25">
      <c r="A55" s="393" t="s">
        <v>463</v>
      </c>
      <c r="B55" s="895" t="str">
        <f t="shared" ref="B55:G55" si="24">IF(ISNUMBER(B41),(IF(ISNUMBER(B49),"",IF((2*B41)/((B31/25.4)*(B32/25.4)*PI())&gt;0,(2*B41)/((B31/25.4)*(B32/25.4)*PI())," "))),"")</f>
        <v/>
      </c>
      <c r="C55" s="394" t="str">
        <f t="shared" si="24"/>
        <v/>
      </c>
      <c r="D55" s="394" t="str">
        <f t="shared" si="24"/>
        <v/>
      </c>
      <c r="E55" s="394" t="str">
        <f t="shared" si="24"/>
        <v/>
      </c>
      <c r="F55" s="394" t="str">
        <f t="shared" si="24"/>
        <v/>
      </c>
      <c r="G55" s="896" t="str">
        <f t="shared" si="24"/>
        <v/>
      </c>
      <c r="H55" s="395" t="str">
        <f>IF(ISERROR(AVERAGE(B55:G55)),"",AVERAGE(B55:G55))</f>
        <v/>
      </c>
      <c r="I55" s="895" t="str">
        <f t="shared" ref="I55:N55" si="25">IF(ISNUMBER(I41),(IF(ISNUMBER(I49),"",IF((2*I41)/((I31/25.4)*(I32/25.4)*PI())&gt;0,(2*I41)/((I31/25.4)*(I32/25.4)*PI())," "))),"")</f>
        <v/>
      </c>
      <c r="J55" s="394" t="str">
        <f t="shared" si="25"/>
        <v/>
      </c>
      <c r="K55" s="394" t="str">
        <f t="shared" si="25"/>
        <v/>
      </c>
      <c r="L55" s="394" t="str">
        <f t="shared" si="25"/>
        <v/>
      </c>
      <c r="M55" s="394" t="str">
        <f t="shared" si="25"/>
        <v/>
      </c>
      <c r="N55" s="896" t="str">
        <f t="shared" si="25"/>
        <v/>
      </c>
      <c r="O55" s="395" t="str">
        <f>IF(ISERROR(AVERAGE(I55:N55)),"",AVERAGE(I55:N55))</f>
        <v/>
      </c>
    </row>
    <row r="56" spans="1:15" ht="13.5" thickTop="1" x14ac:dyDescent="0.2">
      <c r="A56" s="281"/>
      <c r="B56" s="281"/>
      <c r="C56" s="281"/>
      <c r="D56" s="281"/>
      <c r="E56" s="281"/>
      <c r="F56" s="281"/>
      <c r="G56" s="281"/>
      <c r="H56" s="396"/>
      <c r="I56" s="281"/>
      <c r="J56" s="281"/>
      <c r="K56" s="281"/>
      <c r="L56" s="281"/>
      <c r="M56" s="281"/>
      <c r="N56" s="281"/>
      <c r="O56" s="396"/>
    </row>
    <row r="57" spans="1:15" ht="13.5" x14ac:dyDescent="0.2">
      <c r="B57" s="281"/>
      <c r="C57" s="397" t="s">
        <v>464</v>
      </c>
      <c r="D57" s="398"/>
      <c r="E57" s="398"/>
      <c r="F57" s="398"/>
      <c r="G57" s="399" t="str">
        <f>IF(H54="","",(H54/H55*100))</f>
        <v/>
      </c>
      <c r="H57" s="398"/>
      <c r="I57" s="398"/>
      <c r="J57" s="397" t="s">
        <v>465</v>
      </c>
      <c r="K57" s="398"/>
      <c r="L57" s="398"/>
      <c r="M57" s="398"/>
      <c r="N57" s="399" t="str">
        <f>IF(O54="","",(O54/O55*100))</f>
        <v/>
      </c>
    </row>
    <row r="58" spans="1:15" x14ac:dyDescent="0.2">
      <c r="M58" s="281"/>
      <c r="N58" s="281"/>
    </row>
    <row r="59" spans="1:15" x14ac:dyDescent="0.2">
      <c r="A59" s="400" t="s">
        <v>407</v>
      </c>
      <c r="B59" s="401"/>
      <c r="C59" s="401"/>
      <c r="D59" s="401"/>
      <c r="E59" s="401"/>
      <c r="F59" s="401"/>
      <c r="G59" s="401"/>
      <c r="H59" s="401"/>
      <c r="I59" s="401"/>
      <c r="J59" s="401"/>
      <c r="K59" s="401"/>
      <c r="L59" s="401"/>
      <c r="M59" s="401"/>
      <c r="N59" s="401"/>
      <c r="O59" s="401"/>
    </row>
    <row r="60" spans="1:15" s="6" customFormat="1" x14ac:dyDescent="0.2">
      <c r="A60" s="402"/>
      <c r="B60" s="402"/>
      <c r="C60" s="402"/>
      <c r="D60" s="402"/>
      <c r="E60" s="402"/>
      <c r="F60" s="402"/>
      <c r="G60" s="402"/>
      <c r="H60" s="402"/>
      <c r="I60" s="402"/>
      <c r="J60" s="402"/>
      <c r="K60" s="402"/>
      <c r="L60" s="402"/>
      <c r="M60" s="402"/>
      <c r="N60" s="402"/>
      <c r="O60" s="402"/>
    </row>
    <row r="61" spans="1:15" s="6" customFormat="1" x14ac:dyDescent="0.2">
      <c r="A61" s="402"/>
      <c r="B61" s="402"/>
      <c r="C61" s="402"/>
      <c r="D61" s="402"/>
      <c r="E61" s="402"/>
      <c r="F61" s="402"/>
      <c r="G61" s="402"/>
      <c r="H61" s="402"/>
      <c r="I61" s="402"/>
      <c r="J61" s="402"/>
      <c r="K61" s="402"/>
      <c r="L61" s="402"/>
      <c r="M61" s="402"/>
      <c r="N61" s="402"/>
      <c r="O61" s="402"/>
    </row>
    <row r="62" spans="1:15" s="6" customFormat="1" x14ac:dyDescent="0.2"/>
    <row r="63" spans="1:15" s="6" customFormat="1" x14ac:dyDescent="0.2"/>
    <row r="64" spans="1:15" s="6" customFormat="1" x14ac:dyDescent="0.2"/>
    <row r="65" s="6" customFormat="1" x14ac:dyDescent="0.2"/>
    <row r="66" s="6" customFormat="1" x14ac:dyDescent="0.2"/>
    <row r="67" s="6" customFormat="1" x14ac:dyDescent="0.2"/>
    <row r="68" s="6" customFormat="1" x14ac:dyDescent="0.2"/>
    <row r="69" s="6" customFormat="1" x14ac:dyDescent="0.2"/>
    <row r="70" s="6" customFormat="1" x14ac:dyDescent="0.2"/>
    <row r="71" s="6" customFormat="1" x14ac:dyDescent="0.2"/>
    <row r="72" s="6" customFormat="1" x14ac:dyDescent="0.2"/>
    <row r="73" s="6" customFormat="1" x14ac:dyDescent="0.2"/>
    <row r="74" s="6" customFormat="1" x14ac:dyDescent="0.2"/>
  </sheetData>
  <sheetProtection algorithmName="SHA-512" hashValue="lAOyMOHic7osVOP3PTx/iI/jVVUXgN/RWL6t42FzcRmMWlAx8FBFjwicoggtF9j6n3hlvoOzpR8aD4S4atafOA==" saltValue="Wkr07E+GXQ9fD+5AJFlBbw==" spinCount="100000" sheet="1" objects="1" scenarios="1"/>
  <mergeCells count="22">
    <mergeCell ref="C27:D27"/>
    <mergeCell ref="C28:D28"/>
    <mergeCell ref="C23:D23"/>
    <mergeCell ref="C24:D24"/>
    <mergeCell ref="C25:D25"/>
    <mergeCell ref="C26:D26"/>
    <mergeCell ref="G28:I28"/>
    <mergeCell ref="E23:F23"/>
    <mergeCell ref="E24:F24"/>
    <mergeCell ref="E25:F25"/>
    <mergeCell ref="G27:I27"/>
    <mergeCell ref="E28:F28"/>
    <mergeCell ref="E26:F26"/>
    <mergeCell ref="E27:F27"/>
    <mergeCell ref="G24:I24"/>
    <mergeCell ref="G25:I25"/>
    <mergeCell ref="G26:I26"/>
    <mergeCell ref="L9:O10"/>
    <mergeCell ref="H18:I18"/>
    <mergeCell ref="G20:I20"/>
    <mergeCell ref="G23:I23"/>
    <mergeCell ref="L11:O12"/>
  </mergeCells>
  <phoneticPr fontId="16" type="noConversion"/>
  <printOptions horizontalCentered="1"/>
  <pageMargins left="0" right="0" top="0.5" bottom="0.5" header="0.5" footer="0.5"/>
  <pageSetup scale="89" orientation="portrait" horizontalDpi="4294967292" verticalDpi="4294967292" r:id="rId1"/>
  <headerFooter alignWithMargins="0"/>
  <rowBreaks count="1" manualBreakCount="1">
    <brk id="61" max="65535" man="1"/>
  </rowBreaks>
  <ignoredErrors>
    <ignoredError sqref="H46 H39 H52 H54:H55" formula="1"/>
  </ignoredErrors>
  <drawing r:id="rId2"/>
  <legacyDrawing r:id="rId3"/>
  <controls>
    <mc:AlternateContent xmlns:mc="http://schemas.openxmlformats.org/markup-compatibility/2006">
      <mc:Choice Requires="x14">
        <control shapeId="599043" r:id="rId4" name="ComboBox1">
          <controlPr defaultSize="0" autoLine="0" autoPict="0" linkedCell="'Chart Data'!AJ37" listFillRange="'Chart Data'!J33:J36" r:id="rId5">
            <anchor moveWithCells="1">
              <from>
                <xdr:col>7</xdr:col>
                <xdr:colOff>38100</xdr:colOff>
                <xdr:row>11</xdr:row>
                <xdr:rowOff>152400</xdr:rowOff>
              </from>
              <to>
                <xdr:col>8</xdr:col>
                <xdr:colOff>428625</xdr:colOff>
                <xdr:row>13</xdr:row>
                <xdr:rowOff>19050</xdr:rowOff>
              </to>
            </anchor>
          </controlPr>
        </control>
      </mc:Choice>
      <mc:Fallback>
        <control shapeId="599043" r:id="rId4" name="ComboBox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U58"/>
  <sheetViews>
    <sheetView showGridLines="0" zoomScaleNormal="100" workbookViewId="0">
      <selection activeCell="A6" sqref="A6"/>
      <extLst>
        <ext xmlns:xlsdti="http://schemas.microsoft.com/office/spreadsheetml/2023/showDataTypeIcons" uri="{77bfe23e-c014-4d31-8a63-9c772dbf06b6}">
          <xlsdti:showDataTypeIcons visible="0"/>
        </ext>
      </extLst>
    </sheetView>
  </sheetViews>
  <sheetFormatPr defaultColWidth="9.140625" defaultRowHeight="12.75" x14ac:dyDescent="0.2"/>
  <cols>
    <col min="1" max="1" width="14.42578125" style="277" customWidth="1"/>
    <col min="2" max="2" width="7.28515625" style="277" customWidth="1"/>
    <col min="3" max="3" width="7.7109375" style="277" customWidth="1"/>
    <col min="4" max="4" width="7.5703125" style="277" customWidth="1"/>
    <col min="5" max="15" width="7.28515625" style="277" customWidth="1"/>
    <col min="16" max="16" width="9" style="277" customWidth="1"/>
    <col min="17" max="16384" width="9.140625" style="277"/>
  </cols>
  <sheetData>
    <row r="1" spans="1:18" ht="13.5" thickTop="1" x14ac:dyDescent="0.2">
      <c r="A1" s="274"/>
      <c r="B1" s="275"/>
      <c r="C1" s="275"/>
      <c r="D1" s="275"/>
      <c r="E1" s="275"/>
      <c r="F1" s="275"/>
      <c r="G1" s="275"/>
      <c r="H1" s="275"/>
      <c r="I1" s="275"/>
      <c r="J1" s="275"/>
      <c r="K1" s="275"/>
      <c r="L1" s="275"/>
      <c r="M1" s="275"/>
      <c r="N1" s="275"/>
      <c r="O1" s="276" t="str">
        <f>'Design Data'!U2</f>
        <v>January 2026</v>
      </c>
    </row>
    <row r="2" spans="1:18" s="281" customFormat="1" ht="13.9" customHeight="1" x14ac:dyDescent="0.25">
      <c r="A2" s="278" t="s">
        <v>75</v>
      </c>
      <c r="B2" s="279"/>
      <c r="C2" s="279"/>
      <c r="D2" s="279"/>
      <c r="E2" s="279"/>
      <c r="F2" s="279"/>
      <c r="G2" s="279"/>
      <c r="H2" s="279"/>
      <c r="I2" s="279"/>
      <c r="J2" s="279"/>
      <c r="K2" s="279"/>
      <c r="L2" s="279"/>
      <c r="M2" s="279"/>
      <c r="N2" s="279"/>
      <c r="O2" s="280"/>
    </row>
    <row r="3" spans="1:18" s="281" customFormat="1" ht="13.9" customHeight="1" x14ac:dyDescent="0.25">
      <c r="A3" s="278" t="s">
        <v>76</v>
      </c>
      <c r="B3" s="279"/>
      <c r="C3" s="279"/>
      <c r="D3" s="279"/>
      <c r="E3" s="279"/>
      <c r="F3" s="279"/>
      <c r="G3" s="279"/>
      <c r="H3" s="279"/>
      <c r="I3" s="279"/>
      <c r="J3" s="279"/>
      <c r="K3" s="279"/>
      <c r="L3" s="279"/>
      <c r="M3" s="279"/>
      <c r="N3" s="279"/>
      <c r="O3" s="280"/>
    </row>
    <row r="4" spans="1:18" s="281" customFormat="1" ht="13.9" customHeight="1" x14ac:dyDescent="0.25">
      <c r="A4" s="278" t="s">
        <v>77</v>
      </c>
      <c r="B4" s="279"/>
      <c r="C4" s="279"/>
      <c r="D4" s="279"/>
      <c r="E4" s="279"/>
      <c r="F4" s="279"/>
      <c r="G4" s="279"/>
      <c r="H4" s="279"/>
      <c r="I4" s="279"/>
      <c r="J4" s="279"/>
      <c r="K4" s="279"/>
      <c r="L4" s="279"/>
      <c r="M4" s="279"/>
      <c r="N4" s="279"/>
      <c r="O4" s="280"/>
    </row>
    <row r="5" spans="1:18" s="281" customFormat="1" ht="13.9" customHeight="1" thickBot="1" x14ac:dyDescent="0.25">
      <c r="A5" s="282"/>
      <c r="B5" s="283"/>
      <c r="C5" s="283"/>
      <c r="D5" s="283"/>
      <c r="E5" s="283"/>
      <c r="F5" s="283"/>
      <c r="G5" s="283"/>
      <c r="H5" s="283"/>
      <c r="I5" s="283"/>
      <c r="J5" s="283"/>
      <c r="K5" s="283"/>
      <c r="L5" s="283"/>
      <c r="M5" s="283"/>
      <c r="N5" s="283"/>
      <c r="O5" s="284"/>
    </row>
    <row r="6" spans="1:18" s="281" customFormat="1" ht="13.9" customHeight="1" thickTop="1" x14ac:dyDescent="0.2"/>
    <row r="7" spans="1:18" s="281" customFormat="1" ht="13.9" customHeight="1" x14ac:dyDescent="0.25">
      <c r="A7" s="285" t="s">
        <v>2493</v>
      </c>
      <c r="B7" s="286"/>
      <c r="C7" s="286"/>
      <c r="D7" s="286"/>
      <c r="E7" s="286"/>
      <c r="F7" s="286"/>
      <c r="G7" s="286"/>
      <c r="H7" s="286"/>
      <c r="I7" s="286"/>
      <c r="J7" s="286"/>
      <c r="K7" s="286"/>
      <c r="L7" s="286"/>
      <c r="M7" s="286"/>
      <c r="N7" s="286"/>
      <c r="O7" s="286"/>
    </row>
    <row r="8" spans="1:18" s="281" customFormat="1" ht="13.9" customHeight="1" x14ac:dyDescent="0.2">
      <c r="A8"/>
      <c r="B8" s="287"/>
      <c r="C8" s="287"/>
      <c r="D8" s="287"/>
      <c r="E8" s="287"/>
      <c r="F8" s="287"/>
      <c r="G8" s="287"/>
      <c r="H8" s="287"/>
      <c r="I8" s="287"/>
      <c r="J8" s="287"/>
      <c r="K8" s="287"/>
      <c r="L8" s="287"/>
      <c r="M8" s="287"/>
      <c r="N8" s="287"/>
      <c r="O8" s="287"/>
    </row>
    <row r="9" spans="1:18" s="281" customFormat="1" ht="13.9" customHeight="1" x14ac:dyDescent="0.2">
      <c r="A9" s="288" t="s">
        <v>416</v>
      </c>
      <c r="B9" s="289" t="str">
        <f>IF('Design Data'!H10="","",'Design Data'!H10)</f>
        <v/>
      </c>
      <c r="E9"/>
      <c r="F9" s="288" t="s">
        <v>80</v>
      </c>
      <c r="H9" s="289" t="str">
        <f>IF('Design Data'!K10="","",'Design Data'!K10)</f>
        <v/>
      </c>
      <c r="J9" s="288" t="s">
        <v>417</v>
      </c>
      <c r="K9"/>
      <c r="L9" s="1688" t="str">
        <f>'Chart Data'!W14</f>
        <v/>
      </c>
      <c r="M9" s="1688"/>
      <c r="N9" s="1688"/>
      <c r="O9" s="1688"/>
    </row>
    <row r="10" spans="1:18" s="281" customFormat="1" ht="13.9" customHeight="1" x14ac:dyDescent="0.2">
      <c r="E10"/>
      <c r="K10"/>
      <c r="L10" s="1688"/>
      <c r="M10" s="1688"/>
      <c r="N10" s="1688"/>
      <c r="O10" s="1688"/>
    </row>
    <row r="11" spans="1:18" s="281" customFormat="1" ht="13.9" customHeight="1" x14ac:dyDescent="0.2">
      <c r="A11" s="288" t="s">
        <v>418</v>
      </c>
      <c r="B11" s="289" t="str">
        <f>IF('Design Data'!C14="","",'Design Data'!C14)</f>
        <v>Enter Project(s) &amp; Line Item(s)</v>
      </c>
      <c r="E11"/>
      <c r="F11" s="288" t="s">
        <v>81</v>
      </c>
      <c r="H11" s="289" t="str">
        <f>IF('Design Data'!H12="","",'Design Data'!H12)</f>
        <v/>
      </c>
      <c r="J11" s="288" t="s">
        <v>419</v>
      </c>
      <c r="K11"/>
      <c r="L11" s="1688" t="e">
        <f>IF('Design Data'!Q14="","",'Design Data'!I15)</f>
        <v>#N/A</v>
      </c>
      <c r="M11" s="1688"/>
      <c r="N11" s="1688"/>
      <c r="O11" s="1688"/>
      <c r="P11" s="34"/>
    </row>
    <row r="12" spans="1:18" s="281" customFormat="1" ht="13.9" customHeight="1" x14ac:dyDescent="0.2">
      <c r="B12" s="289" t="str">
        <f>IF('Design Data'!C15="","",'Design Data'!C15)</f>
        <v>On 'Project Items' Tab.</v>
      </c>
      <c r="E12"/>
      <c r="F12"/>
      <c r="G12"/>
      <c r="H12"/>
      <c r="I12"/>
      <c r="J12"/>
      <c r="K12"/>
      <c r="L12" s="1688"/>
      <c r="M12" s="1688"/>
      <c r="N12" s="1688"/>
      <c r="O12" s="1688"/>
      <c r="P12" s="34"/>
    </row>
    <row r="13" spans="1:18" s="281" customFormat="1" ht="13.9" customHeight="1" x14ac:dyDescent="0.2">
      <c r="A13" s="288" t="s">
        <v>420</v>
      </c>
      <c r="B13" s="289" t="str">
        <f>IF('Design Data'!C18="","",'Design Data'!C18)</f>
        <v/>
      </c>
      <c r="E13"/>
      <c r="F13" s="288" t="s">
        <v>2557</v>
      </c>
      <c r="H13" s="281" t="str">
        <f>IF('Chart Data'!AJ37="","",'Chart Data'!AJ37)</f>
        <v>PG64-22</v>
      </c>
      <c r="J13" s="288"/>
      <c r="K13"/>
      <c r="M13"/>
      <c r="N13"/>
      <c r="O13"/>
      <c r="P13" s="34"/>
    </row>
    <row r="14" spans="1:18" s="281" customFormat="1" ht="13.9" customHeight="1" thickBot="1" x14ac:dyDescent="0.25">
      <c r="A14" s="965" t="s">
        <v>1829</v>
      </c>
      <c r="B14"/>
      <c r="E14"/>
      <c r="J14" s="34"/>
      <c r="P14" s="34"/>
    </row>
    <row r="15" spans="1:18" s="281" customFormat="1" ht="13.9" customHeight="1" thickTop="1" thickBot="1" x14ac:dyDescent="0.25">
      <c r="A15" s="288" t="s">
        <v>422</v>
      </c>
      <c r="B15" s="289" t="str">
        <f>IF('Design Data'!H18="","",'Design Data'!A17)</f>
        <v/>
      </c>
      <c r="E15"/>
      <c r="F15" s="62" t="s">
        <v>1233</v>
      </c>
      <c r="H15" s="289" t="str">
        <f>IF(H13="","",VLOOKUP(H13,'Chart Data'!J33:K36,2,FALSE))</f>
        <v>300/265 (deg. F)</v>
      </c>
      <c r="I15" s="68"/>
      <c r="J15"/>
      <c r="K15" s="69" t="s">
        <v>423</v>
      </c>
      <c r="L15" s="71"/>
      <c r="M15" s="78"/>
      <c r="N15" s="1359"/>
      <c r="O15" s="1360"/>
      <c r="P15" s="34"/>
    </row>
    <row r="16" spans="1:18" s="281" customFormat="1" ht="13.9" customHeight="1" thickTop="1" thickBot="1" x14ac:dyDescent="0.25">
      <c r="A16"/>
      <c r="B16"/>
      <c r="C16"/>
      <c r="D16"/>
      <c r="E16"/>
      <c r="F16"/>
      <c r="G16"/>
      <c r="H16"/>
      <c r="I16"/>
      <c r="J16"/>
      <c r="K16" s="296" t="s">
        <v>424</v>
      </c>
      <c r="L16" s="297"/>
      <c r="M16" s="298"/>
      <c r="N16" s="299"/>
      <c r="O16" s="300"/>
      <c r="P16" s="34"/>
      <c r="Q16" s="34"/>
      <c r="R16" s="34"/>
    </row>
    <row r="17" spans="1:21" s="281" customFormat="1" ht="13.9" customHeight="1" thickTop="1" x14ac:dyDescent="0.2">
      <c r="A17" s="301" t="str">
        <f>IF(B33=150,"Performance specimens are to be compacted to a","TSR specimens are to be compacted by the")</f>
        <v>Performance specimens are to be compacted to a</v>
      </c>
      <c r="B17" s="302"/>
      <c r="C17" s="302"/>
      <c r="D17" s="302"/>
      <c r="E17" s="303"/>
      <c r="F17"/>
      <c r="G17" s="304" t="s">
        <v>425</v>
      </c>
      <c r="H17" s="305" t="s">
        <v>426</v>
      </c>
      <c r="I17" s="306"/>
      <c r="J17"/>
      <c r="K17" s="600" t="s">
        <v>427</v>
      </c>
      <c r="L17" s="601"/>
      <c r="M17" s="602"/>
      <c r="N17" s="603"/>
      <c r="O17" s="604"/>
      <c r="P17" s="270"/>
      <c r="Q17" s="270"/>
      <c r="R17" s="270"/>
    </row>
    <row r="18" spans="1:21" s="281" customFormat="1" ht="13.9" customHeight="1" thickBot="1" x14ac:dyDescent="0.25">
      <c r="A18" s="312" t="str">
        <f>IF(B33=150,"height of 62.0 mm with a target air void percentage","amount of blows that will yeild 7.0% (+ or - 1.0%)")</f>
        <v>height of 62.0 mm with a target air void percentage</v>
      </c>
      <c r="B18" s="313"/>
      <c r="C18" s="313"/>
      <c r="D18" s="313"/>
      <c r="E18" s="314"/>
      <c r="F18"/>
      <c r="G18" s="575"/>
      <c r="H18" s="1689"/>
      <c r="I18" s="1690"/>
      <c r="J18" s="315"/>
      <c r="K18" s="307" t="s">
        <v>428</v>
      </c>
      <c r="L18" s="308"/>
      <c r="M18" s="309"/>
      <c r="N18" s="310" t="str">
        <f>IF(N17="","",(($G$18)*N17)/(100-($G$18)))</f>
        <v/>
      </c>
      <c r="O18" s="311" t="str">
        <f>IF(O17="","",(($G$18)*O17)/(100-($G$18)))</f>
        <v/>
      </c>
      <c r="P18" s="34"/>
      <c r="Q18" s="34"/>
      <c r="R18" s="34"/>
    </row>
    <row r="19" spans="1:21" s="281" customFormat="1" ht="13.9" customHeight="1" thickTop="1" x14ac:dyDescent="0.2">
      <c r="A19" s="312" t="str">
        <f>IF(B33=150,"of 7.0 % (+ or - 0.5 %).","air voids.  The target degree of initial saturation")</f>
        <v>of 7.0 % (+ or - 0.5 %).</v>
      </c>
      <c r="B19" s="313"/>
      <c r="C19" s="313"/>
      <c r="D19" s="313"/>
      <c r="E19" s="314"/>
      <c r="F19"/>
      <c r="G19" s="305" t="s">
        <v>429</v>
      </c>
      <c r="H19" s="316"/>
      <c r="I19" s="306"/>
      <c r="J19"/>
      <c r="K19" s="317" t="s">
        <v>430</v>
      </c>
      <c r="L19" s="308"/>
      <c r="M19" s="318"/>
      <c r="N19" s="319"/>
      <c r="O19" s="320"/>
      <c r="P19" s="34"/>
      <c r="Q19" s="321"/>
      <c r="R19" s="321"/>
    </row>
    <row r="20" spans="1:21" s="281" customFormat="1" ht="13.9" customHeight="1" thickBot="1" x14ac:dyDescent="0.25">
      <c r="A20" s="322" t="str">
        <f>IF(B33=150,"","is 65.0% (+ or - 5.0%)")</f>
        <v/>
      </c>
      <c r="B20" s="323"/>
      <c r="C20" s="323"/>
      <c r="D20" s="323"/>
      <c r="E20" s="324"/>
      <c r="F20"/>
      <c r="G20" s="1689"/>
      <c r="H20" s="1691"/>
      <c r="I20" s="1690"/>
      <c r="J20"/>
      <c r="K20" s="317" t="s">
        <v>431</v>
      </c>
      <c r="L20" s="308"/>
      <c r="M20" s="325"/>
      <c r="N20" s="319"/>
      <c r="O20" s="320"/>
      <c r="P20" s="34"/>
      <c r="Q20" s="321"/>
      <c r="R20" s="321"/>
      <c r="S20"/>
      <c r="T20"/>
      <c r="U20"/>
    </row>
    <row r="21" spans="1:21" s="281" customFormat="1" ht="13.9" customHeight="1" thickTop="1" thickBot="1" x14ac:dyDescent="0.25">
      <c r="A21"/>
      <c r="B21"/>
      <c r="C21"/>
      <c r="D21"/>
      <c r="E21"/>
      <c r="F21"/>
      <c r="G21"/>
      <c r="H21"/>
      <c r="I21"/>
      <c r="K21" s="317" t="s">
        <v>432</v>
      </c>
      <c r="L21" s="308"/>
      <c r="M21" s="326"/>
      <c r="N21" s="319"/>
      <c r="O21" s="320"/>
      <c r="P21" s="34"/>
      <c r="Q21" s="321"/>
      <c r="R21" s="321"/>
      <c r="S21"/>
      <c r="T21"/>
      <c r="U21"/>
    </row>
    <row r="22" spans="1:21" s="281" customFormat="1" ht="13.9" customHeight="1" thickTop="1" thickBot="1" x14ac:dyDescent="0.25">
      <c r="A22" s="327" t="s">
        <v>2492</v>
      </c>
      <c r="B22" s="328"/>
      <c r="C22" s="78" t="s">
        <v>434</v>
      </c>
      <c r="D22" s="70"/>
      <c r="E22" s="78" t="s">
        <v>435</v>
      </c>
      <c r="F22" s="70"/>
      <c r="G22" s="329"/>
      <c r="H22" s="330" t="s">
        <v>436</v>
      </c>
      <c r="I22" s="331"/>
      <c r="J22"/>
      <c r="K22" s="317" t="s">
        <v>437</v>
      </c>
      <c r="L22" s="308"/>
      <c r="M22" s="309"/>
      <c r="N22" s="332" t="str">
        <f>IF(N21="","",N21-N20)</f>
        <v/>
      </c>
      <c r="O22" s="333" t="str">
        <f>IF(O21="","",O21-O20)</f>
        <v/>
      </c>
      <c r="Q22" s="321"/>
      <c r="R22" s="321"/>
    </row>
    <row r="23" spans="1:21" s="281" customFormat="1" ht="13.9" customHeight="1" thickTop="1" x14ac:dyDescent="0.2">
      <c r="A23" s="296" t="s">
        <v>2485</v>
      </c>
      <c r="B23" s="334"/>
      <c r="C23" s="1711"/>
      <c r="D23" s="1712"/>
      <c r="E23" s="1698"/>
      <c r="F23" s="1699"/>
      <c r="G23" s="1692"/>
      <c r="H23" s="1693"/>
      <c r="I23" s="1694"/>
      <c r="J23"/>
      <c r="K23" s="317" t="s">
        <v>439</v>
      </c>
      <c r="L23" s="308"/>
      <c r="M23" s="335"/>
      <c r="N23" s="336" t="str">
        <f>IF(N22="","",(N19/N22))</f>
        <v/>
      </c>
      <c r="O23" s="337" t="str">
        <f>IF(O22="","",(O19/O22))</f>
        <v/>
      </c>
      <c r="Q23" s="338"/>
      <c r="R23" s="338"/>
    </row>
    <row r="24" spans="1:21" s="281" customFormat="1" ht="13.9" customHeight="1" x14ac:dyDescent="0.2">
      <c r="A24" s="307" t="s">
        <v>2486</v>
      </c>
      <c r="B24" s="339"/>
      <c r="C24" s="1707"/>
      <c r="D24" s="1708"/>
      <c r="E24" s="1700"/>
      <c r="F24" s="1701"/>
      <c r="G24" s="1702"/>
      <c r="H24" s="1703"/>
      <c r="I24" s="1704"/>
      <c r="J24"/>
      <c r="K24" s="317" t="s">
        <v>205</v>
      </c>
      <c r="L24" s="308"/>
      <c r="M24" s="340"/>
      <c r="N24" s="341"/>
      <c r="O24" s="337" t="str">
        <f>IF(N24="","",N24)</f>
        <v/>
      </c>
      <c r="Q24" s="338"/>
      <c r="R24" s="338"/>
    </row>
    <row r="25" spans="1:21" s="281" customFormat="1" ht="13.9" customHeight="1" x14ac:dyDescent="0.2">
      <c r="A25" s="307" t="s">
        <v>2487</v>
      </c>
      <c r="B25" s="342"/>
      <c r="C25" s="1707"/>
      <c r="D25" s="1708"/>
      <c r="E25" s="1700"/>
      <c r="F25" s="1701"/>
      <c r="G25" s="1702"/>
      <c r="H25" s="1703"/>
      <c r="I25" s="1704"/>
      <c r="J25"/>
      <c r="K25" s="317" t="s">
        <v>202</v>
      </c>
      <c r="L25" s="308"/>
      <c r="M25" s="309"/>
      <c r="N25" s="332" t="str">
        <f>IF(N21="","",(100*(N24-N23)/N24))</f>
        <v/>
      </c>
      <c r="O25" s="333" t="str">
        <f>IF(O21="","",(100*(O24-O23)/O24))</f>
        <v/>
      </c>
      <c r="Q25" s="321"/>
      <c r="R25" s="321"/>
    </row>
    <row r="26" spans="1:21" s="281" customFormat="1" ht="13.9" customHeight="1" x14ac:dyDescent="0.2">
      <c r="A26" s="317" t="s">
        <v>2488</v>
      </c>
      <c r="B26" s="342"/>
      <c r="C26" s="1707"/>
      <c r="D26" s="1708"/>
      <c r="E26" s="1700"/>
      <c r="F26" s="1701"/>
      <c r="G26" s="1702"/>
      <c r="H26" s="1703"/>
      <c r="I26" s="1704"/>
      <c r="J26"/>
      <c r="K26" s="307" t="s">
        <v>443</v>
      </c>
      <c r="L26" s="308"/>
      <c r="M26" s="199"/>
      <c r="N26" s="1727" t="str">
        <f>IF(N24="","",7)</f>
        <v/>
      </c>
      <c r="O26" s="1728"/>
      <c r="Q26" s="243"/>
      <c r="R26" s="34"/>
    </row>
    <row r="27" spans="1:21" s="281" customFormat="1" ht="13.9" customHeight="1" x14ac:dyDescent="0.2">
      <c r="A27" s="307" t="s">
        <v>2489</v>
      </c>
      <c r="B27" s="342"/>
      <c r="C27" s="1707"/>
      <c r="D27" s="1708"/>
      <c r="E27" s="1700"/>
      <c r="F27" s="1701"/>
      <c r="G27" s="1702"/>
      <c r="H27" s="1703"/>
      <c r="I27" s="1704"/>
      <c r="J27"/>
      <c r="K27" s="307" t="s">
        <v>445</v>
      </c>
      <c r="L27" s="308"/>
      <c r="M27" s="309"/>
      <c r="N27" s="1729" t="str">
        <f>IF($N$21="","",(N17+(((N25-N26)/(N25-O25))*(O17-N17))))</f>
        <v/>
      </c>
      <c r="O27" s="1730"/>
      <c r="Q27" s="242"/>
      <c r="R27" s="34"/>
    </row>
    <row r="28" spans="1:21" s="281" customFormat="1" ht="13.9" customHeight="1" thickBot="1" x14ac:dyDescent="0.25">
      <c r="A28" s="317" t="s">
        <v>2490</v>
      </c>
      <c r="B28" s="342"/>
      <c r="C28" s="1707"/>
      <c r="D28" s="1708"/>
      <c r="E28" s="1700"/>
      <c r="F28" s="1701"/>
      <c r="G28" s="1702"/>
      <c r="H28" s="1703"/>
      <c r="I28" s="1704"/>
      <c r="J28"/>
      <c r="K28" s="349" t="s">
        <v>447</v>
      </c>
      <c r="L28" s="350"/>
      <c r="M28" s="351"/>
      <c r="N28" s="1731" t="str">
        <f>IF(N27="","",(($G$18)*N27)/(100-($G$18)))</f>
        <v/>
      </c>
      <c r="O28" s="1732"/>
      <c r="Q28" s="270"/>
    </row>
    <row r="29" spans="1:21" s="281" customFormat="1" ht="13.9" customHeight="1" thickTop="1" x14ac:dyDescent="0.2">
      <c r="A29" s="307" t="s">
        <v>2494</v>
      </c>
      <c r="B29" s="342"/>
      <c r="C29" s="1707"/>
      <c r="D29" s="1708"/>
      <c r="E29" s="1700"/>
      <c r="F29" s="1701"/>
      <c r="G29" s="1702"/>
      <c r="H29" s="1703"/>
      <c r="I29" s="1704"/>
      <c r="J29"/>
      <c r="K29"/>
      <c r="L29"/>
      <c r="M29"/>
      <c r="N29"/>
      <c r="O29"/>
    </row>
    <row r="30" spans="1:21" ht="13.9" customHeight="1" thickBot="1" x14ac:dyDescent="0.25">
      <c r="A30" s="1235" t="s">
        <v>2495</v>
      </c>
      <c r="B30" s="1236"/>
      <c r="C30" s="1367"/>
      <c r="D30" s="1368"/>
      <c r="E30" s="1365"/>
      <c r="F30" s="1366"/>
      <c r="G30" s="1695"/>
      <c r="H30" s="1696"/>
      <c r="I30" s="1697"/>
      <c r="J30" s="1361"/>
      <c r="K30" s="1361"/>
      <c r="L30" s="1361"/>
      <c r="M30" s="1361"/>
      <c r="N30" s="1361"/>
      <c r="O30" s="1231"/>
    </row>
    <row r="31" spans="1:21" ht="14.25" thickTop="1" thickBot="1" x14ac:dyDescent="0.25">
      <c r="A31" s="350"/>
      <c r="B31" s="1233"/>
      <c r="C31" s="1233"/>
      <c r="D31" s="1233"/>
      <c r="E31" s="1233"/>
      <c r="F31" s="1233"/>
      <c r="G31" s="1233"/>
      <c r="H31" s="1234"/>
      <c r="I31" s="1233"/>
      <c r="J31" s="1233"/>
      <c r="K31" s="1233"/>
      <c r="L31" s="1233"/>
      <c r="M31" s="1233"/>
      <c r="N31" s="1233"/>
      <c r="O31" s="1234"/>
    </row>
    <row r="32" spans="1:21" ht="13.5" thickTop="1" x14ac:dyDescent="0.2">
      <c r="A32" s="360" t="s">
        <v>448</v>
      </c>
      <c r="B32" s="1362">
        <v>1</v>
      </c>
      <c r="C32" s="1363">
        <v>2</v>
      </c>
      <c r="D32" s="1363">
        <v>3</v>
      </c>
      <c r="E32" s="1363">
        <v>4</v>
      </c>
      <c r="F32" s="1363">
        <v>5</v>
      </c>
      <c r="G32" s="1364">
        <v>6</v>
      </c>
      <c r="H32" s="1232" t="s">
        <v>161</v>
      </c>
      <c r="I32" s="1362">
        <v>7</v>
      </c>
      <c r="J32" s="1363">
        <v>8</v>
      </c>
      <c r="K32" s="1363">
        <v>9</v>
      </c>
      <c r="L32" s="1363">
        <v>10</v>
      </c>
      <c r="M32" s="1363">
        <v>11</v>
      </c>
      <c r="N32" s="1364">
        <v>12</v>
      </c>
      <c r="O32" s="1232" t="s">
        <v>161</v>
      </c>
    </row>
    <row r="33" spans="1:15" x14ac:dyDescent="0.2">
      <c r="A33" s="360" t="s">
        <v>449</v>
      </c>
      <c r="B33" s="366">
        <v>150</v>
      </c>
      <c r="C33" s="371">
        <f>$B$33</f>
        <v>150</v>
      </c>
      <c r="D33" s="371">
        <f>$B$33</f>
        <v>150</v>
      </c>
      <c r="E33" s="371">
        <f>$B$33</f>
        <v>150</v>
      </c>
      <c r="F33" s="371">
        <f>$B$33</f>
        <v>150</v>
      </c>
      <c r="G33" s="371">
        <f>$B$33</f>
        <v>150</v>
      </c>
      <c r="H33" s="364"/>
      <c r="I33" s="371">
        <f t="shared" ref="I33:N33" si="0">$B$33</f>
        <v>150</v>
      </c>
      <c r="J33" s="371">
        <f t="shared" si="0"/>
        <v>150</v>
      </c>
      <c r="K33" s="371">
        <f t="shared" si="0"/>
        <v>150</v>
      </c>
      <c r="L33" s="371">
        <f t="shared" si="0"/>
        <v>150</v>
      </c>
      <c r="M33" s="371">
        <f t="shared" si="0"/>
        <v>150</v>
      </c>
      <c r="N33" s="371">
        <f t="shared" si="0"/>
        <v>150</v>
      </c>
      <c r="O33" s="364"/>
    </row>
    <row r="34" spans="1:15" x14ac:dyDescent="0.2">
      <c r="A34" s="360" t="s">
        <v>450</v>
      </c>
      <c r="B34" s="366"/>
      <c r="C34" s="367"/>
      <c r="D34" s="367"/>
      <c r="E34" s="367"/>
      <c r="F34" s="367"/>
      <c r="G34" s="368"/>
      <c r="H34" s="364"/>
      <c r="I34" s="366"/>
      <c r="J34" s="367"/>
      <c r="K34" s="367"/>
      <c r="L34" s="367"/>
      <c r="M34" s="367"/>
      <c r="N34" s="368"/>
      <c r="O34" s="364"/>
    </row>
    <row r="35" spans="1:15" x14ac:dyDescent="0.2">
      <c r="A35" s="360" t="s">
        <v>451</v>
      </c>
      <c r="B35" s="366"/>
      <c r="C35" s="367"/>
      <c r="D35" s="367"/>
      <c r="E35" s="367"/>
      <c r="F35" s="367"/>
      <c r="G35" s="368"/>
      <c r="H35" s="364"/>
      <c r="I35" s="366"/>
      <c r="J35" s="367"/>
      <c r="K35" s="367"/>
      <c r="L35" s="367"/>
      <c r="M35" s="367"/>
      <c r="N35" s="368"/>
      <c r="O35" s="364"/>
    </row>
    <row r="36" spans="1:15" x14ac:dyDescent="0.2">
      <c r="A36" s="360" t="s">
        <v>432</v>
      </c>
      <c r="B36" s="1369"/>
      <c r="C36" s="1370"/>
      <c r="D36" s="1370"/>
      <c r="E36" s="1370"/>
      <c r="F36" s="1370"/>
      <c r="G36" s="1371"/>
      <c r="H36" s="364"/>
      <c r="I36" s="1369"/>
      <c r="J36" s="1370"/>
      <c r="K36" s="1370"/>
      <c r="L36" s="1370"/>
      <c r="M36" s="1370"/>
      <c r="N36" s="1371"/>
      <c r="O36" s="364"/>
    </row>
    <row r="37" spans="1:15" x14ac:dyDescent="0.2">
      <c r="A37" s="360" t="s">
        <v>452</v>
      </c>
      <c r="B37" s="1369"/>
      <c r="C37" s="1370"/>
      <c r="D37" s="1370"/>
      <c r="E37" s="1370"/>
      <c r="F37" s="1370"/>
      <c r="G37" s="1371"/>
      <c r="H37" s="376"/>
      <c r="I37" s="1369"/>
      <c r="J37" s="1370"/>
      <c r="K37" s="1370"/>
      <c r="L37" s="1370"/>
      <c r="M37" s="1370"/>
      <c r="N37" s="1371"/>
      <c r="O37" s="376"/>
    </row>
    <row r="38" spans="1:15" x14ac:dyDescent="0.2">
      <c r="A38" s="360" t="s">
        <v>2491</v>
      </c>
      <c r="B38" s="370" t="str">
        <f t="shared" ref="B38:G38" si="1">IF(B36="","",B36-B37)</f>
        <v/>
      </c>
      <c r="C38" s="371" t="str">
        <f t="shared" si="1"/>
        <v/>
      </c>
      <c r="D38" s="371" t="str">
        <f t="shared" si="1"/>
        <v/>
      </c>
      <c r="E38" s="371" t="str">
        <f t="shared" si="1"/>
        <v/>
      </c>
      <c r="F38" s="371" t="str">
        <f t="shared" si="1"/>
        <v/>
      </c>
      <c r="G38" s="372" t="str">
        <f t="shared" si="1"/>
        <v/>
      </c>
      <c r="H38" s="376"/>
      <c r="I38" s="370" t="str">
        <f t="shared" ref="I38:N38" si="2">IF(I36="","",I36-I37)</f>
        <v/>
      </c>
      <c r="J38" s="371" t="str">
        <f t="shared" si="2"/>
        <v/>
      </c>
      <c r="K38" s="371" t="str">
        <f t="shared" si="2"/>
        <v/>
      </c>
      <c r="L38" s="371" t="str">
        <f t="shared" si="2"/>
        <v/>
      </c>
      <c r="M38" s="371" t="str">
        <f t="shared" si="2"/>
        <v/>
      </c>
      <c r="N38" s="372" t="str">
        <f t="shared" si="2"/>
        <v/>
      </c>
      <c r="O38" s="376"/>
    </row>
    <row r="39" spans="1:15" x14ac:dyDescent="0.2">
      <c r="A39" s="360" t="s">
        <v>454</v>
      </c>
      <c r="B39" s="373" t="str">
        <f t="shared" ref="B39:G39" si="3">IF(B38="","",(B35/B38))</f>
        <v/>
      </c>
      <c r="C39" s="374" t="str">
        <f t="shared" si="3"/>
        <v/>
      </c>
      <c r="D39" s="374" t="str">
        <f t="shared" si="3"/>
        <v/>
      </c>
      <c r="E39" s="374" t="str">
        <f t="shared" si="3"/>
        <v/>
      </c>
      <c r="F39" s="374" t="str">
        <f t="shared" si="3"/>
        <v/>
      </c>
      <c r="G39" s="375" t="str">
        <f t="shared" si="3"/>
        <v/>
      </c>
      <c r="H39" s="364"/>
      <c r="I39" s="373" t="str">
        <f t="shared" ref="I39:N39" si="4">IF(I38="","",(I35/I38))</f>
        <v/>
      </c>
      <c r="J39" s="374" t="str">
        <f t="shared" si="4"/>
        <v/>
      </c>
      <c r="K39" s="374" t="str">
        <f t="shared" si="4"/>
        <v/>
      </c>
      <c r="L39" s="374" t="str">
        <f t="shared" si="4"/>
        <v/>
      </c>
      <c r="M39" s="374" t="str">
        <f t="shared" si="4"/>
        <v/>
      </c>
      <c r="N39" s="375" t="str">
        <f t="shared" si="4"/>
        <v/>
      </c>
      <c r="O39" s="364"/>
    </row>
    <row r="40" spans="1:15" x14ac:dyDescent="0.2">
      <c r="A40" s="360" t="s">
        <v>455</v>
      </c>
      <c r="B40" s="1373"/>
      <c r="C40" s="374" t="str">
        <f>IF(C37="","",$B$40)</f>
        <v/>
      </c>
      <c r="D40" s="374" t="str">
        <f>IF(D37="","",$B$40)</f>
        <v/>
      </c>
      <c r="E40" s="374" t="str">
        <f>IF(E37="","",$B$40)</f>
        <v/>
      </c>
      <c r="F40" s="374" t="str">
        <f>IF(F37="","",$B$40)</f>
        <v/>
      </c>
      <c r="G40" s="374" t="str">
        <f>IF(G37="","",$B$40)</f>
        <v/>
      </c>
      <c r="H40" s="364"/>
      <c r="I40" s="373" t="str">
        <f t="shared" ref="I40:N40" si="5">IF(I37="","",$B$40)</f>
        <v/>
      </c>
      <c r="J40" s="374" t="str">
        <f t="shared" si="5"/>
        <v/>
      </c>
      <c r="K40" s="374" t="str">
        <f t="shared" si="5"/>
        <v/>
      </c>
      <c r="L40" s="374" t="str">
        <f t="shared" si="5"/>
        <v/>
      </c>
      <c r="M40" s="374" t="str">
        <f t="shared" si="5"/>
        <v/>
      </c>
      <c r="N40" s="375" t="str">
        <f t="shared" si="5"/>
        <v/>
      </c>
      <c r="O40" s="364"/>
    </row>
    <row r="41" spans="1:15" ht="13.5" thickBot="1" x14ac:dyDescent="0.25">
      <c r="A41" s="360" t="s">
        <v>202</v>
      </c>
      <c r="B41" s="895" t="str">
        <f t="shared" ref="B41:G41" si="6">IF(B39="","",(100*(B40-B39)/B40))</f>
        <v/>
      </c>
      <c r="C41" s="394" t="str">
        <f t="shared" si="6"/>
        <v/>
      </c>
      <c r="D41" s="394" t="str">
        <f t="shared" si="6"/>
        <v/>
      </c>
      <c r="E41" s="394" t="str">
        <f t="shared" si="6"/>
        <v/>
      </c>
      <c r="F41" s="394" t="str">
        <f t="shared" si="6"/>
        <v/>
      </c>
      <c r="G41" s="896" t="str">
        <f t="shared" si="6"/>
        <v/>
      </c>
      <c r="H41" s="395" t="str">
        <f>IF(B41="","",(AVERAGE(B41:G41)))</f>
        <v/>
      </c>
      <c r="I41" s="895" t="str">
        <f t="shared" ref="I41:N41" si="7">IF(I39="","",(100*(I40-I39)/I40))</f>
        <v/>
      </c>
      <c r="J41" s="394" t="str">
        <f t="shared" si="7"/>
        <v/>
      </c>
      <c r="K41" s="394" t="str">
        <f t="shared" si="7"/>
        <v/>
      </c>
      <c r="L41" s="394" t="str">
        <f t="shared" si="7"/>
        <v/>
      </c>
      <c r="M41" s="394" t="str">
        <f t="shared" si="7"/>
        <v/>
      </c>
      <c r="N41" s="896" t="str">
        <f t="shared" si="7"/>
        <v/>
      </c>
      <c r="O41" s="395" t="str">
        <f>IF(I41="","",(AVERAGE(I41:N41)))</f>
        <v/>
      </c>
    </row>
    <row r="42" spans="1:15" ht="13.5" thickTop="1" x14ac:dyDescent="0.2">
      <c r="M42" s="281"/>
      <c r="N42" s="281"/>
    </row>
    <row r="43" spans="1:15" x14ac:dyDescent="0.2">
      <c r="A43" s="400" t="s">
        <v>407</v>
      </c>
      <c r="B43" s="1372"/>
      <c r="C43" s="401"/>
      <c r="D43" s="401"/>
      <c r="E43" s="401"/>
      <c r="F43" s="401"/>
      <c r="G43" s="401"/>
      <c r="H43" s="401"/>
      <c r="I43" s="401"/>
      <c r="J43" s="401"/>
      <c r="K43" s="401"/>
      <c r="L43" s="401"/>
      <c r="M43" s="401"/>
      <c r="N43" s="401"/>
      <c r="O43" s="401"/>
    </row>
    <row r="44" spans="1:15" s="6" customFormat="1" x14ac:dyDescent="0.2">
      <c r="A44" s="402"/>
      <c r="B44" s="402"/>
      <c r="C44" s="402"/>
      <c r="D44" s="402"/>
      <c r="E44" s="402"/>
      <c r="F44" s="402"/>
      <c r="G44" s="402"/>
      <c r="H44" s="402"/>
      <c r="I44" s="402"/>
      <c r="J44" s="402"/>
      <c r="K44" s="402"/>
      <c r="L44" s="402"/>
      <c r="M44" s="402"/>
      <c r="N44" s="402"/>
      <c r="O44" s="402"/>
    </row>
    <row r="45" spans="1:15" s="6" customFormat="1" x14ac:dyDescent="0.2">
      <c r="A45" s="402"/>
      <c r="B45" s="402"/>
      <c r="C45" s="402"/>
      <c r="D45" s="402"/>
      <c r="E45" s="402"/>
      <c r="F45" s="402"/>
      <c r="G45" s="402"/>
      <c r="H45" s="402"/>
      <c r="I45" s="402"/>
      <c r="J45" s="402"/>
      <c r="K45" s="402"/>
      <c r="L45" s="402"/>
      <c r="M45" s="402"/>
      <c r="N45" s="402"/>
      <c r="O45" s="402"/>
    </row>
    <row r="46" spans="1:15" s="6" customFormat="1" ht="13.5" thickBot="1" x14ac:dyDescent="0.25"/>
    <row r="47" spans="1:15" s="6" customFormat="1" ht="39" customHeight="1" thickTop="1" thickBot="1" x14ac:dyDescent="0.25">
      <c r="A47" s="1433" t="s">
        <v>2669</v>
      </c>
      <c r="B47" s="1717" t="s">
        <v>1550</v>
      </c>
      <c r="C47" s="1718"/>
      <c r="D47" s="1719" t="s">
        <v>2670</v>
      </c>
      <c r="E47" s="1718"/>
      <c r="F47" s="1432" t="s">
        <v>2671</v>
      </c>
    </row>
    <row r="48" spans="1:15" s="6" customFormat="1" ht="13.5" thickTop="1" x14ac:dyDescent="0.2">
      <c r="A48" s="1434">
        <v>1</v>
      </c>
      <c r="B48" s="1720"/>
      <c r="C48" s="1721"/>
      <c r="D48" s="1724"/>
      <c r="E48" s="1725"/>
      <c r="F48" s="1446"/>
    </row>
    <row r="49" spans="1:9" s="6" customFormat="1" ht="13.5" thickBot="1" x14ac:dyDescent="0.25">
      <c r="A49" s="1435">
        <v>2</v>
      </c>
      <c r="B49" s="1722"/>
      <c r="C49" s="1723"/>
      <c r="D49" s="1726"/>
      <c r="E49" s="1723"/>
      <c r="F49" s="1447"/>
    </row>
    <row r="50" spans="1:9" s="6" customFormat="1" ht="75.599999999999994" customHeight="1" thickTop="1" thickBot="1" x14ac:dyDescent="0.25">
      <c r="A50" s="1613" t="s">
        <v>2672</v>
      </c>
      <c r="B50" s="1614"/>
      <c r="C50" s="1715"/>
      <c r="D50" s="1713" t="str">
        <f>IF(AND(ISNUMBER(B48),ISNUMBER(B49)),IF('Design Data'!O8="","Select Type of Mix on Design Data tab",IF(RIGHT('Design Data'!O8,5)="64-22",EDATE(MAX(B48,B49),36),IF(RIGHT('Design Data'!O8,5)="76-22",EDATE(MAX(B48,B49),24),""))),IF(OR(ISNUMBER(B48),ISNUMBER(B49)),"Two consecutive years of performance approvals required for extended approval.  See KM 64-421",""))</f>
        <v/>
      </c>
      <c r="E50" s="1713"/>
      <c r="F50" s="1714"/>
      <c r="I50" s="1436"/>
    </row>
    <row r="51" spans="1:9" s="6" customFormat="1" ht="13.5" thickTop="1" x14ac:dyDescent="0.2"/>
    <row r="52" spans="1:9" s="6" customFormat="1" x14ac:dyDescent="0.2">
      <c r="D52" s="1716"/>
      <c r="E52" s="1716"/>
      <c r="F52" s="1716"/>
    </row>
    <row r="53" spans="1:9" s="6" customFormat="1" x14ac:dyDescent="0.2"/>
    <row r="54" spans="1:9" s="6" customFormat="1" x14ac:dyDescent="0.2"/>
    <row r="55" spans="1:9" s="6" customFormat="1" x14ac:dyDescent="0.2"/>
    <row r="56" spans="1:9" s="6" customFormat="1" x14ac:dyDescent="0.2"/>
    <row r="57" spans="1:9" s="6" customFormat="1" x14ac:dyDescent="0.2"/>
    <row r="58" spans="1:9" s="6" customFormat="1" x14ac:dyDescent="0.2"/>
  </sheetData>
  <sheetProtection algorithmName="SHA-512" hashValue="cf75cIz2wFTH3KvMQlhh+3J+uiDwTBPNdNPXJ4F5O5VQ70LWZgiMc22wz7r8YzbVQ8KmPa1vTrmmFTZzQDxQKA==" saltValue="XKBXMCiqcv86LGA1RvrWnw==" spinCount="100000" sheet="1" objects="1" scenarios="1"/>
  <mergeCells count="38">
    <mergeCell ref="L9:O10"/>
    <mergeCell ref="L11:O12"/>
    <mergeCell ref="H18:I18"/>
    <mergeCell ref="G20:I20"/>
    <mergeCell ref="C23:D23"/>
    <mergeCell ref="E23:F23"/>
    <mergeCell ref="G23:I23"/>
    <mergeCell ref="C24:D24"/>
    <mergeCell ref="E24:F24"/>
    <mergeCell ref="G24:I24"/>
    <mergeCell ref="C25:D25"/>
    <mergeCell ref="E25:F25"/>
    <mergeCell ref="G25:I25"/>
    <mergeCell ref="N26:O26"/>
    <mergeCell ref="N27:O27"/>
    <mergeCell ref="N28:O28"/>
    <mergeCell ref="G30:I30"/>
    <mergeCell ref="C28:D28"/>
    <mergeCell ref="E28:F28"/>
    <mergeCell ref="G28:I28"/>
    <mergeCell ref="G29:I29"/>
    <mergeCell ref="E29:F29"/>
    <mergeCell ref="C29:D29"/>
    <mergeCell ref="C26:D26"/>
    <mergeCell ref="E26:F26"/>
    <mergeCell ref="G26:I26"/>
    <mergeCell ref="C27:D27"/>
    <mergeCell ref="E27:F27"/>
    <mergeCell ref="G27:I27"/>
    <mergeCell ref="D50:F50"/>
    <mergeCell ref="A50:C50"/>
    <mergeCell ref="D52:F52"/>
    <mergeCell ref="B47:C47"/>
    <mergeCell ref="D47:E47"/>
    <mergeCell ref="B48:C48"/>
    <mergeCell ref="B49:C49"/>
    <mergeCell ref="D48:E48"/>
    <mergeCell ref="D49:E49"/>
  </mergeCells>
  <printOptions horizontalCentered="1"/>
  <pageMargins left="0" right="0" top="0.5" bottom="0.5" header="0.5" footer="0.5"/>
  <pageSetup scale="89" orientation="portrait" horizontalDpi="4294967292" verticalDpi="4294967292" r:id="rId1"/>
  <headerFooter alignWithMargins="0"/>
  <rowBreaks count="1" manualBreakCount="1">
    <brk id="61" max="65535" man="1"/>
  </rowBreaks>
  <drawing r:id="rId2"/>
  <legacyDrawing r:id="rId3"/>
  <controls>
    <mc:AlternateContent xmlns:mc="http://schemas.openxmlformats.org/markup-compatibility/2006">
      <mc:Choice Requires="x14">
        <control shapeId="3169281" r:id="rId4" name="ComboBox1">
          <controlPr defaultSize="0" autoLine="0" linkedCell="'Chart Data'!AJ37" listFillRange="'Chart Data'!J33:J36" r:id="rId5">
            <anchor moveWithCells="1">
              <from>
                <xdr:col>7</xdr:col>
                <xdr:colOff>38100</xdr:colOff>
                <xdr:row>11</xdr:row>
                <xdr:rowOff>152400</xdr:rowOff>
              </from>
              <to>
                <xdr:col>8</xdr:col>
                <xdr:colOff>428625</xdr:colOff>
                <xdr:row>13</xdr:row>
                <xdr:rowOff>19050</xdr:rowOff>
              </to>
            </anchor>
          </controlPr>
        </control>
      </mc:Choice>
      <mc:Fallback>
        <control shapeId="3169281" r:id="rId4" name="ComboBox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5"/>
  <dimension ref="A1:AE1031"/>
  <sheetViews>
    <sheetView zoomScaleNormal="100" workbookViewId="0">
      <pane ySplit="30" topLeftCell="A31" activePane="bottomLeft" state="frozen"/>
      <selection pane="bottomLeft"/>
      <extLst>
        <ext xmlns:xlsdti="http://schemas.microsoft.com/office/spreadsheetml/2023/showDataTypeIcons" uri="{77bfe23e-c014-4d31-8a63-9c772dbf06b6}">
          <xlsdti:showDataTypeIcons visible="0"/>
        </ext>
      </extLst>
    </sheetView>
  </sheetViews>
  <sheetFormatPr defaultColWidth="9.140625" defaultRowHeight="12.75" x14ac:dyDescent="0.2"/>
  <cols>
    <col min="1" max="16" width="12.5703125" style="1240" customWidth="1"/>
    <col min="17" max="17" width="9.140625" style="1240"/>
    <col min="18" max="21" width="9.140625" style="1247" hidden="1" customWidth="1"/>
    <col min="22" max="23" width="9.140625" style="1247" customWidth="1"/>
    <col min="24" max="25" width="19.5703125" style="1247" hidden="1" customWidth="1"/>
    <col min="26" max="26" width="9.140625" style="1239" customWidth="1"/>
    <col min="27" max="27" width="9.140625" style="1247"/>
    <col min="28" max="16384" width="9.140625" style="1240"/>
  </cols>
  <sheetData>
    <row r="1" spans="1:31" ht="26.25" customHeight="1" thickBot="1" x14ac:dyDescent="0.25">
      <c r="A1" s="1311" t="s">
        <v>2556</v>
      </c>
      <c r="B1" s="1237" t="s">
        <v>2496</v>
      </c>
      <c r="C1" s="1238"/>
      <c r="D1" s="1238"/>
      <c r="E1" s="1238"/>
      <c r="F1" s="1238"/>
      <c r="G1" s="1238"/>
      <c r="H1" s="1238"/>
      <c r="I1" s="1238"/>
      <c r="J1" s="1238"/>
      <c r="K1" s="1238"/>
      <c r="L1" s="1238"/>
      <c r="M1" s="1238"/>
      <c r="N1" s="1238"/>
      <c r="O1" s="1238"/>
      <c r="P1" s="1312" t="str">
        <f>'Design Data'!U2</f>
        <v>January 2026</v>
      </c>
      <c r="Q1" s="1239"/>
      <c r="R1" s="1239"/>
      <c r="S1" s="1239"/>
      <c r="T1" s="1239"/>
      <c r="U1" s="1239"/>
      <c r="V1" s="1239"/>
      <c r="W1" s="1239"/>
      <c r="X1" s="1239"/>
      <c r="Y1" s="1239"/>
      <c r="AA1" s="1239"/>
      <c r="AB1" s="1239"/>
      <c r="AC1" s="1239"/>
      <c r="AD1" s="1239"/>
      <c r="AE1" s="1239"/>
    </row>
    <row r="2" spans="1:31" ht="69" customHeight="1" x14ac:dyDescent="0.2">
      <c r="A2" s="1241"/>
      <c r="B2" s="1242"/>
      <c r="C2" s="1243"/>
      <c r="D2" s="1243"/>
      <c r="E2" s="1243"/>
      <c r="F2" s="1243"/>
      <c r="G2" s="1243"/>
      <c r="H2" s="1243"/>
      <c r="I2" s="1243"/>
      <c r="J2" s="1243"/>
      <c r="K2" s="1243"/>
      <c r="L2" s="1243"/>
      <c r="M2" s="1243"/>
      <c r="N2" s="1243"/>
      <c r="O2" s="1243"/>
      <c r="P2" s="1244"/>
      <c r="Q2" s="1239"/>
      <c r="R2" s="1239"/>
      <c r="S2" s="1239"/>
      <c r="T2" s="1239"/>
      <c r="U2" s="1239"/>
      <c r="V2" s="1239"/>
      <c r="W2" s="1239"/>
      <c r="X2" s="1239"/>
      <c r="Y2" s="1239"/>
      <c r="AA2" s="1239"/>
      <c r="AB2" s="1239"/>
      <c r="AC2" s="1239"/>
      <c r="AD2" s="1239"/>
      <c r="AE2" s="1239"/>
    </row>
    <row r="3" spans="1:31" ht="18" customHeight="1" thickBot="1" x14ac:dyDescent="0.25">
      <c r="A3" s="1245"/>
      <c r="B3" s="1246"/>
      <c r="C3" s="1246"/>
      <c r="D3" s="1246"/>
      <c r="E3" s="1246"/>
      <c r="F3" s="1246"/>
      <c r="G3" s="1246"/>
      <c r="H3" s="1246"/>
      <c r="I3" s="1246"/>
      <c r="J3" s="1246"/>
      <c r="K3" s="1246"/>
      <c r="L3" s="1246"/>
      <c r="M3" s="1246"/>
      <c r="N3" s="1246"/>
      <c r="O3" s="1246"/>
      <c r="P3" s="1313" t="s">
        <v>2497</v>
      </c>
      <c r="Q3" s="1239"/>
      <c r="R3" s="1239"/>
      <c r="S3" s="1239"/>
      <c r="T3" s="1239"/>
      <c r="U3" s="1239"/>
      <c r="V3" s="1239"/>
      <c r="X3" s="1248" t="s">
        <v>1764</v>
      </c>
      <c r="Y3" s="1248">
        <v>1</v>
      </c>
      <c r="AB3" s="1239"/>
      <c r="AC3" s="1239"/>
      <c r="AD3" s="1239"/>
      <c r="AE3" s="1239"/>
    </row>
    <row r="4" spans="1:31" ht="22.5" customHeight="1" thickBot="1" x14ac:dyDescent="0.25">
      <c r="A4" s="1249" t="s">
        <v>2498</v>
      </c>
      <c r="B4" s="1733"/>
      <c r="C4" s="1734"/>
      <c r="D4" s="1734"/>
      <c r="E4" s="1734"/>
      <c r="F4" s="1734"/>
      <c r="G4" s="1734"/>
      <c r="H4" s="1734"/>
      <c r="I4" s="1734"/>
      <c r="J4" s="1734"/>
      <c r="K4" s="1734"/>
      <c r="L4" s="1734"/>
      <c r="M4" s="1734"/>
      <c r="N4" s="1734"/>
      <c r="O4" s="1734"/>
      <c r="P4" s="1735"/>
      <c r="Q4" s="1239"/>
      <c r="R4" s="1239"/>
      <c r="S4" s="1239"/>
      <c r="T4" s="1239"/>
      <c r="U4" s="1239"/>
      <c r="V4" s="1239"/>
      <c r="W4" s="1239"/>
      <c r="X4" s="1314">
        <f>B4</f>
        <v>0</v>
      </c>
      <c r="Y4" s="1315"/>
      <c r="AA4" s="1239"/>
      <c r="AB4" s="1239"/>
      <c r="AC4" s="1239"/>
      <c r="AD4" s="1239"/>
      <c r="AE4" s="1239"/>
    </row>
    <row r="5" spans="1:31" ht="12.75" hidden="1" customHeight="1" x14ac:dyDescent="0.2">
      <c r="A5" s="1250" t="s">
        <v>2499</v>
      </c>
      <c r="B5" s="1251">
        <f ca="1">COUNTA(INDIRECT("A"&amp;FirstRow&amp;":A"&amp;FirstRow+1000))</f>
        <v>0</v>
      </c>
      <c r="C5" s="1252" t="s">
        <v>2499</v>
      </c>
      <c r="D5" s="1253">
        <f ca="1">COUNTA(INDIRECT("C"&amp;FirstRow&amp;":C"&amp;FirstRow+1000))</f>
        <v>0</v>
      </c>
      <c r="E5" s="1250" t="s">
        <v>2499</v>
      </c>
      <c r="F5" s="1251">
        <f ca="1">COUNTA(INDIRECT("E"&amp;FirstRow&amp;":E"&amp;FirstRow+1000))</f>
        <v>0</v>
      </c>
      <c r="G5" s="1252" t="s">
        <v>2499</v>
      </c>
      <c r="H5" s="1253">
        <f ca="1">COUNTA(INDIRECT("G"&amp;FirstRow&amp;":G"&amp;FirstRow+1000))</f>
        <v>0</v>
      </c>
      <c r="I5" s="1250" t="s">
        <v>2499</v>
      </c>
      <c r="J5" s="1251">
        <f ca="1">COUNTA(INDIRECT("I"&amp;FirstRow&amp;":I"&amp;FirstRow+1000))</f>
        <v>0</v>
      </c>
      <c r="K5" s="1252" t="s">
        <v>2499</v>
      </c>
      <c r="L5" s="1253">
        <f ca="1">COUNTA(INDIRECT("K"&amp;FirstRow&amp;":K"&amp;FirstRow+1000))</f>
        <v>0</v>
      </c>
      <c r="M5" s="1250" t="s">
        <v>2499</v>
      </c>
      <c r="N5" s="1251">
        <f ca="1">COUNTA(INDIRECT("M"&amp;FirstRow&amp;":M"&amp;FirstRow+1000))</f>
        <v>0</v>
      </c>
      <c r="O5" s="1252" t="s">
        <v>2499</v>
      </c>
      <c r="P5" s="1253">
        <f ca="1">COUNTA(INDIRECT("O"&amp;FirstRow&amp;":O"&amp;FirstRow+1000))</f>
        <v>0</v>
      </c>
      <c r="Q5" s="1239"/>
      <c r="R5" s="1239"/>
      <c r="S5" s="1239"/>
      <c r="T5" s="1239"/>
      <c r="U5" s="1239"/>
      <c r="V5" s="1239"/>
      <c r="W5" s="1239"/>
      <c r="X5" s="1257" t="e">
        <f t="array" aca="1" ref="X5:Y1031" ca="1">IF(OFFSET(A5:P1031,0,(TestNum-1)*2)="",NA(),OFFSET(A5:P1031,0,(TestNum-1)*2))</f>
        <v>#NAME?</v>
      </c>
      <c r="Y5" s="1316" t="e">
        <f ca="1"/>
        <v>#NAME?</v>
      </c>
      <c r="AA5" s="1239"/>
      <c r="AB5" s="1239"/>
      <c r="AC5" s="1239"/>
      <c r="AD5" s="1239"/>
      <c r="AE5" s="1239"/>
    </row>
    <row r="6" spans="1:31" ht="12.75" hidden="1" customHeight="1" x14ac:dyDescent="0.2">
      <c r="A6" s="1257" t="s">
        <v>2500</v>
      </c>
      <c r="B6" s="1258">
        <f ca="1">MAX(INDIRECT("B"&amp;FirstRow&amp;":B"&amp;FirstRow+B5))</f>
        <v>0</v>
      </c>
      <c r="C6" s="1259" t="s">
        <v>2500</v>
      </c>
      <c r="D6" s="1260">
        <f ca="1">MAX(INDIRECT("D"&amp;FirstRow&amp;":D"&amp;FirstRow+D5))</f>
        <v>0</v>
      </c>
      <c r="E6" s="1257" t="s">
        <v>2500</v>
      </c>
      <c r="F6" s="1258">
        <f ca="1">MAX(INDIRECT("F"&amp;FirstRow&amp;":F"&amp;FirstRow+F5))</f>
        <v>0</v>
      </c>
      <c r="G6" s="1259" t="s">
        <v>2500</v>
      </c>
      <c r="H6" s="1260">
        <f ca="1">MAX(INDIRECT("H"&amp;FirstRow&amp;":H"&amp;FirstRow+H5))</f>
        <v>0</v>
      </c>
      <c r="I6" s="1257" t="s">
        <v>2500</v>
      </c>
      <c r="J6" s="1258">
        <f ca="1">MAX(INDIRECT("J"&amp;FirstRow&amp;":J"&amp;FirstRow+J5))</f>
        <v>0</v>
      </c>
      <c r="K6" s="1259" t="s">
        <v>2500</v>
      </c>
      <c r="L6" s="1260">
        <f ca="1">MAX(INDIRECT("L"&amp;FirstRow&amp;":L"&amp;FirstRow+L5))</f>
        <v>0</v>
      </c>
      <c r="M6" s="1257" t="s">
        <v>2500</v>
      </c>
      <c r="N6" s="1258">
        <f ca="1">MAX(INDIRECT("N"&amp;FirstRow&amp;":N"&amp;FirstRow+N5))</f>
        <v>0</v>
      </c>
      <c r="O6" s="1259" t="s">
        <v>2500</v>
      </c>
      <c r="P6" s="1260">
        <f ca="1">MAX(INDIRECT("P"&amp;FirstRow&amp;":P"&amp;FirstRow+P5))</f>
        <v>0</v>
      </c>
      <c r="Q6" s="1239"/>
      <c r="R6" s="1261" t="s">
        <v>2501</v>
      </c>
      <c r="S6" s="1239">
        <v>31</v>
      </c>
      <c r="T6" s="1239"/>
      <c r="U6" s="1239"/>
      <c r="V6" s="1239"/>
      <c r="W6" s="1239"/>
      <c r="X6" s="1257" t="e">
        <f ca="1"/>
        <v>#NAME?</v>
      </c>
      <c r="Y6" s="1258" t="e">
        <f ca="1"/>
        <v>#NAME?</v>
      </c>
      <c r="AA6" s="1239"/>
      <c r="AB6" s="1239"/>
      <c r="AC6" s="1239"/>
      <c r="AD6" s="1239"/>
      <c r="AE6" s="1239"/>
    </row>
    <row r="7" spans="1:31" ht="12.75" hidden="1" customHeight="1" x14ac:dyDescent="0.2">
      <c r="A7" s="1257" t="s">
        <v>2502</v>
      </c>
      <c r="B7" s="1258">
        <f ca="1">0.85*B6</f>
        <v>0</v>
      </c>
      <c r="C7" s="1259" t="s">
        <v>2502</v>
      </c>
      <c r="D7" s="1260">
        <f ca="1">0.85*D6</f>
        <v>0</v>
      </c>
      <c r="E7" s="1257" t="s">
        <v>2502</v>
      </c>
      <c r="F7" s="1258">
        <f ca="1">0.85*F6</f>
        <v>0</v>
      </c>
      <c r="G7" s="1259" t="s">
        <v>2502</v>
      </c>
      <c r="H7" s="1260">
        <f ca="1">0.85*H6</f>
        <v>0</v>
      </c>
      <c r="I7" s="1257" t="s">
        <v>2502</v>
      </c>
      <c r="J7" s="1258">
        <f ca="1">0.85*J6</f>
        <v>0</v>
      </c>
      <c r="K7" s="1259" t="s">
        <v>2502</v>
      </c>
      <c r="L7" s="1260">
        <f ca="1">0.85*L6</f>
        <v>0</v>
      </c>
      <c r="M7" s="1257" t="s">
        <v>2502</v>
      </c>
      <c r="N7" s="1258">
        <f ca="1">0.85*N6</f>
        <v>0</v>
      </c>
      <c r="O7" s="1259" t="s">
        <v>2502</v>
      </c>
      <c r="P7" s="1260">
        <f ca="1">0.85*P6</f>
        <v>0</v>
      </c>
      <c r="Q7" s="1239"/>
      <c r="R7" s="1239"/>
      <c r="S7" s="1239"/>
      <c r="T7" s="1239"/>
      <c r="U7" s="1239"/>
      <c r="V7" s="1239"/>
      <c r="W7" s="1239"/>
      <c r="X7" s="1257" t="e">
        <f ca="1"/>
        <v>#NAME?</v>
      </c>
      <c r="Y7" s="1258" t="e">
        <f ca="1"/>
        <v>#NAME?</v>
      </c>
      <c r="AA7" s="1239"/>
      <c r="AB7" s="1239"/>
      <c r="AC7" s="1239"/>
      <c r="AD7" s="1239"/>
      <c r="AE7" s="1239"/>
    </row>
    <row r="8" spans="1:31" ht="12.75" hidden="1" customHeight="1" x14ac:dyDescent="0.2">
      <c r="A8" s="1257" t="s">
        <v>2503</v>
      </c>
      <c r="B8" s="1258">
        <f ca="1">0.75*B6</f>
        <v>0</v>
      </c>
      <c r="C8" s="1259" t="s">
        <v>2503</v>
      </c>
      <c r="D8" s="1260">
        <f ca="1">0.75*D6</f>
        <v>0</v>
      </c>
      <c r="E8" s="1257" t="s">
        <v>2503</v>
      </c>
      <c r="F8" s="1258">
        <f ca="1">0.75*F6</f>
        <v>0</v>
      </c>
      <c r="G8" s="1259" t="s">
        <v>2503</v>
      </c>
      <c r="H8" s="1260">
        <f ca="1">0.75*H6</f>
        <v>0</v>
      </c>
      <c r="I8" s="1257" t="s">
        <v>2503</v>
      </c>
      <c r="J8" s="1258">
        <f ca="1">0.75*J6</f>
        <v>0</v>
      </c>
      <c r="K8" s="1259" t="s">
        <v>2503</v>
      </c>
      <c r="L8" s="1260">
        <f ca="1">0.75*L6</f>
        <v>0</v>
      </c>
      <c r="M8" s="1257" t="s">
        <v>2503</v>
      </c>
      <c r="N8" s="1258">
        <f ca="1">0.75*N6</f>
        <v>0</v>
      </c>
      <c r="O8" s="1259" t="s">
        <v>2503</v>
      </c>
      <c r="P8" s="1260">
        <f ca="1">0.75*P6</f>
        <v>0</v>
      </c>
      <c r="Q8" s="1239"/>
      <c r="R8" s="1239"/>
      <c r="S8" s="1239"/>
      <c r="T8" s="1239"/>
      <c r="U8" s="1239"/>
      <c r="V8" s="1239"/>
      <c r="W8" s="1239"/>
      <c r="X8" s="1257" t="e">
        <f ca="1"/>
        <v>#NAME?</v>
      </c>
      <c r="Y8" s="1258" t="e">
        <f ca="1"/>
        <v>#NAME?</v>
      </c>
      <c r="AA8" s="1239"/>
      <c r="AB8" s="1239"/>
      <c r="AC8" s="1239"/>
      <c r="AD8" s="1239"/>
      <c r="AE8" s="1239"/>
    </row>
    <row r="9" spans="1:31" ht="12.75" hidden="1" customHeight="1" x14ac:dyDescent="0.2">
      <c r="A9" s="1257" t="s">
        <v>2504</v>
      </c>
      <c r="B9" s="1258">
        <f ca="1">0.65*B6</f>
        <v>0</v>
      </c>
      <c r="C9" s="1259" t="s">
        <v>2504</v>
      </c>
      <c r="D9" s="1260">
        <f ca="1">0.65*D6</f>
        <v>0</v>
      </c>
      <c r="E9" s="1257" t="s">
        <v>2504</v>
      </c>
      <c r="F9" s="1258">
        <f ca="1">0.65*F6</f>
        <v>0</v>
      </c>
      <c r="G9" s="1259" t="s">
        <v>2504</v>
      </c>
      <c r="H9" s="1260">
        <f ca="1">0.65*H6</f>
        <v>0</v>
      </c>
      <c r="I9" s="1257" t="s">
        <v>2504</v>
      </c>
      <c r="J9" s="1258">
        <f ca="1">0.65*J6</f>
        <v>0</v>
      </c>
      <c r="K9" s="1259" t="s">
        <v>2504</v>
      </c>
      <c r="L9" s="1260">
        <f ca="1">0.65*L6</f>
        <v>0</v>
      </c>
      <c r="M9" s="1257" t="s">
        <v>2504</v>
      </c>
      <c r="N9" s="1258">
        <f ca="1">0.65*N6</f>
        <v>0</v>
      </c>
      <c r="O9" s="1259" t="s">
        <v>2504</v>
      </c>
      <c r="P9" s="1260">
        <f ca="1">0.65*P6</f>
        <v>0</v>
      </c>
      <c r="Q9" s="1239"/>
      <c r="R9" s="1239"/>
      <c r="S9" s="1239"/>
      <c r="T9" s="1239"/>
      <c r="U9" s="1239"/>
      <c r="V9" s="1239"/>
      <c r="W9" s="1239"/>
      <c r="X9" s="1257" t="e">
        <f ca="1"/>
        <v>#NAME?</v>
      </c>
      <c r="Y9" s="1258" t="e">
        <f ca="1"/>
        <v>#NAME?</v>
      </c>
      <c r="AA9" s="1239"/>
      <c r="AB9" s="1239"/>
      <c r="AC9" s="1239"/>
      <c r="AD9" s="1239"/>
      <c r="AE9" s="1239"/>
    </row>
    <row r="10" spans="1:31" ht="12.75" hidden="1" customHeight="1" x14ac:dyDescent="0.2">
      <c r="A10" s="1257" t="s">
        <v>2505</v>
      </c>
      <c r="B10" s="1262" t="e">
        <f ca="1">MATCH(B6,INDIRECT("B"&amp;FirstRow&amp;":B"&amp;FirstRow+B5),0)+FirstRow-1</f>
        <v>#N/A</v>
      </c>
      <c r="C10" s="1259" t="s">
        <v>2505</v>
      </c>
      <c r="D10" s="1263" t="e">
        <f ca="1">MATCH(D6,INDIRECT("D"&amp;FirstRow&amp;":D"&amp;FirstRow+D5),0)+FirstRow-1</f>
        <v>#N/A</v>
      </c>
      <c r="E10" s="1257" t="s">
        <v>2505</v>
      </c>
      <c r="F10" s="1262" t="e">
        <f ca="1">MATCH(F6,INDIRECT("F"&amp;FirstRow&amp;":F"&amp;FirstRow+F5),0)+FirstRow-1</f>
        <v>#N/A</v>
      </c>
      <c r="G10" s="1259" t="s">
        <v>2505</v>
      </c>
      <c r="H10" s="1263" t="e">
        <f ca="1">MATCH(H6,INDIRECT("H"&amp;FirstRow&amp;":H"&amp;FirstRow+H5),0)+FirstRow-1</f>
        <v>#N/A</v>
      </c>
      <c r="I10" s="1257" t="s">
        <v>2505</v>
      </c>
      <c r="J10" s="1262" t="e">
        <f ca="1">MATCH(J6,INDIRECT("J"&amp;FirstRow&amp;":J"&amp;FirstRow+J5),0)+FirstRow-1</f>
        <v>#N/A</v>
      </c>
      <c r="K10" s="1259" t="s">
        <v>2505</v>
      </c>
      <c r="L10" s="1263" t="e">
        <f ca="1">MATCH(L6,INDIRECT("L"&amp;FirstRow&amp;":L"&amp;FirstRow+L5),0)+FirstRow-1</f>
        <v>#N/A</v>
      </c>
      <c r="M10" s="1257" t="s">
        <v>2505</v>
      </c>
      <c r="N10" s="1262" t="e">
        <f ca="1">MATCH(N6,INDIRECT("N"&amp;FirstRow&amp;":N"&amp;FirstRow+N5),0)+FirstRow-1</f>
        <v>#N/A</v>
      </c>
      <c r="O10" s="1259" t="s">
        <v>2505</v>
      </c>
      <c r="P10" s="1263" t="e">
        <f ca="1">MATCH(P6,INDIRECT("P"&amp;FirstRow&amp;":P"&amp;FirstRow+P5),0)+FirstRow-1</f>
        <v>#N/A</v>
      </c>
      <c r="Q10" s="1239"/>
      <c r="R10" s="1239"/>
      <c r="S10" s="1239"/>
      <c r="T10" s="1239"/>
      <c r="U10" s="1239"/>
      <c r="V10" s="1239"/>
      <c r="W10" s="1239"/>
      <c r="X10" s="1257" t="e">
        <f ca="1"/>
        <v>#NAME?</v>
      </c>
      <c r="Y10" s="1262" t="e">
        <f ca="1"/>
        <v>#NAME?</v>
      </c>
      <c r="AA10" s="1239"/>
      <c r="AB10" s="1239"/>
      <c r="AC10" s="1239"/>
      <c r="AD10" s="1239"/>
      <c r="AE10" s="1239"/>
    </row>
    <row r="11" spans="1:31" ht="12.75" hidden="1" customHeight="1" x14ac:dyDescent="0.2">
      <c r="A11" s="1257" t="s">
        <v>2506</v>
      </c>
      <c r="B11" s="1262" t="e">
        <f ca="1">MATCH(B7,INDIRECT("B"&amp;B10&amp;":B"&amp;FirstRow+B5),-1)+B10</f>
        <v>#N/A</v>
      </c>
      <c r="C11" s="1259" t="s">
        <v>2506</v>
      </c>
      <c r="D11" s="1263" t="e">
        <f ca="1">MATCH(D7,INDIRECT("D"&amp;D10&amp;":D"&amp;FirstRow+D5),-1)+D10</f>
        <v>#N/A</v>
      </c>
      <c r="E11" s="1257" t="s">
        <v>2506</v>
      </c>
      <c r="F11" s="1262" t="e">
        <f ca="1">MATCH(F7,INDIRECT("F"&amp;F10&amp;":F"&amp;FirstRow+F5),-1)+F10</f>
        <v>#N/A</v>
      </c>
      <c r="G11" s="1259" t="s">
        <v>2506</v>
      </c>
      <c r="H11" s="1263" t="e">
        <f ca="1">MATCH(H7,INDIRECT("H"&amp;H10&amp;":H"&amp;FirstRow+H5),-1)+H10</f>
        <v>#N/A</v>
      </c>
      <c r="I11" s="1257" t="s">
        <v>2506</v>
      </c>
      <c r="J11" s="1262" t="e">
        <f ca="1">MATCH(J7,INDIRECT("J"&amp;J10&amp;":J"&amp;FirstRow+J5),-1)+J10</f>
        <v>#N/A</v>
      </c>
      <c r="K11" s="1259" t="s">
        <v>2506</v>
      </c>
      <c r="L11" s="1263" t="e">
        <f ca="1">MATCH(L7,INDIRECT("L"&amp;L10&amp;":L"&amp;FirstRow+L5),-1)+L10</f>
        <v>#N/A</v>
      </c>
      <c r="M11" s="1257" t="s">
        <v>2506</v>
      </c>
      <c r="N11" s="1262" t="e">
        <f ca="1">MATCH(N7,INDIRECT("N"&amp;N10&amp;":N"&amp;FirstRow+N5),-1)+N10</f>
        <v>#N/A</v>
      </c>
      <c r="O11" s="1259" t="s">
        <v>2506</v>
      </c>
      <c r="P11" s="1263" t="e">
        <f ca="1">MATCH(P7,INDIRECT("P"&amp;P10&amp;":P"&amp;FirstRow+P5),-1)+P10</f>
        <v>#N/A</v>
      </c>
      <c r="Q11" s="1239"/>
      <c r="R11" s="1239"/>
      <c r="S11" s="1239"/>
      <c r="T11" s="1239"/>
      <c r="U11" s="1239"/>
      <c r="V11" s="1239"/>
      <c r="W11" s="1239"/>
      <c r="X11" s="1257" t="e">
        <f ca="1"/>
        <v>#NAME?</v>
      </c>
      <c r="Y11" s="1262" t="e">
        <f ca="1"/>
        <v>#NAME?</v>
      </c>
      <c r="AA11" s="1239"/>
      <c r="AB11" s="1239"/>
      <c r="AC11" s="1239"/>
      <c r="AD11" s="1239"/>
      <c r="AE11" s="1239"/>
    </row>
    <row r="12" spans="1:31" ht="12.75" hidden="1" customHeight="1" x14ac:dyDescent="0.2">
      <c r="A12" s="1257" t="s">
        <v>2507</v>
      </c>
      <c r="B12" s="1262" t="e">
        <f ca="1">MATCH(B8,INDIRECT("B"&amp;B10&amp;":B"&amp;FirstRow+B5),-1)+B10</f>
        <v>#N/A</v>
      </c>
      <c r="C12" s="1259" t="s">
        <v>2507</v>
      </c>
      <c r="D12" s="1263" t="e">
        <f ca="1">MATCH(D8,INDIRECT("D"&amp;D10&amp;":D"&amp;FirstRow+D5),-1)+D10</f>
        <v>#N/A</v>
      </c>
      <c r="E12" s="1257" t="s">
        <v>2507</v>
      </c>
      <c r="F12" s="1262" t="e">
        <f ca="1">MATCH(F8,INDIRECT("F"&amp;F10&amp;":F"&amp;FirstRow+F5),-1)+F10</f>
        <v>#N/A</v>
      </c>
      <c r="G12" s="1259" t="s">
        <v>2507</v>
      </c>
      <c r="H12" s="1263" t="e">
        <f ca="1">MATCH(H8,INDIRECT("H"&amp;H10&amp;":H"&amp;FirstRow+H5),-1)+H10</f>
        <v>#N/A</v>
      </c>
      <c r="I12" s="1257" t="s">
        <v>2507</v>
      </c>
      <c r="J12" s="1262" t="e">
        <f ca="1">MATCH(J8,INDIRECT("J"&amp;J10&amp;":J"&amp;FirstRow+J5),-1)+J10</f>
        <v>#N/A</v>
      </c>
      <c r="K12" s="1259" t="s">
        <v>2507</v>
      </c>
      <c r="L12" s="1263" t="e">
        <f ca="1">MATCH(L8,INDIRECT("L"&amp;L10&amp;":L"&amp;FirstRow+L5),-1)+L10</f>
        <v>#N/A</v>
      </c>
      <c r="M12" s="1257" t="s">
        <v>2507</v>
      </c>
      <c r="N12" s="1262" t="e">
        <f ca="1">MATCH(N8,INDIRECT("N"&amp;N10&amp;":N"&amp;FirstRow+N5),-1)+N10</f>
        <v>#N/A</v>
      </c>
      <c r="O12" s="1259" t="s">
        <v>2507</v>
      </c>
      <c r="P12" s="1263" t="e">
        <f ca="1">MATCH(P8,INDIRECT("P"&amp;P10&amp;":P"&amp;FirstRow+P5),-1)+P10</f>
        <v>#N/A</v>
      </c>
      <c r="Q12" s="1239"/>
      <c r="R12" s="1239"/>
      <c r="S12" s="1239"/>
      <c r="T12" s="1239"/>
      <c r="U12" s="1239"/>
      <c r="V12" s="1239"/>
      <c r="W12" s="1239"/>
      <c r="X12" s="1257" t="e">
        <f ca="1"/>
        <v>#NAME?</v>
      </c>
      <c r="Y12" s="1262" t="e">
        <f ca="1"/>
        <v>#NAME?</v>
      </c>
      <c r="AA12" s="1239"/>
      <c r="AB12" s="1239"/>
      <c r="AC12" s="1239"/>
      <c r="AD12" s="1239"/>
      <c r="AE12" s="1239"/>
    </row>
    <row r="13" spans="1:31" ht="12.75" hidden="1" customHeight="1" thickBot="1" x14ac:dyDescent="0.25">
      <c r="A13" s="1257" t="s">
        <v>2508</v>
      </c>
      <c r="B13" s="1262" t="e">
        <f ca="1">MATCH(B9,INDIRECT("B"&amp;B10&amp;":B"&amp;FirstRow+B5),-1)+B10</f>
        <v>#N/A</v>
      </c>
      <c r="C13" s="1259" t="s">
        <v>2508</v>
      </c>
      <c r="D13" s="1263" t="e">
        <f ca="1">MATCH(D9,INDIRECT("D"&amp;D10&amp;":D"&amp;FirstRow+D5),-1)+D10</f>
        <v>#N/A</v>
      </c>
      <c r="E13" s="1257" t="s">
        <v>2508</v>
      </c>
      <c r="F13" s="1262" t="e">
        <f ca="1">MATCH(F9,INDIRECT("F"&amp;F10&amp;":F"&amp;FirstRow+F5),-1)+F10</f>
        <v>#N/A</v>
      </c>
      <c r="G13" s="1259" t="s">
        <v>2508</v>
      </c>
      <c r="H13" s="1263" t="e">
        <f ca="1">MATCH(H9,INDIRECT("H"&amp;H10&amp;":H"&amp;FirstRow+H5),-1)+H10</f>
        <v>#N/A</v>
      </c>
      <c r="I13" s="1257" t="s">
        <v>2508</v>
      </c>
      <c r="J13" s="1262" t="e">
        <f ca="1">MATCH(J9,INDIRECT("J"&amp;J10&amp;":J"&amp;FirstRow+J5),-1)+J10</f>
        <v>#N/A</v>
      </c>
      <c r="K13" s="1259" t="s">
        <v>2508</v>
      </c>
      <c r="L13" s="1263" t="e">
        <f ca="1">MATCH(L9,INDIRECT("L"&amp;L10&amp;":L"&amp;FirstRow+L5),-1)+L10</f>
        <v>#N/A</v>
      </c>
      <c r="M13" s="1257" t="s">
        <v>2508</v>
      </c>
      <c r="N13" s="1262" t="e">
        <f ca="1">MATCH(N9,INDIRECT("N"&amp;N10&amp;":N"&amp;FirstRow+N5),-1)+N10</f>
        <v>#N/A</v>
      </c>
      <c r="O13" s="1259" t="s">
        <v>2508</v>
      </c>
      <c r="P13" s="1263" t="e">
        <f ca="1">MATCH(P9,INDIRECT("P"&amp;P10&amp;":P"&amp;FirstRow+P5),-1)+P10</f>
        <v>#N/A</v>
      </c>
      <c r="Q13" s="1239"/>
      <c r="R13" s="1239"/>
      <c r="S13" s="1239"/>
      <c r="T13" s="1239"/>
      <c r="U13" s="1239"/>
      <c r="V13" s="1239"/>
      <c r="W13" s="1239"/>
      <c r="X13" s="1257" t="e">
        <f ca="1"/>
        <v>#NAME?</v>
      </c>
      <c r="Y13" s="1262" t="e">
        <f ca="1"/>
        <v>#NAME?</v>
      </c>
      <c r="AA13" s="1239"/>
      <c r="AB13" s="1239"/>
      <c r="AC13" s="1239"/>
      <c r="AD13" s="1239"/>
      <c r="AE13" s="1239"/>
    </row>
    <row r="14" spans="1:31" ht="15.75" customHeight="1" x14ac:dyDescent="0.3">
      <c r="A14" s="1264" t="s">
        <v>2509</v>
      </c>
      <c r="B14" s="1265" t="str">
        <f ca="1">IF(ISNA(B12),"",INDIRECT("A"&amp;B12))</f>
        <v/>
      </c>
      <c r="C14" s="1264" t="s">
        <v>2509</v>
      </c>
      <c r="D14" s="1265" t="str">
        <f ca="1">IF(ISNA(D12),"",INDIRECT("C"&amp;D12))</f>
        <v/>
      </c>
      <c r="E14" s="1264" t="s">
        <v>2509</v>
      </c>
      <c r="F14" s="1265" t="str">
        <f ca="1">IF(ISNA(F12),"",INDIRECT("E"&amp;F12))</f>
        <v/>
      </c>
      <c r="G14" s="1264" t="s">
        <v>2509</v>
      </c>
      <c r="H14" s="1265" t="str">
        <f ca="1">IF(ISNA(H12),"",INDIRECT("G"&amp;H12))</f>
        <v/>
      </c>
      <c r="I14" s="1264" t="s">
        <v>2509</v>
      </c>
      <c r="J14" s="1265" t="str">
        <f ca="1">IF(ISNA(J12),"",INDIRECT("I"&amp;J12))</f>
        <v/>
      </c>
      <c r="K14" s="1264" t="s">
        <v>2509</v>
      </c>
      <c r="L14" s="1265" t="str">
        <f ca="1">IF(ISNA(L12),"",INDIRECT("K"&amp;L12))</f>
        <v/>
      </c>
      <c r="M14" s="1264" t="s">
        <v>2509</v>
      </c>
      <c r="N14" s="1265" t="str">
        <f ca="1">IF(ISNA(N12),"",INDIRECT("M"&amp;N12))</f>
        <v/>
      </c>
      <c r="O14" s="1264" t="s">
        <v>2509</v>
      </c>
      <c r="P14" s="1265" t="str">
        <f ca="1">IF(ISNA(P12),"",INDIRECT("O"&amp;P12))</f>
        <v/>
      </c>
      <c r="Q14" s="1239"/>
      <c r="R14" s="1239"/>
      <c r="S14" s="1239"/>
      <c r="T14" s="1239"/>
      <c r="U14" s="1239"/>
      <c r="V14" s="1239"/>
      <c r="W14" s="1239"/>
      <c r="X14" s="1317" t="e">
        <f ca="1"/>
        <v>#NAME?</v>
      </c>
      <c r="Y14" s="1318" t="e">
        <f ca="1"/>
        <v>#NAME?</v>
      </c>
      <c r="AA14" s="1239"/>
      <c r="AB14" s="1239"/>
      <c r="AC14" s="1239"/>
      <c r="AD14" s="1239"/>
      <c r="AE14" s="1239"/>
    </row>
    <row r="15" spans="1:31" ht="12.75" hidden="1" customHeight="1" x14ac:dyDescent="0.2">
      <c r="A15" s="1266" t="s">
        <v>1534</v>
      </c>
      <c r="B15" s="1267" t="e">
        <f ca="1">ABS(SLOPE((INDEX(B:B,B11):INDEX(B:B,B13)),(INDEX(A:A,B11):INDEX(A:A,B13))))</f>
        <v>#N/A</v>
      </c>
      <c r="C15" s="1268" t="s">
        <v>1534</v>
      </c>
      <c r="D15" s="1267" t="e">
        <f ca="1">ABS(SLOPE((INDEX(D:D,D11):INDEX(D:D,D13)),(INDEX(C:C,D11):INDEX(C:C,D13))))</f>
        <v>#N/A</v>
      </c>
      <c r="E15" s="1268" t="s">
        <v>1534</v>
      </c>
      <c r="F15" s="1267" t="e">
        <f ca="1">ABS(SLOPE((INDEX(F:F,F11):INDEX(F:F,F13)),(INDEX(E:E,F11):INDEX(E:E,F13))))</f>
        <v>#N/A</v>
      </c>
      <c r="G15" s="1269" t="s">
        <v>1534</v>
      </c>
      <c r="H15" s="1267" t="e">
        <f ca="1">ABS(SLOPE((INDEX(H:H,H11):INDEX(H:H,H13)),(INDEX(G:G,H11):INDEX(G:G,H13))))</f>
        <v>#N/A</v>
      </c>
      <c r="I15" s="1268" t="s">
        <v>1534</v>
      </c>
      <c r="J15" s="1267" t="e">
        <f ca="1">ABS(SLOPE((INDEX(J:J,J11):INDEX(J:J,J13)),(INDEX(I:I,J11):INDEX(I:I,J13))))</f>
        <v>#N/A</v>
      </c>
      <c r="K15" s="1269" t="s">
        <v>1534</v>
      </c>
      <c r="L15" s="1267" t="e">
        <f ca="1">ABS(SLOPE((INDEX(L:L,L11):INDEX(L:L,L13)),(INDEX(K:K,L11):INDEX(K:K,L13))))</f>
        <v>#N/A</v>
      </c>
      <c r="M15" s="1268" t="s">
        <v>1534</v>
      </c>
      <c r="N15" s="1267" t="e">
        <f ca="1">ABS(SLOPE((INDEX(N:N,N11):INDEX(N:N,N13)),(INDEX(M:M,N11):INDEX(M:M,N13))))</f>
        <v>#N/A</v>
      </c>
      <c r="O15" s="1269" t="s">
        <v>1534</v>
      </c>
      <c r="P15" s="1267" t="e">
        <f ca="1">ABS(SLOPE((INDEX(P:P,P11):INDEX(P:P,P13)),(INDEX(O:O,P11):INDEX(O:O,P13))))</f>
        <v>#N/A</v>
      </c>
      <c r="Q15" s="1239"/>
      <c r="R15" s="1239"/>
      <c r="S15" s="1239"/>
      <c r="T15" s="1239"/>
      <c r="U15" s="1239"/>
      <c r="V15" s="1239"/>
      <c r="W15" s="1239"/>
      <c r="X15" s="1257" t="e">
        <f ca="1"/>
        <v>#NAME?</v>
      </c>
      <c r="Y15" s="1258" t="e">
        <f ca="1"/>
        <v>#NAME?</v>
      </c>
      <c r="AA15" s="1239"/>
      <c r="AB15" s="1239"/>
      <c r="AC15" s="1239"/>
      <c r="AD15" s="1239"/>
      <c r="AE15" s="1239"/>
    </row>
    <row r="16" spans="1:31" ht="12.75" hidden="1" customHeight="1" x14ac:dyDescent="0.2">
      <c r="A16" s="1266" t="s">
        <v>2510</v>
      </c>
      <c r="B16" s="1270" t="str">
        <f>IF(ISBLANK(B22),IF(ISBLANK(A28),"",A28),B22)</f>
        <v/>
      </c>
      <c r="C16" s="1266" t="s">
        <v>2510</v>
      </c>
      <c r="D16" s="1270" t="str">
        <f>IF(ISBLANK(D22),IF(ISBLANK(C28),"",C28),D22)</f>
        <v/>
      </c>
      <c r="E16" s="1266" t="s">
        <v>2510</v>
      </c>
      <c r="F16" s="1270" t="str">
        <f>IF(ISBLANK(F22),IF(ISBLANK(E28),"",E28),F22)</f>
        <v/>
      </c>
      <c r="G16" s="1266" t="s">
        <v>2510</v>
      </c>
      <c r="H16" s="1270" t="str">
        <f>IF(ISBLANK(H22),IF(ISBLANK(G28),"",G28),H22)</f>
        <v/>
      </c>
      <c r="I16" s="1266" t="s">
        <v>2510</v>
      </c>
      <c r="J16" s="1270" t="str">
        <f>IF(ISBLANK(J22),IF(ISBLANK(I28),"",I28),J22)</f>
        <v/>
      </c>
      <c r="K16" s="1266" t="s">
        <v>2510</v>
      </c>
      <c r="L16" s="1270" t="str">
        <f>IF(ISBLANK(L22),IF(ISBLANK(K28),"",K28),L22)</f>
        <v/>
      </c>
      <c r="M16" s="1266" t="s">
        <v>2510</v>
      </c>
      <c r="N16" s="1270" t="str">
        <f>IF(ISBLANK(N22),IF(ISBLANK(M28),"",M28),N22)</f>
        <v/>
      </c>
      <c r="O16" s="1266" t="s">
        <v>2510</v>
      </c>
      <c r="P16" s="1270" t="str">
        <f>IF(ISBLANK(P22),IF(ISBLANK(O28),"",O28),P22)</f>
        <v/>
      </c>
      <c r="Q16" s="1239"/>
      <c r="R16" s="1239"/>
      <c r="S16" s="1239"/>
      <c r="T16" s="1239"/>
      <c r="U16" s="1239"/>
      <c r="V16" s="1239"/>
      <c r="W16" s="1239"/>
      <c r="X16" s="1319" t="e">
        <f ca="1"/>
        <v>#NAME?</v>
      </c>
      <c r="Y16" s="1316" t="e">
        <f ca="1"/>
        <v>#NAME?</v>
      </c>
      <c r="AA16" s="1239"/>
      <c r="AB16" s="1239"/>
      <c r="AC16" s="1239"/>
      <c r="AD16" s="1239"/>
      <c r="AE16" s="1239"/>
    </row>
    <row r="17" spans="1:31" ht="12.75" hidden="1" customHeight="1" x14ac:dyDescent="0.2">
      <c r="A17" s="1271" t="s">
        <v>2511</v>
      </c>
      <c r="B17" s="1272" t="e">
        <f ca="1">MATCH(0.1,INDIRECT("B"&amp;B10&amp;":B"&amp;FirstRow+B5),-1)+B10</f>
        <v>#N/A</v>
      </c>
      <c r="C17" s="1271" t="s">
        <v>2511</v>
      </c>
      <c r="D17" s="1272" t="e">
        <f ca="1">MATCH(0.1,INDIRECT("D"&amp;D10&amp;":D"&amp;FirstRow+D5),-1)+D10</f>
        <v>#N/A</v>
      </c>
      <c r="E17" s="1271" t="s">
        <v>2511</v>
      </c>
      <c r="F17" s="1272" t="e">
        <f ca="1">MATCH(0.1,INDIRECT("F"&amp;F10&amp;":F"&amp;FirstRow+F5),-1)+F10</f>
        <v>#N/A</v>
      </c>
      <c r="G17" s="1271" t="s">
        <v>2511</v>
      </c>
      <c r="H17" s="1272" t="e">
        <f ca="1">MATCH(0.1,INDIRECT("H"&amp;H10&amp;":H"&amp;FirstRow+H5),-1)+H10</f>
        <v>#N/A</v>
      </c>
      <c r="I17" s="1271" t="s">
        <v>2511</v>
      </c>
      <c r="J17" s="1272" t="e">
        <f ca="1">MATCH(0.1,INDIRECT("J"&amp;J10&amp;":J"&amp;FirstRow+J5),-1)+J10</f>
        <v>#N/A</v>
      </c>
      <c r="K17" s="1271" t="s">
        <v>2511</v>
      </c>
      <c r="L17" s="1272" t="e">
        <f ca="1">MATCH(0.1,INDIRECT("L"&amp;L10&amp;":L"&amp;FirstRow+L5),-1)+L10</f>
        <v>#N/A</v>
      </c>
      <c r="M17" s="1271" t="s">
        <v>2511</v>
      </c>
      <c r="N17" s="1272" t="e">
        <f ca="1">MATCH(0.1,INDIRECT("N"&amp;N10&amp;":N"&amp;FirstRow+N5),-1)+N10</f>
        <v>#N/A</v>
      </c>
      <c r="O17" s="1271" t="s">
        <v>2511</v>
      </c>
      <c r="P17" s="1272" t="e">
        <f ca="1">MATCH(0.1,INDIRECT("P"&amp;P10&amp;":P"&amp;FirstRow+P5),-1)+P10</f>
        <v>#N/A</v>
      </c>
      <c r="Q17" s="1239"/>
      <c r="R17" s="1239"/>
      <c r="S17" s="1239"/>
      <c r="T17" s="1239"/>
      <c r="U17" s="1239"/>
      <c r="V17" s="1239"/>
      <c r="W17" s="1239"/>
      <c r="X17" s="1257" t="e">
        <f ca="1"/>
        <v>#NAME?</v>
      </c>
      <c r="Y17" s="1262" t="e">
        <f ca="1"/>
        <v>#NAME?</v>
      </c>
      <c r="AA17" s="1239"/>
      <c r="AB17" s="1239"/>
      <c r="AC17" s="1239"/>
      <c r="AD17" s="1239"/>
      <c r="AE17" s="1239"/>
    </row>
    <row r="18" spans="1:31" ht="15.75" customHeight="1" x14ac:dyDescent="0.3">
      <c r="A18" s="1273" t="s">
        <v>2512</v>
      </c>
      <c r="B18" s="1274" t="str">
        <f ca="1">IF(ISERROR(B15),"",ABS(B15))</f>
        <v/>
      </c>
      <c r="C18" s="1273" t="s">
        <v>2512</v>
      </c>
      <c r="D18" s="1274" t="str">
        <f ca="1">IF(ISERROR(D15),"",ABS(D15))</f>
        <v/>
      </c>
      <c r="E18" s="1273" t="s">
        <v>2512</v>
      </c>
      <c r="F18" s="1274" t="str">
        <f ca="1">IF(ISERROR(F15),"",ABS(F15))</f>
        <v/>
      </c>
      <c r="G18" s="1273" t="s">
        <v>2512</v>
      </c>
      <c r="H18" s="1274" t="str">
        <f ca="1">IF(ISERROR(H15),"",ABS(H15))</f>
        <v/>
      </c>
      <c r="I18" s="1273" t="s">
        <v>2512</v>
      </c>
      <c r="J18" s="1274" t="str">
        <f ca="1">IF(ISERROR(J15),"",ABS(J15))</f>
        <v/>
      </c>
      <c r="K18" s="1273" t="s">
        <v>2512</v>
      </c>
      <c r="L18" s="1274" t="str">
        <f ca="1">IF(ISERROR(L15),"",ABS(L15))</f>
        <v/>
      </c>
      <c r="M18" s="1273" t="s">
        <v>2512</v>
      </c>
      <c r="N18" s="1274" t="str">
        <f ca="1">IF(ISERROR(N15),"",ABS(N15))</f>
        <v/>
      </c>
      <c r="O18" s="1273" t="s">
        <v>2512</v>
      </c>
      <c r="P18" s="1274" t="str">
        <f ca="1">IF(ISERROR(P15),"",ABS(P15))</f>
        <v/>
      </c>
      <c r="Q18" s="1239"/>
      <c r="R18" s="1239"/>
      <c r="S18" s="1239"/>
      <c r="T18" s="1239"/>
      <c r="U18" s="1239"/>
      <c r="V18" s="1239"/>
      <c r="W18" s="1239"/>
      <c r="X18" s="1320" t="e">
        <f ca="1"/>
        <v>#NAME?</v>
      </c>
      <c r="Y18" s="1321" t="e">
        <f ca="1"/>
        <v>#NAME?</v>
      </c>
      <c r="AA18" s="1239"/>
      <c r="AB18" s="1239"/>
      <c r="AC18" s="1239"/>
      <c r="AD18" s="1239"/>
      <c r="AE18" s="1239"/>
    </row>
    <row r="19" spans="1:31" ht="15.75" customHeight="1" x14ac:dyDescent="0.3">
      <c r="A19" s="1273" t="s">
        <v>2513</v>
      </c>
      <c r="B19" s="1275" t="str">
        <f ca="1">IF(ISNA(B17),"",SUMPRODUCT((INDIRECT("A"&amp;FirstRow+1&amp;":A"&amp;B17))-(INDIRECT("A"&amp;FirstRow&amp;":A"&amp;B17-1)),(((INDIRECT("B"&amp;FirstRow+1&amp;":B"&amp;B17))+(INDIRECT("B"&amp;FirstRow&amp;":B"&amp;B17-1)))/2)))</f>
        <v/>
      </c>
      <c r="C19" s="1273" t="s">
        <v>2513</v>
      </c>
      <c r="D19" s="1275" t="str">
        <f ca="1">IF(ISNA(D17),"",SUMPRODUCT((INDIRECT("C"&amp;FirstRow+1&amp;":C"&amp;D17))-(INDIRECT("C"&amp;FirstRow&amp;":C"&amp;D17-1)),(((INDIRECT("D"&amp;FirstRow+1&amp;":D"&amp;D17))+(INDIRECT("D"&amp;FirstRow&amp;":D"&amp;D17-1)))/2)))</f>
        <v/>
      </c>
      <c r="E19" s="1273" t="s">
        <v>2513</v>
      </c>
      <c r="F19" s="1275" t="str">
        <f ca="1">IF(ISNA(F17),"",SUMPRODUCT((INDIRECT("E"&amp;FirstRow+1&amp;":E"&amp;F17))-(INDIRECT("E"&amp;FirstRow&amp;":E"&amp;F17-1)),(((INDIRECT("F"&amp;FirstRow+1&amp;":F"&amp;F17))+(INDIRECT("F"&amp;FirstRow&amp;":F"&amp;F17-1)))/2)))</f>
        <v/>
      </c>
      <c r="G19" s="1273" t="s">
        <v>2513</v>
      </c>
      <c r="H19" s="1275" t="str">
        <f ca="1">IF(ISNA(H17),"",SUMPRODUCT((INDIRECT("G"&amp;FirstRow+1&amp;":G"&amp;H17))-(INDIRECT("G"&amp;FirstRow&amp;":G"&amp;H17-1)),(((INDIRECT("H"&amp;FirstRow+1&amp;":H"&amp;H17))+(INDIRECT("H"&amp;FirstRow&amp;":H"&amp;H17-1)))/2)))</f>
        <v/>
      </c>
      <c r="I19" s="1273" t="s">
        <v>2513</v>
      </c>
      <c r="J19" s="1275" t="str">
        <f ca="1">IF(ISNA(J17),"",SUMPRODUCT((INDIRECT("I"&amp;FirstRow+1&amp;":I"&amp;J17))-(INDIRECT("I"&amp;FirstRow&amp;":I"&amp;J17-1)),(((INDIRECT("J"&amp;FirstRow+1&amp;":J"&amp;J17))+(INDIRECT("J"&amp;FirstRow&amp;":J"&amp;J17-1)))/2)))</f>
        <v/>
      </c>
      <c r="K19" s="1273" t="s">
        <v>2513</v>
      </c>
      <c r="L19" s="1275" t="str">
        <f ca="1">IF(ISNA(L17),"",SUMPRODUCT((INDIRECT("K"&amp;FirstRow+1&amp;":K"&amp;L17))-(INDIRECT("K"&amp;FirstRow&amp;":K"&amp;L17-1)),(((INDIRECT("L"&amp;FirstRow+1&amp;":L"&amp;L17))+(INDIRECT("L"&amp;FirstRow&amp;":L"&amp;L17-1)))/2)))</f>
        <v/>
      </c>
      <c r="M19" s="1273" t="s">
        <v>2513</v>
      </c>
      <c r="N19" s="1275" t="str">
        <f ca="1">IF(ISNA(N17),"",SUMPRODUCT((INDIRECT("M"&amp;FirstRow+1&amp;":M"&amp;N17))-(INDIRECT("M"&amp;FirstRow&amp;":M"&amp;N17-1)),(((INDIRECT("N"&amp;FirstRow+1&amp;":N"&amp;N17))+(INDIRECT("N"&amp;FirstRow&amp;":N"&amp;N17-1)))/2)))</f>
        <v/>
      </c>
      <c r="O19" s="1273" t="s">
        <v>2513</v>
      </c>
      <c r="P19" s="1275" t="str">
        <f ca="1">IF(ISNA(P17),"",SUMPRODUCT((INDIRECT("O"&amp;FirstRow+1&amp;":O"&amp;P17))-(INDIRECT("O"&amp;FirstRow&amp;":O"&amp;P17-1)),(((INDIRECT("P"&amp;FirstRow+1&amp;":P"&amp;P17))+(INDIRECT("P"&amp;FirstRow&amp;":P"&amp;P17-1)))/2)))</f>
        <v/>
      </c>
      <c r="Q19" s="1239"/>
      <c r="R19" s="1239"/>
      <c r="S19" s="1239"/>
      <c r="T19" s="1239"/>
      <c r="U19" s="1239"/>
      <c r="V19" s="1239"/>
      <c r="W19" s="1239"/>
      <c r="X19" s="1320" t="e">
        <f ca="1"/>
        <v>#NAME?</v>
      </c>
      <c r="Y19" s="1322" t="e">
        <f ca="1"/>
        <v>#NAME?</v>
      </c>
      <c r="AA19" s="1239"/>
      <c r="AB19" s="1239"/>
      <c r="AC19" s="1239"/>
      <c r="AD19" s="1239"/>
      <c r="AE19" s="1239"/>
    </row>
    <row r="20" spans="1:31" ht="15.75" customHeight="1" thickBot="1" x14ac:dyDescent="0.35">
      <c r="A20" s="1276" t="s">
        <v>2514</v>
      </c>
      <c r="B20" s="1277" t="str">
        <f ca="1">IF(B19="","",(B19/(B25*B26))*1000000)</f>
        <v/>
      </c>
      <c r="C20" s="1276" t="s">
        <v>2514</v>
      </c>
      <c r="D20" s="1277" t="str">
        <f ca="1">IF(D19="","",(D19/(D25*D26))*1000000)</f>
        <v/>
      </c>
      <c r="E20" s="1276" t="s">
        <v>2514</v>
      </c>
      <c r="F20" s="1277" t="str">
        <f ca="1">IF(F19="","",(F19/(F25*F26))*1000000)</f>
        <v/>
      </c>
      <c r="G20" s="1276" t="s">
        <v>2514</v>
      </c>
      <c r="H20" s="1277" t="str">
        <f ca="1">IF(H19="","",(H19/(H25*H26))*1000000)</f>
        <v/>
      </c>
      <c r="I20" s="1276" t="s">
        <v>2514</v>
      </c>
      <c r="J20" s="1277" t="str">
        <f ca="1">IF(J19="","",(J19/(J25*J26))*1000000)</f>
        <v/>
      </c>
      <c r="K20" s="1276" t="s">
        <v>2514</v>
      </c>
      <c r="L20" s="1277" t="str">
        <f ca="1">IF(L19="","",(L19/(L25*L26))*1000000)</f>
        <v/>
      </c>
      <c r="M20" s="1276" t="s">
        <v>2514</v>
      </c>
      <c r="N20" s="1277" t="str">
        <f ca="1">IF(N19="","",(N19/(N25*N26))*1000000)</f>
        <v/>
      </c>
      <c r="O20" s="1276" t="s">
        <v>2514</v>
      </c>
      <c r="P20" s="1277" t="str">
        <f ca="1">IF(P19="","",(P19/(P25*P26))*1000000)</f>
        <v/>
      </c>
      <c r="Q20" s="1239"/>
      <c r="R20" s="1239"/>
      <c r="S20" s="1239"/>
      <c r="T20" s="1239"/>
      <c r="U20" s="1239"/>
      <c r="V20" s="1239"/>
      <c r="W20" s="1239"/>
      <c r="X20" s="1320" t="e">
        <f ca="1"/>
        <v>#NAME?</v>
      </c>
      <c r="Y20" s="1323" t="e">
        <f ca="1"/>
        <v>#NAME?</v>
      </c>
      <c r="AA20" s="1239"/>
      <c r="AB20" s="1239"/>
      <c r="AC20" s="1239"/>
      <c r="AD20" s="1239"/>
      <c r="AE20" s="1239"/>
    </row>
    <row r="21" spans="1:31" ht="21.75" customHeight="1" thickBot="1" x14ac:dyDescent="0.25">
      <c r="A21" s="1278" t="s">
        <v>2515</v>
      </c>
      <c r="B21" s="1279" t="str">
        <f ca="1">IF(B20="","",(B26/62)*(B14/B25)*(B20/B18))</f>
        <v/>
      </c>
      <c r="C21" s="1278" t="s">
        <v>2515</v>
      </c>
      <c r="D21" s="1279" t="str">
        <f ca="1">IF(D20="","",(D26/62)*(D14/D25)*(D20/D18))</f>
        <v/>
      </c>
      <c r="E21" s="1278" t="s">
        <v>2515</v>
      </c>
      <c r="F21" s="1279" t="str">
        <f ca="1">IF(F20="","",(F26/62)*(F14/F25)*(F20/F18))</f>
        <v/>
      </c>
      <c r="G21" s="1278" t="s">
        <v>2515</v>
      </c>
      <c r="H21" s="1279" t="str">
        <f ca="1">IF(H20="","",(H26/62)*(H14/H25)*(H20/H18))</f>
        <v/>
      </c>
      <c r="I21" s="1278" t="s">
        <v>2515</v>
      </c>
      <c r="J21" s="1279" t="str">
        <f ca="1">IF(J20="","",(J26/62)*(J14/J25)*(J20/J18))</f>
        <v/>
      </c>
      <c r="K21" s="1278" t="s">
        <v>2515</v>
      </c>
      <c r="L21" s="1279" t="str">
        <f ca="1">IF(L20="","",(L26/62)*(L14/L25)*(L20/L18))</f>
        <v/>
      </c>
      <c r="M21" s="1278" t="s">
        <v>2515</v>
      </c>
      <c r="N21" s="1279" t="str">
        <f ca="1">IF(N20="","",(N26/62)*(N14/N25)*(N20/N18))</f>
        <v/>
      </c>
      <c r="O21" s="1278" t="s">
        <v>2515</v>
      </c>
      <c r="P21" s="1279" t="str">
        <f ca="1">IF(P20="","",(P26/62)*(P14/P25)*(P20/P18))</f>
        <v/>
      </c>
      <c r="Q21" s="1239"/>
      <c r="R21" s="1239"/>
      <c r="S21" s="1239"/>
      <c r="T21" s="1239"/>
      <c r="U21" s="1239"/>
      <c r="V21" s="1239"/>
      <c r="W21" s="1239"/>
      <c r="X21" s="1324" t="e">
        <f ca="1"/>
        <v>#NAME?</v>
      </c>
      <c r="Y21" s="1325" t="e">
        <f ca="1"/>
        <v>#NAME?</v>
      </c>
      <c r="AA21" s="1239"/>
      <c r="AB21" s="1239"/>
      <c r="AC21" s="1239"/>
      <c r="AD21" s="1239"/>
      <c r="AE21" s="1239"/>
    </row>
    <row r="22" spans="1:31" ht="21.75" customHeight="1" x14ac:dyDescent="0.2">
      <c r="A22" s="1280" t="s">
        <v>2516</v>
      </c>
      <c r="B22" s="1281"/>
      <c r="C22" s="1282" t="s">
        <v>2517</v>
      </c>
      <c r="D22" s="1281"/>
      <c r="E22" s="1282" t="s">
        <v>2518</v>
      </c>
      <c r="F22" s="1281"/>
      <c r="G22" s="1282" t="s">
        <v>2519</v>
      </c>
      <c r="H22" s="1281"/>
      <c r="I22" s="1282" t="s">
        <v>2520</v>
      </c>
      <c r="J22" s="1281"/>
      <c r="K22" s="1282" t="s">
        <v>2521</v>
      </c>
      <c r="L22" s="1281"/>
      <c r="M22" s="1282" t="s">
        <v>2522</v>
      </c>
      <c r="N22" s="1281"/>
      <c r="O22" s="1282" t="s">
        <v>2523</v>
      </c>
      <c r="P22" s="1254"/>
      <c r="Q22" s="1239"/>
      <c r="R22" s="1239"/>
      <c r="S22" s="1239"/>
      <c r="T22" s="1239"/>
      <c r="U22" s="1239"/>
      <c r="V22" s="1239"/>
      <c r="W22" s="1239"/>
      <c r="X22" s="1280" t="e">
        <f ca="1"/>
        <v>#NAME?</v>
      </c>
      <c r="Y22" s="1326" t="e">
        <f ca="1"/>
        <v>#NAME?</v>
      </c>
      <c r="AA22" s="1239"/>
      <c r="AB22" s="1239"/>
      <c r="AC22" s="1239"/>
      <c r="AD22" s="1239"/>
      <c r="AE22" s="1239"/>
    </row>
    <row r="23" spans="1:31" ht="12.75" customHeight="1" x14ac:dyDescent="0.2">
      <c r="A23" s="1283" t="s">
        <v>2524</v>
      </c>
      <c r="B23" s="1284"/>
      <c r="C23" s="1285" t="s">
        <v>2524</v>
      </c>
      <c r="D23" s="1284"/>
      <c r="E23" s="1285" t="s">
        <v>2524</v>
      </c>
      <c r="F23" s="1284"/>
      <c r="G23" s="1285" t="s">
        <v>2524</v>
      </c>
      <c r="H23" s="1284"/>
      <c r="I23" s="1285" t="s">
        <v>2524</v>
      </c>
      <c r="J23" s="1284"/>
      <c r="K23" s="1285" t="s">
        <v>2524</v>
      </c>
      <c r="L23" s="1284"/>
      <c r="M23" s="1285" t="s">
        <v>2524</v>
      </c>
      <c r="N23" s="1284"/>
      <c r="O23" s="1285" t="s">
        <v>2524</v>
      </c>
      <c r="P23" s="1255"/>
      <c r="Q23" s="1239"/>
      <c r="R23" s="1239"/>
      <c r="S23" s="1239"/>
      <c r="T23" s="1239"/>
      <c r="U23" s="1239"/>
      <c r="V23" s="1239"/>
      <c r="W23" s="1239"/>
      <c r="X23" s="1283" t="e">
        <f ca="1"/>
        <v>#NAME?</v>
      </c>
      <c r="Y23" s="1328" t="e">
        <f ca="1"/>
        <v>#NAME?</v>
      </c>
      <c r="AA23" s="1239"/>
      <c r="AB23" s="1239"/>
      <c r="AC23" s="1239"/>
      <c r="AD23" s="1239"/>
      <c r="AE23" s="1239"/>
    </row>
    <row r="24" spans="1:31" ht="12.75" customHeight="1" x14ac:dyDescent="0.2">
      <c r="A24" s="1283" t="s">
        <v>2525</v>
      </c>
      <c r="B24" s="1286"/>
      <c r="C24" s="1285" t="s">
        <v>2525</v>
      </c>
      <c r="D24" s="1286"/>
      <c r="E24" s="1285" t="s">
        <v>2525</v>
      </c>
      <c r="F24" s="1286"/>
      <c r="G24" s="1285" t="s">
        <v>2525</v>
      </c>
      <c r="H24" s="1286"/>
      <c r="I24" s="1285" t="s">
        <v>2525</v>
      </c>
      <c r="J24" s="1286"/>
      <c r="K24" s="1285" t="s">
        <v>2525</v>
      </c>
      <c r="L24" s="1286"/>
      <c r="M24" s="1285" t="s">
        <v>2525</v>
      </c>
      <c r="N24" s="1286"/>
      <c r="O24" s="1285" t="s">
        <v>2525</v>
      </c>
      <c r="P24" s="1287"/>
      <c r="Q24" s="1239"/>
      <c r="R24" s="1239"/>
      <c r="S24" s="1239"/>
      <c r="T24" s="1239"/>
      <c r="U24" s="1239"/>
      <c r="V24" s="1239"/>
      <c r="W24" s="1239"/>
      <c r="X24" s="1283" t="e">
        <f ca="1"/>
        <v>#NAME?</v>
      </c>
      <c r="Y24" s="1329" t="e">
        <f ca="1"/>
        <v>#NAME?</v>
      </c>
      <c r="AA24" s="1239"/>
      <c r="AB24" s="1239"/>
      <c r="AC24" s="1239"/>
      <c r="AD24" s="1239"/>
      <c r="AE24" s="1239"/>
    </row>
    <row r="25" spans="1:31" ht="12.75" customHeight="1" x14ac:dyDescent="0.2">
      <c r="A25" s="1283" t="s">
        <v>2526</v>
      </c>
      <c r="B25" s="1284"/>
      <c r="C25" s="1285" t="s">
        <v>2526</v>
      </c>
      <c r="D25" s="1284"/>
      <c r="E25" s="1285" t="s">
        <v>2526</v>
      </c>
      <c r="F25" s="1284"/>
      <c r="G25" s="1285" t="s">
        <v>2526</v>
      </c>
      <c r="H25" s="1284"/>
      <c r="I25" s="1285" t="s">
        <v>2526</v>
      </c>
      <c r="J25" s="1284"/>
      <c r="K25" s="1285" t="s">
        <v>2526</v>
      </c>
      <c r="L25" s="1284"/>
      <c r="M25" s="1285" t="s">
        <v>2526</v>
      </c>
      <c r="N25" s="1327"/>
      <c r="O25" s="1285" t="s">
        <v>2526</v>
      </c>
      <c r="P25" s="1255"/>
      <c r="Q25" s="1239"/>
      <c r="R25" s="1239"/>
      <c r="S25" s="1239"/>
      <c r="T25" s="1239"/>
      <c r="U25" s="1239"/>
      <c r="V25" s="1239"/>
      <c r="W25" s="1239"/>
      <c r="X25" s="1283" t="e">
        <f ca="1"/>
        <v>#NAME?</v>
      </c>
      <c r="Y25" s="1328" t="e">
        <f ca="1"/>
        <v>#NAME?</v>
      </c>
      <c r="AA25" s="1239"/>
      <c r="AB25" s="1239"/>
      <c r="AC25" s="1239"/>
      <c r="AD25" s="1239"/>
      <c r="AE25" s="1239"/>
    </row>
    <row r="26" spans="1:31" ht="12.75" customHeight="1" thickBot="1" x14ac:dyDescent="0.25">
      <c r="A26" s="1288" t="s">
        <v>2527</v>
      </c>
      <c r="B26" s="1289"/>
      <c r="C26" s="1290" t="s">
        <v>2527</v>
      </c>
      <c r="D26" s="1289"/>
      <c r="E26" s="1290" t="s">
        <v>2527</v>
      </c>
      <c r="F26" s="1289"/>
      <c r="G26" s="1290" t="s">
        <v>2527</v>
      </c>
      <c r="H26" s="1289"/>
      <c r="I26" s="1290" t="s">
        <v>2527</v>
      </c>
      <c r="J26" s="1289"/>
      <c r="K26" s="1290" t="s">
        <v>2527</v>
      </c>
      <c r="L26" s="1289"/>
      <c r="M26" s="1290" t="s">
        <v>2527</v>
      </c>
      <c r="N26" s="1330"/>
      <c r="O26" s="1290" t="s">
        <v>2527</v>
      </c>
      <c r="P26" s="1256"/>
      <c r="Q26" s="1239"/>
      <c r="R26" s="1239"/>
      <c r="S26" s="1239"/>
      <c r="T26" s="1239"/>
      <c r="U26" s="1239"/>
      <c r="V26" s="1239"/>
      <c r="W26" s="1239"/>
      <c r="X26" s="1288" t="e">
        <f ca="1"/>
        <v>#NAME?</v>
      </c>
      <c r="Y26" s="1331" t="e">
        <f ca="1"/>
        <v>#NAME?</v>
      </c>
      <c r="AA26" s="1239"/>
      <c r="AB26" s="1239"/>
      <c r="AC26" s="1239"/>
      <c r="AD26" s="1239"/>
      <c r="AE26" s="1239"/>
    </row>
    <row r="27" spans="1:31" ht="20.25" customHeight="1" thickBot="1" x14ac:dyDescent="0.25">
      <c r="A27" s="1736" t="s">
        <v>2528</v>
      </c>
      <c r="B27" s="1737"/>
      <c r="C27" s="1738"/>
      <c r="D27" s="1738"/>
      <c r="E27" s="1738"/>
      <c r="F27" s="1738"/>
      <c r="G27" s="1738"/>
      <c r="H27" s="1738"/>
      <c r="I27" s="1738"/>
      <c r="J27" s="1738"/>
      <c r="K27" s="1738"/>
      <c r="L27" s="1738"/>
      <c r="M27" s="1738"/>
      <c r="N27" s="1738"/>
      <c r="O27" s="1738"/>
      <c r="P27" s="1739"/>
      <c r="Q27" s="1239"/>
      <c r="R27" s="1239"/>
      <c r="S27" s="1239"/>
      <c r="T27" s="1239"/>
      <c r="U27" s="1239"/>
      <c r="V27" s="1239"/>
      <c r="W27" s="1239"/>
      <c r="X27" s="1332" t="e">
        <f ca="1"/>
        <v>#NAME?</v>
      </c>
      <c r="Y27" s="1333" t="e">
        <f ca="1"/>
        <v>#NAME?</v>
      </c>
      <c r="AA27" s="1239"/>
      <c r="AB27" s="1239"/>
      <c r="AC27" s="1239"/>
      <c r="AD27" s="1239"/>
      <c r="AE27" s="1239"/>
    </row>
    <row r="28" spans="1:31" ht="18" customHeight="1" thickBot="1" x14ac:dyDescent="0.25">
      <c r="A28" s="1740"/>
      <c r="B28" s="1741"/>
      <c r="C28" s="1740"/>
      <c r="D28" s="1741"/>
      <c r="E28" s="1740"/>
      <c r="F28" s="1741"/>
      <c r="G28" s="1740"/>
      <c r="H28" s="1741"/>
      <c r="I28" s="1740"/>
      <c r="J28" s="1741"/>
      <c r="K28" s="1740"/>
      <c r="L28" s="1741"/>
      <c r="M28" s="1740"/>
      <c r="N28" s="1741"/>
      <c r="O28" s="1740"/>
      <c r="P28" s="1741"/>
      <c r="Q28" s="1239"/>
      <c r="R28" s="1239"/>
      <c r="S28" s="1239"/>
      <c r="T28" s="1239"/>
      <c r="U28" s="1239"/>
      <c r="V28" s="1239"/>
      <c r="W28" s="1239"/>
      <c r="X28" s="1334" t="e">
        <f ca="1"/>
        <v>#NAME?</v>
      </c>
      <c r="Y28" s="1335" t="e">
        <f ca="1"/>
        <v>#NAME?</v>
      </c>
      <c r="AA28" s="1239"/>
      <c r="AB28" s="1239"/>
      <c r="AC28" s="1239"/>
      <c r="AD28" s="1239"/>
      <c r="AE28" s="1239"/>
    </row>
    <row r="29" spans="1:31" ht="18" customHeight="1" x14ac:dyDescent="0.2">
      <c r="A29" s="1291" t="str">
        <f ca="1">IF(ISBLANK(A31),"",INDIRECT("A$"&amp;MATCH(MAX(B31:B1031),B31:B1031,0)+FirstRow-1))</f>
        <v/>
      </c>
      <c r="B29" s="1292" t="str">
        <f>IF(ISBLANK(B31),"",MAX(B31:B1031))</f>
        <v/>
      </c>
      <c r="C29" s="1291" t="str">
        <f ca="1">IF(ISBLANK(C31),"",INDIRECT("C$"&amp;MATCH(MAX(D31:D1031),D31:D1031,0)+FirstRow-1))</f>
        <v/>
      </c>
      <c r="D29" s="1292" t="str">
        <f>IF(ISBLANK(D31),"",MAX(D31:D1031))</f>
        <v/>
      </c>
      <c r="E29" s="1291" t="str">
        <f ca="1">IF(ISBLANK(E31),"",INDIRECT("E$"&amp;MATCH(MAX(F31:F1031),F31:F1031,0)+FirstRow-1))</f>
        <v/>
      </c>
      <c r="F29" s="1292" t="str">
        <f>IF(ISBLANK(F31),"",MAX(F31:F1031))</f>
        <v/>
      </c>
      <c r="G29" s="1291" t="str">
        <f ca="1">IF(ISBLANK(G31),"",INDIRECT("g$"&amp;MATCH(MAX(H31:H1031),H31:H1031,0)+FirstRow-1))</f>
        <v/>
      </c>
      <c r="H29" s="1292" t="str">
        <f>IF(ISBLANK(H31),"",MAX(H31:H1031))</f>
        <v/>
      </c>
      <c r="I29" s="1291" t="str">
        <f ca="1">IF(ISBLANK(I31),"",INDIRECT("I$"&amp;MATCH(MAX(J31:J1031),J31:J1031,0)+FirstRow-1))</f>
        <v/>
      </c>
      <c r="J29" s="1292" t="str">
        <f>IF(ISBLANK(J31),"",MAX(J31:J1031))</f>
        <v/>
      </c>
      <c r="K29" s="1291" t="str">
        <f ca="1">IF(ISBLANK(K31),"",INDIRECT("K$"&amp;MATCH(MAX(L31:L1031),L31:L1031,0)+FirstRow-1))</f>
        <v/>
      </c>
      <c r="L29" s="1292" t="str">
        <f>IF(ISBLANK(L31),"",MAX(L31:L1031))</f>
        <v/>
      </c>
      <c r="M29" s="1291" t="str">
        <f ca="1">IF(ISBLANK(M31),"",INDIRECT("M$"&amp;MATCH(MAX(N31:N1031),N31:N1031,0)+FirstRow-1))</f>
        <v/>
      </c>
      <c r="N29" s="1292" t="str">
        <f>IF(ISBLANK(N31),"",MAX(N31:N1031))</f>
        <v/>
      </c>
      <c r="O29" s="1291" t="str">
        <f ca="1">IF(ISBLANK(O31),"",INDIRECT("O$"&amp;MATCH(MAX(P31:P1031),P31:P1031,0)+FirstRow-1))</f>
        <v/>
      </c>
      <c r="P29" s="1292" t="str">
        <f>IF(ISBLANK(P31),"",MAX(P31:P1031))</f>
        <v/>
      </c>
      <c r="Q29" s="1239"/>
      <c r="R29" s="1239"/>
      <c r="S29" s="1239"/>
      <c r="T29" s="1239"/>
      <c r="U29" s="1239"/>
      <c r="V29" s="1239"/>
      <c r="W29" s="1239"/>
      <c r="X29" s="1336" t="e">
        <f ca="1"/>
        <v>#NAME?</v>
      </c>
      <c r="Y29" s="1337" t="e">
        <f ca="1"/>
        <v>#NAME?</v>
      </c>
      <c r="AA29" s="1239"/>
      <c r="AB29" s="1239"/>
      <c r="AC29" s="1239"/>
      <c r="AD29" s="1239"/>
      <c r="AE29" s="1239"/>
    </row>
    <row r="30" spans="1:31" x14ac:dyDescent="0.2">
      <c r="A30" s="1293" t="s">
        <v>2529</v>
      </c>
      <c r="B30" s="1294" t="s">
        <v>2530</v>
      </c>
      <c r="C30" s="1295" t="s">
        <v>2531</v>
      </c>
      <c r="D30" s="1296" t="s">
        <v>2532</v>
      </c>
      <c r="E30" s="1293" t="s">
        <v>2531</v>
      </c>
      <c r="F30" s="1294" t="s">
        <v>2532</v>
      </c>
      <c r="G30" s="1295" t="s">
        <v>2531</v>
      </c>
      <c r="H30" s="1296" t="s">
        <v>2532</v>
      </c>
      <c r="I30" s="1293" t="s">
        <v>2531</v>
      </c>
      <c r="J30" s="1294" t="s">
        <v>2532</v>
      </c>
      <c r="K30" s="1295" t="s">
        <v>2531</v>
      </c>
      <c r="L30" s="1296" t="s">
        <v>2532</v>
      </c>
      <c r="M30" s="1293" t="s">
        <v>2531</v>
      </c>
      <c r="N30" s="1294" t="s">
        <v>2532</v>
      </c>
      <c r="O30" s="1295" t="s">
        <v>2531</v>
      </c>
      <c r="P30" s="1296" t="s">
        <v>2532</v>
      </c>
      <c r="Q30" s="1239"/>
      <c r="R30" s="1239"/>
      <c r="S30" s="1239"/>
      <c r="T30" s="1239"/>
      <c r="U30" s="1239"/>
      <c r="V30" s="1239"/>
      <c r="W30" s="1297"/>
      <c r="X30" s="1293" t="e">
        <f ca="1"/>
        <v>#NAME?</v>
      </c>
      <c r="Y30" s="1294" t="e">
        <f ca="1"/>
        <v>#NAME?</v>
      </c>
      <c r="Z30" s="1297"/>
      <c r="AA30" s="1297"/>
      <c r="AB30" s="1239"/>
      <c r="AC30" s="1239"/>
      <c r="AD30" s="1239"/>
      <c r="AE30" s="1239"/>
    </row>
    <row r="31" spans="1:31" x14ac:dyDescent="0.2">
      <c r="A31" s="1338"/>
      <c r="B31" s="1339"/>
      <c r="C31" s="1340"/>
      <c r="D31" s="1341"/>
      <c r="E31" s="1338"/>
      <c r="F31" s="1339"/>
      <c r="G31" s="1340"/>
      <c r="H31" s="1341"/>
      <c r="I31" s="1338"/>
      <c r="J31" s="1339"/>
      <c r="K31" s="1340"/>
      <c r="L31" s="1341"/>
      <c r="M31" s="1338"/>
      <c r="N31" s="1339"/>
      <c r="O31" s="1340"/>
      <c r="P31" s="1341"/>
      <c r="Q31" s="1298"/>
      <c r="R31" s="1239" t="s">
        <v>2533</v>
      </c>
      <c r="S31" s="1342">
        <f>MAX(B31:B706,D31:D706,F31:F706,H31:H706,J31:J706,L31:L706,N31:N706,P31:P706)</f>
        <v>0</v>
      </c>
      <c r="T31" s="1239"/>
      <c r="U31" s="1239"/>
      <c r="V31" s="1239"/>
      <c r="W31" s="1239"/>
      <c r="X31" s="1343" t="e">
        <f ca="1"/>
        <v>#NAME?</v>
      </c>
      <c r="Y31" s="1344" t="e">
        <f ca="1"/>
        <v>#NAME?</v>
      </c>
      <c r="AA31" s="1239"/>
      <c r="AB31" s="1239"/>
      <c r="AC31" s="1239"/>
      <c r="AD31" s="1239"/>
      <c r="AE31" s="1239"/>
    </row>
    <row r="32" spans="1:31" x14ac:dyDescent="0.2">
      <c r="A32" s="1338"/>
      <c r="B32" s="1339"/>
      <c r="C32" s="1340"/>
      <c r="D32" s="1341"/>
      <c r="E32" s="1338"/>
      <c r="F32" s="1339"/>
      <c r="G32" s="1340"/>
      <c r="H32" s="1341"/>
      <c r="I32" s="1338"/>
      <c r="J32" s="1339"/>
      <c r="K32" s="1340"/>
      <c r="L32" s="1341"/>
      <c r="M32" s="1338"/>
      <c r="N32" s="1339"/>
      <c r="O32" s="1340"/>
      <c r="P32" s="1341"/>
      <c r="Q32" s="1239"/>
      <c r="R32" s="1239" t="s">
        <v>2534</v>
      </c>
      <c r="S32" s="1239" t="s">
        <v>2535</v>
      </c>
      <c r="T32" s="1239"/>
      <c r="U32" s="1239"/>
      <c r="V32" s="1239"/>
      <c r="W32" s="1239"/>
      <c r="X32" s="1343" t="e">
        <f ca="1"/>
        <v>#NAME?</v>
      </c>
      <c r="Y32" s="1344" t="e">
        <f ca="1"/>
        <v>#NAME?</v>
      </c>
      <c r="AA32" s="1239"/>
      <c r="AB32" s="1239"/>
      <c r="AC32" s="1239"/>
      <c r="AD32" s="1239"/>
      <c r="AE32" s="1239"/>
    </row>
    <row r="33" spans="1:31" x14ac:dyDescent="0.2">
      <c r="A33" s="1338"/>
      <c r="B33" s="1339"/>
      <c r="C33" s="1340"/>
      <c r="D33" s="1341"/>
      <c r="E33" s="1338"/>
      <c r="F33" s="1339"/>
      <c r="G33" s="1340"/>
      <c r="H33" s="1341"/>
      <c r="I33" s="1338"/>
      <c r="J33" s="1339"/>
      <c r="K33" s="1340"/>
      <c r="L33" s="1341"/>
      <c r="M33" s="1338"/>
      <c r="N33" s="1339"/>
      <c r="O33" s="1340"/>
      <c r="P33" s="1341"/>
      <c r="Q33" s="1239"/>
      <c r="R33" s="1239" t="s">
        <v>2536</v>
      </c>
      <c r="S33" s="1239" t="s">
        <v>2537</v>
      </c>
      <c r="T33" s="1239"/>
      <c r="U33" s="1239"/>
      <c r="V33" s="1239"/>
      <c r="W33" s="1239"/>
      <c r="X33" s="1343" t="e">
        <f ca="1"/>
        <v>#NAME?</v>
      </c>
      <c r="Y33" s="1344" t="e">
        <f ca="1"/>
        <v>#NAME?</v>
      </c>
      <c r="AA33" s="1239"/>
      <c r="AB33" s="1239"/>
      <c r="AC33" s="1239"/>
      <c r="AD33" s="1239"/>
      <c r="AE33" s="1239"/>
    </row>
    <row r="34" spans="1:31" x14ac:dyDescent="0.2">
      <c r="A34" s="1338"/>
      <c r="B34" s="1339"/>
      <c r="C34" s="1340"/>
      <c r="D34" s="1341"/>
      <c r="E34" s="1338"/>
      <c r="F34" s="1339"/>
      <c r="G34" s="1340"/>
      <c r="H34" s="1341"/>
      <c r="I34" s="1338"/>
      <c r="J34" s="1339"/>
      <c r="K34" s="1340"/>
      <c r="L34" s="1341"/>
      <c r="M34" s="1338"/>
      <c r="N34" s="1339"/>
      <c r="O34" s="1340"/>
      <c r="P34" s="1341"/>
      <c r="Q34" s="1239"/>
      <c r="R34" s="1239"/>
      <c r="S34" s="1239"/>
      <c r="T34" s="1239"/>
      <c r="U34" s="1239"/>
      <c r="V34" s="1239"/>
      <c r="W34" s="1239"/>
      <c r="X34" s="1343" t="e">
        <f ca="1"/>
        <v>#NAME?</v>
      </c>
      <c r="Y34" s="1344" t="e">
        <f ca="1"/>
        <v>#NAME?</v>
      </c>
      <c r="AA34" s="1239"/>
      <c r="AB34" s="1239"/>
      <c r="AC34" s="1239"/>
      <c r="AD34" s="1239"/>
      <c r="AE34" s="1239"/>
    </row>
    <row r="35" spans="1:31" x14ac:dyDescent="0.2">
      <c r="A35" s="1338"/>
      <c r="B35" s="1339"/>
      <c r="C35" s="1340"/>
      <c r="D35" s="1341"/>
      <c r="E35" s="1338"/>
      <c r="F35" s="1339"/>
      <c r="G35" s="1340"/>
      <c r="H35" s="1341"/>
      <c r="I35" s="1338"/>
      <c r="J35" s="1339"/>
      <c r="K35" s="1340"/>
      <c r="L35" s="1341"/>
      <c r="M35" s="1338"/>
      <c r="N35" s="1339"/>
      <c r="O35" s="1340"/>
      <c r="P35" s="1341"/>
      <c r="Q35" s="1299"/>
      <c r="R35" s="1239"/>
      <c r="S35" s="1239"/>
      <c r="T35" s="1239"/>
      <c r="U35" s="1239"/>
      <c r="V35" s="1239"/>
      <c r="W35" s="1239"/>
      <c r="X35" s="1343" t="e">
        <f ca="1"/>
        <v>#NAME?</v>
      </c>
      <c r="Y35" s="1344" t="e">
        <f ca="1"/>
        <v>#NAME?</v>
      </c>
      <c r="AA35" s="1239"/>
      <c r="AB35" s="1239"/>
      <c r="AC35" s="1239"/>
      <c r="AD35" s="1239"/>
      <c r="AE35" s="1239"/>
    </row>
    <row r="36" spans="1:31" x14ac:dyDescent="0.2">
      <c r="A36" s="1338"/>
      <c r="B36" s="1339"/>
      <c r="C36" s="1340"/>
      <c r="D36" s="1341"/>
      <c r="E36" s="1338"/>
      <c r="F36" s="1339"/>
      <c r="G36" s="1340"/>
      <c r="H36" s="1341"/>
      <c r="I36" s="1338"/>
      <c r="J36" s="1339"/>
      <c r="K36" s="1340"/>
      <c r="L36" s="1341"/>
      <c r="M36" s="1338"/>
      <c r="N36" s="1339"/>
      <c r="O36" s="1340"/>
      <c r="P36" s="1341"/>
      <c r="Q36" s="1239"/>
      <c r="R36" s="1239"/>
      <c r="S36" s="1297"/>
      <c r="T36" s="1239"/>
      <c r="U36" s="1239"/>
      <c r="V36" s="1239"/>
      <c r="W36" s="1239"/>
      <c r="X36" s="1343" t="e">
        <f ca="1"/>
        <v>#NAME?</v>
      </c>
      <c r="Y36" s="1344" t="e">
        <f ca="1"/>
        <v>#NAME?</v>
      </c>
      <c r="AA36" s="1239"/>
      <c r="AB36" s="1239"/>
      <c r="AC36" s="1239"/>
      <c r="AD36" s="1239"/>
      <c r="AE36" s="1239"/>
    </row>
    <row r="37" spans="1:31" x14ac:dyDescent="0.2">
      <c r="A37" s="1338"/>
      <c r="B37" s="1339"/>
      <c r="C37" s="1340"/>
      <c r="D37" s="1341"/>
      <c r="E37" s="1338"/>
      <c r="F37" s="1339"/>
      <c r="G37" s="1340"/>
      <c r="H37" s="1341"/>
      <c r="I37" s="1338"/>
      <c r="J37" s="1339"/>
      <c r="K37" s="1340"/>
      <c r="L37" s="1341"/>
      <c r="M37" s="1338"/>
      <c r="N37" s="1339"/>
      <c r="O37" s="1340"/>
      <c r="P37" s="1341"/>
      <c r="Q37" s="1299"/>
      <c r="R37" s="1239"/>
      <c r="S37" s="1239"/>
      <c r="T37" s="1239"/>
      <c r="U37" s="1239"/>
      <c r="V37" s="1239"/>
      <c r="W37" s="1239"/>
      <c r="X37" s="1343" t="e">
        <f ca="1"/>
        <v>#NAME?</v>
      </c>
      <c r="Y37" s="1344" t="e">
        <f ca="1"/>
        <v>#NAME?</v>
      </c>
      <c r="AA37" s="1239"/>
      <c r="AB37" s="1239"/>
      <c r="AC37" s="1239"/>
      <c r="AD37" s="1239"/>
      <c r="AE37" s="1239"/>
    </row>
    <row r="38" spans="1:31" x14ac:dyDescent="0.2">
      <c r="A38" s="1338"/>
      <c r="B38" s="1339"/>
      <c r="C38" s="1340"/>
      <c r="D38" s="1341"/>
      <c r="E38" s="1338"/>
      <c r="F38" s="1339"/>
      <c r="G38" s="1340"/>
      <c r="H38" s="1341"/>
      <c r="I38" s="1338"/>
      <c r="J38" s="1339"/>
      <c r="K38" s="1340"/>
      <c r="L38" s="1341"/>
      <c r="M38" s="1338"/>
      <c r="N38" s="1339"/>
      <c r="O38" s="1340"/>
      <c r="P38" s="1341"/>
      <c r="Q38" s="1239"/>
      <c r="R38" s="1239"/>
      <c r="S38" s="1239"/>
      <c r="T38" s="1239"/>
      <c r="U38" s="1239"/>
      <c r="V38" s="1239"/>
      <c r="W38" s="1239"/>
      <c r="X38" s="1343" t="e">
        <f ca="1"/>
        <v>#NAME?</v>
      </c>
      <c r="Y38" s="1344" t="e">
        <f ca="1"/>
        <v>#NAME?</v>
      </c>
      <c r="AA38" s="1239"/>
      <c r="AB38" s="1239"/>
      <c r="AC38" s="1239"/>
      <c r="AD38" s="1239"/>
      <c r="AE38" s="1239"/>
    </row>
    <row r="39" spans="1:31" x14ac:dyDescent="0.2">
      <c r="A39" s="1338"/>
      <c r="B39" s="1339"/>
      <c r="C39" s="1340"/>
      <c r="D39" s="1341"/>
      <c r="E39" s="1338"/>
      <c r="F39" s="1339"/>
      <c r="G39" s="1340"/>
      <c r="H39" s="1341"/>
      <c r="I39" s="1338"/>
      <c r="J39" s="1339"/>
      <c r="K39" s="1340"/>
      <c r="L39" s="1341"/>
      <c r="M39" s="1338"/>
      <c r="N39" s="1339"/>
      <c r="O39" s="1340"/>
      <c r="P39" s="1341"/>
      <c r="Q39" s="1239"/>
      <c r="R39" s="1239"/>
      <c r="S39" s="1239"/>
      <c r="T39" s="1239"/>
      <c r="U39" s="1239"/>
      <c r="V39" s="1239"/>
      <c r="W39" s="1239"/>
      <c r="X39" s="1343" t="e">
        <f ca="1"/>
        <v>#NAME?</v>
      </c>
      <c r="Y39" s="1344" t="e">
        <f ca="1"/>
        <v>#NAME?</v>
      </c>
      <c r="AA39" s="1239"/>
      <c r="AB39" s="1239"/>
      <c r="AC39" s="1239"/>
      <c r="AD39" s="1239"/>
      <c r="AE39" s="1239"/>
    </row>
    <row r="40" spans="1:31" x14ac:dyDescent="0.2">
      <c r="A40" s="1338"/>
      <c r="B40" s="1339"/>
      <c r="C40" s="1340"/>
      <c r="D40" s="1341"/>
      <c r="E40" s="1338"/>
      <c r="F40" s="1339"/>
      <c r="G40" s="1340"/>
      <c r="H40" s="1341"/>
      <c r="I40" s="1338"/>
      <c r="J40" s="1339"/>
      <c r="K40" s="1340"/>
      <c r="L40" s="1341"/>
      <c r="M40" s="1338"/>
      <c r="N40" s="1339"/>
      <c r="O40" s="1340"/>
      <c r="P40" s="1341"/>
      <c r="Q40" s="1239"/>
      <c r="R40" s="1239"/>
      <c r="S40" s="1239"/>
      <c r="T40" s="1239"/>
      <c r="U40" s="1239"/>
      <c r="V40" s="1239"/>
      <c r="W40" s="1239"/>
      <c r="X40" s="1343" t="e">
        <f ca="1"/>
        <v>#NAME?</v>
      </c>
      <c r="Y40" s="1344" t="e">
        <f ca="1"/>
        <v>#NAME?</v>
      </c>
      <c r="AA40" s="1239"/>
      <c r="AB40" s="1239"/>
      <c r="AC40" s="1239"/>
      <c r="AD40" s="1239"/>
      <c r="AE40" s="1239"/>
    </row>
    <row r="41" spans="1:31" x14ac:dyDescent="0.2">
      <c r="A41" s="1338"/>
      <c r="B41" s="1339"/>
      <c r="C41" s="1340"/>
      <c r="D41" s="1341"/>
      <c r="E41" s="1338"/>
      <c r="F41" s="1339"/>
      <c r="G41" s="1340"/>
      <c r="H41" s="1341"/>
      <c r="I41" s="1338"/>
      <c r="J41" s="1339"/>
      <c r="K41" s="1340"/>
      <c r="L41" s="1341"/>
      <c r="M41" s="1338"/>
      <c r="N41" s="1339"/>
      <c r="O41" s="1340"/>
      <c r="P41" s="1341"/>
      <c r="Q41" s="1239"/>
      <c r="R41" s="1239"/>
      <c r="S41" s="1239"/>
      <c r="T41" s="1239"/>
      <c r="U41" s="1239"/>
      <c r="V41" s="1239"/>
      <c r="W41" s="1239"/>
      <c r="X41" s="1343" t="e">
        <f ca="1"/>
        <v>#NAME?</v>
      </c>
      <c r="Y41" s="1344" t="e">
        <f ca="1"/>
        <v>#NAME?</v>
      </c>
      <c r="AA41" s="1239"/>
      <c r="AB41" s="1239"/>
      <c r="AC41" s="1239"/>
      <c r="AD41" s="1239"/>
      <c r="AE41" s="1239"/>
    </row>
    <row r="42" spans="1:31" x14ac:dyDescent="0.2">
      <c r="A42" s="1338"/>
      <c r="B42" s="1339"/>
      <c r="C42" s="1340"/>
      <c r="D42" s="1341"/>
      <c r="E42" s="1338"/>
      <c r="F42" s="1339"/>
      <c r="G42" s="1340"/>
      <c r="H42" s="1341"/>
      <c r="I42" s="1338"/>
      <c r="J42" s="1339"/>
      <c r="K42" s="1340"/>
      <c r="L42" s="1341"/>
      <c r="M42" s="1338"/>
      <c r="N42" s="1339"/>
      <c r="O42" s="1340"/>
      <c r="P42" s="1341"/>
      <c r="Q42" s="1239"/>
      <c r="R42" s="1239"/>
      <c r="S42" s="1239"/>
      <c r="T42" s="1239"/>
      <c r="U42" s="1239"/>
      <c r="V42" s="1239"/>
      <c r="W42" s="1239"/>
      <c r="X42" s="1343" t="e">
        <f ca="1"/>
        <v>#NAME?</v>
      </c>
      <c r="Y42" s="1344" t="e">
        <f ca="1"/>
        <v>#NAME?</v>
      </c>
      <c r="AA42" s="1239"/>
      <c r="AB42" s="1239"/>
      <c r="AC42" s="1239"/>
      <c r="AD42" s="1239"/>
      <c r="AE42" s="1239"/>
    </row>
    <row r="43" spans="1:31" x14ac:dyDescent="0.2">
      <c r="A43" s="1338"/>
      <c r="B43" s="1339"/>
      <c r="C43" s="1340"/>
      <c r="D43" s="1341"/>
      <c r="E43" s="1338"/>
      <c r="F43" s="1339"/>
      <c r="G43" s="1340"/>
      <c r="H43" s="1341"/>
      <c r="I43" s="1338"/>
      <c r="J43" s="1339"/>
      <c r="K43" s="1340"/>
      <c r="L43" s="1341"/>
      <c r="M43" s="1338"/>
      <c r="N43" s="1339"/>
      <c r="O43" s="1340"/>
      <c r="P43" s="1341"/>
      <c r="Q43" s="1239"/>
      <c r="R43" s="1239"/>
      <c r="S43" s="1239"/>
      <c r="T43" s="1239"/>
      <c r="U43" s="1239"/>
      <c r="V43" s="1239"/>
      <c r="W43" s="1239"/>
      <c r="X43" s="1343" t="e">
        <f ca="1"/>
        <v>#NAME?</v>
      </c>
      <c r="Y43" s="1344" t="e">
        <f ca="1"/>
        <v>#NAME?</v>
      </c>
      <c r="AA43" s="1239"/>
      <c r="AB43" s="1239"/>
      <c r="AC43" s="1239"/>
      <c r="AD43" s="1239"/>
      <c r="AE43" s="1239"/>
    </row>
    <row r="44" spans="1:31" x14ac:dyDescent="0.2">
      <c r="A44" s="1338"/>
      <c r="B44" s="1339"/>
      <c r="C44" s="1340"/>
      <c r="D44" s="1341"/>
      <c r="E44" s="1338"/>
      <c r="F44" s="1339"/>
      <c r="G44" s="1340"/>
      <c r="H44" s="1341"/>
      <c r="I44" s="1338"/>
      <c r="J44" s="1339"/>
      <c r="K44" s="1340"/>
      <c r="L44" s="1341"/>
      <c r="M44" s="1338"/>
      <c r="N44" s="1339"/>
      <c r="O44" s="1340"/>
      <c r="P44" s="1341"/>
      <c r="Q44" s="1239"/>
      <c r="R44" s="1239"/>
      <c r="S44" s="1239"/>
      <c r="T44" s="1239"/>
      <c r="U44" s="1239"/>
      <c r="V44" s="1239"/>
      <c r="W44" s="1239"/>
      <c r="X44" s="1343" t="e">
        <f ca="1"/>
        <v>#NAME?</v>
      </c>
      <c r="Y44" s="1344" t="e">
        <f ca="1"/>
        <v>#NAME?</v>
      </c>
      <c r="AA44" s="1239"/>
      <c r="AB44" s="1239"/>
      <c r="AC44" s="1239"/>
      <c r="AD44" s="1239"/>
      <c r="AE44" s="1239"/>
    </row>
    <row r="45" spans="1:31" x14ac:dyDescent="0.2">
      <c r="A45" s="1338"/>
      <c r="B45" s="1339"/>
      <c r="C45" s="1340"/>
      <c r="D45" s="1341"/>
      <c r="E45" s="1338"/>
      <c r="F45" s="1339"/>
      <c r="G45" s="1340"/>
      <c r="H45" s="1341"/>
      <c r="I45" s="1338"/>
      <c r="J45" s="1339"/>
      <c r="K45" s="1340"/>
      <c r="L45" s="1341"/>
      <c r="M45" s="1338"/>
      <c r="N45" s="1339"/>
      <c r="O45" s="1340"/>
      <c r="P45" s="1341"/>
      <c r="Q45" s="1239"/>
      <c r="R45" s="1239"/>
      <c r="S45" s="1239"/>
      <c r="T45" s="1239"/>
      <c r="U45" s="1239"/>
      <c r="V45" s="1239"/>
      <c r="W45" s="1239"/>
      <c r="X45" s="1343" t="e">
        <f ca="1"/>
        <v>#NAME?</v>
      </c>
      <c r="Y45" s="1344" t="e">
        <f ca="1"/>
        <v>#NAME?</v>
      </c>
      <c r="AA45" s="1239"/>
      <c r="AB45" s="1239"/>
      <c r="AC45" s="1239"/>
      <c r="AD45" s="1239"/>
      <c r="AE45" s="1239"/>
    </row>
    <row r="46" spans="1:31" x14ac:dyDescent="0.2">
      <c r="A46" s="1338"/>
      <c r="B46" s="1339"/>
      <c r="C46" s="1340"/>
      <c r="D46" s="1341"/>
      <c r="E46" s="1338"/>
      <c r="F46" s="1339"/>
      <c r="G46" s="1340"/>
      <c r="H46" s="1341"/>
      <c r="I46" s="1338"/>
      <c r="J46" s="1339"/>
      <c r="K46" s="1340"/>
      <c r="L46" s="1341"/>
      <c r="M46" s="1338"/>
      <c r="N46" s="1339"/>
      <c r="O46" s="1340"/>
      <c r="P46" s="1341"/>
      <c r="Q46" s="1239"/>
      <c r="R46" s="1239"/>
      <c r="S46" s="1239"/>
      <c r="T46" s="1239"/>
      <c r="U46" s="1239"/>
      <c r="V46" s="1239"/>
      <c r="W46" s="1239"/>
      <c r="X46" s="1343" t="e">
        <f ca="1"/>
        <v>#NAME?</v>
      </c>
      <c r="Y46" s="1344" t="e">
        <f ca="1"/>
        <v>#NAME?</v>
      </c>
      <c r="AA46" s="1239"/>
      <c r="AB46" s="1239"/>
      <c r="AC46" s="1239"/>
      <c r="AD46" s="1239"/>
      <c r="AE46" s="1239"/>
    </row>
    <row r="47" spans="1:31" x14ac:dyDescent="0.2">
      <c r="A47" s="1338"/>
      <c r="B47" s="1339"/>
      <c r="C47" s="1340"/>
      <c r="D47" s="1341"/>
      <c r="E47" s="1338"/>
      <c r="F47" s="1339"/>
      <c r="G47" s="1340"/>
      <c r="H47" s="1341"/>
      <c r="I47" s="1338"/>
      <c r="J47" s="1339"/>
      <c r="K47" s="1340"/>
      <c r="L47" s="1341"/>
      <c r="M47" s="1338"/>
      <c r="N47" s="1339"/>
      <c r="O47" s="1340"/>
      <c r="P47" s="1341"/>
      <c r="Q47" s="1239"/>
      <c r="R47" s="1239"/>
      <c r="S47" s="1239"/>
      <c r="T47" s="1239"/>
      <c r="U47" s="1239"/>
      <c r="V47" s="1239"/>
      <c r="W47" s="1239"/>
      <c r="X47" s="1343" t="e">
        <f ca="1"/>
        <v>#NAME?</v>
      </c>
      <c r="Y47" s="1344" t="e">
        <f ca="1"/>
        <v>#NAME?</v>
      </c>
      <c r="AA47" s="1239"/>
      <c r="AB47" s="1239"/>
      <c r="AC47" s="1239"/>
      <c r="AD47" s="1239"/>
      <c r="AE47" s="1239"/>
    </row>
    <row r="48" spans="1:31" x14ac:dyDescent="0.2">
      <c r="A48" s="1338"/>
      <c r="B48" s="1339"/>
      <c r="C48" s="1340"/>
      <c r="D48" s="1341"/>
      <c r="E48" s="1338"/>
      <c r="F48" s="1339"/>
      <c r="G48" s="1340"/>
      <c r="H48" s="1341"/>
      <c r="I48" s="1338"/>
      <c r="J48" s="1339"/>
      <c r="K48" s="1340"/>
      <c r="L48" s="1341"/>
      <c r="M48" s="1338"/>
      <c r="N48" s="1339"/>
      <c r="O48" s="1340"/>
      <c r="P48" s="1341"/>
      <c r="Q48" s="1239"/>
      <c r="R48" s="1239"/>
      <c r="S48" s="1239"/>
      <c r="T48" s="1239"/>
      <c r="U48" s="1239"/>
      <c r="V48" s="1239"/>
      <c r="W48" s="1239"/>
      <c r="X48" s="1343" t="e">
        <f ca="1"/>
        <v>#NAME?</v>
      </c>
      <c r="Y48" s="1344" t="e">
        <f ca="1"/>
        <v>#NAME?</v>
      </c>
      <c r="AA48" s="1239"/>
      <c r="AB48" s="1239"/>
      <c r="AC48" s="1239"/>
      <c r="AD48" s="1239"/>
      <c r="AE48" s="1239"/>
    </row>
    <row r="49" spans="1:31" x14ac:dyDescent="0.2">
      <c r="A49" s="1338"/>
      <c r="B49" s="1339"/>
      <c r="C49" s="1340"/>
      <c r="D49" s="1341"/>
      <c r="E49" s="1338"/>
      <c r="F49" s="1339"/>
      <c r="G49" s="1340"/>
      <c r="H49" s="1341"/>
      <c r="I49" s="1338"/>
      <c r="J49" s="1339"/>
      <c r="K49" s="1340"/>
      <c r="L49" s="1341"/>
      <c r="M49" s="1338"/>
      <c r="N49" s="1339"/>
      <c r="O49" s="1340"/>
      <c r="P49" s="1341"/>
      <c r="Q49" s="1239"/>
      <c r="R49" s="1239"/>
      <c r="S49" s="1239"/>
      <c r="T49" s="1239"/>
      <c r="U49" s="1239"/>
      <c r="V49" s="1239"/>
      <c r="W49" s="1239"/>
      <c r="X49" s="1343" t="e">
        <f ca="1"/>
        <v>#NAME?</v>
      </c>
      <c r="Y49" s="1344" t="e">
        <f ca="1"/>
        <v>#NAME?</v>
      </c>
      <c r="AA49" s="1239"/>
      <c r="AB49" s="1239"/>
      <c r="AC49" s="1239"/>
      <c r="AD49" s="1239"/>
      <c r="AE49" s="1239"/>
    </row>
    <row r="50" spans="1:31" x14ac:dyDescent="0.2">
      <c r="A50" s="1338"/>
      <c r="B50" s="1339"/>
      <c r="C50" s="1340"/>
      <c r="D50" s="1341"/>
      <c r="E50" s="1338"/>
      <c r="F50" s="1339"/>
      <c r="G50" s="1340"/>
      <c r="H50" s="1341"/>
      <c r="I50" s="1338"/>
      <c r="J50" s="1339"/>
      <c r="K50" s="1340"/>
      <c r="L50" s="1341"/>
      <c r="M50" s="1338"/>
      <c r="N50" s="1339"/>
      <c r="O50" s="1340"/>
      <c r="P50" s="1341"/>
      <c r="Q50" s="1239"/>
      <c r="R50" s="1239"/>
      <c r="S50" s="1239"/>
      <c r="T50" s="1239"/>
      <c r="U50" s="1239"/>
      <c r="V50" s="1239"/>
      <c r="W50" s="1239"/>
      <c r="X50" s="1343" t="e">
        <f ca="1"/>
        <v>#NAME?</v>
      </c>
      <c r="Y50" s="1344" t="e">
        <f ca="1"/>
        <v>#NAME?</v>
      </c>
      <c r="AA50" s="1239"/>
      <c r="AB50" s="1239"/>
      <c r="AC50" s="1239"/>
      <c r="AD50" s="1239"/>
      <c r="AE50" s="1239"/>
    </row>
    <row r="51" spans="1:31" x14ac:dyDescent="0.2">
      <c r="A51" s="1338"/>
      <c r="B51" s="1339"/>
      <c r="C51" s="1340"/>
      <c r="D51" s="1341"/>
      <c r="E51" s="1338"/>
      <c r="F51" s="1339"/>
      <c r="G51" s="1340"/>
      <c r="H51" s="1341"/>
      <c r="I51" s="1338"/>
      <c r="J51" s="1339"/>
      <c r="K51" s="1340"/>
      <c r="L51" s="1341"/>
      <c r="M51" s="1338"/>
      <c r="N51" s="1339"/>
      <c r="O51" s="1340"/>
      <c r="P51" s="1341"/>
      <c r="Q51" s="1239"/>
      <c r="R51" s="1239"/>
      <c r="S51" s="1239"/>
      <c r="T51" s="1239"/>
      <c r="U51" s="1239"/>
      <c r="V51" s="1239"/>
      <c r="W51" s="1239"/>
      <c r="X51" s="1343" t="e">
        <f ca="1"/>
        <v>#NAME?</v>
      </c>
      <c r="Y51" s="1344" t="e">
        <f ca="1"/>
        <v>#NAME?</v>
      </c>
      <c r="AA51" s="1239"/>
      <c r="AB51" s="1239"/>
      <c r="AC51" s="1239"/>
      <c r="AD51" s="1239"/>
      <c r="AE51" s="1239"/>
    </row>
    <row r="52" spans="1:31" x14ac:dyDescent="0.2">
      <c r="A52" s="1338"/>
      <c r="B52" s="1339"/>
      <c r="C52" s="1340"/>
      <c r="D52" s="1341"/>
      <c r="E52" s="1338"/>
      <c r="F52" s="1339"/>
      <c r="G52" s="1340"/>
      <c r="H52" s="1341"/>
      <c r="I52" s="1338"/>
      <c r="J52" s="1339"/>
      <c r="K52" s="1340"/>
      <c r="L52" s="1341"/>
      <c r="M52" s="1338"/>
      <c r="N52" s="1339"/>
      <c r="O52" s="1340"/>
      <c r="P52" s="1341"/>
      <c r="Q52" s="1239"/>
      <c r="R52" s="1239"/>
      <c r="S52" s="1239"/>
      <c r="T52" s="1239"/>
      <c r="U52" s="1239"/>
      <c r="V52" s="1239"/>
      <c r="W52" s="1239"/>
      <c r="X52" s="1343" t="e">
        <f ca="1"/>
        <v>#NAME?</v>
      </c>
      <c r="Y52" s="1344" t="e">
        <f ca="1"/>
        <v>#NAME?</v>
      </c>
      <c r="AA52" s="1239"/>
      <c r="AB52" s="1239"/>
      <c r="AC52" s="1239"/>
      <c r="AD52" s="1239"/>
      <c r="AE52" s="1239"/>
    </row>
    <row r="53" spans="1:31" x14ac:dyDescent="0.2">
      <c r="A53" s="1338"/>
      <c r="B53" s="1339"/>
      <c r="C53" s="1340"/>
      <c r="D53" s="1341"/>
      <c r="E53" s="1338"/>
      <c r="F53" s="1339"/>
      <c r="G53" s="1340"/>
      <c r="H53" s="1341"/>
      <c r="I53" s="1338"/>
      <c r="J53" s="1339"/>
      <c r="K53" s="1340"/>
      <c r="L53" s="1341"/>
      <c r="M53" s="1338"/>
      <c r="N53" s="1339"/>
      <c r="O53" s="1340"/>
      <c r="P53" s="1341"/>
      <c r="Q53" s="1239"/>
      <c r="R53" s="1239"/>
      <c r="S53" s="1239"/>
      <c r="T53" s="1239"/>
      <c r="U53" s="1239"/>
      <c r="V53" s="1239"/>
      <c r="W53" s="1239"/>
      <c r="X53" s="1343" t="e">
        <f ca="1"/>
        <v>#NAME?</v>
      </c>
      <c r="Y53" s="1344" t="e">
        <f ca="1"/>
        <v>#NAME?</v>
      </c>
      <c r="AA53" s="1239"/>
      <c r="AB53" s="1239"/>
      <c r="AC53" s="1239"/>
      <c r="AD53" s="1239"/>
      <c r="AE53" s="1239"/>
    </row>
    <row r="54" spans="1:31" x14ac:dyDescent="0.2">
      <c r="A54" s="1338"/>
      <c r="B54" s="1339"/>
      <c r="C54" s="1340"/>
      <c r="D54" s="1341"/>
      <c r="E54" s="1338"/>
      <c r="F54" s="1339"/>
      <c r="G54" s="1340"/>
      <c r="H54" s="1341"/>
      <c r="I54" s="1338"/>
      <c r="J54" s="1339"/>
      <c r="K54" s="1340"/>
      <c r="L54" s="1341"/>
      <c r="M54" s="1338"/>
      <c r="N54" s="1339"/>
      <c r="O54" s="1340"/>
      <c r="P54" s="1341"/>
      <c r="Q54" s="1239"/>
      <c r="R54" s="1239"/>
      <c r="S54" s="1239"/>
      <c r="T54" s="1239"/>
      <c r="U54" s="1239"/>
      <c r="V54" s="1239"/>
      <c r="W54" s="1239"/>
      <c r="X54" s="1343" t="e">
        <f ca="1"/>
        <v>#NAME?</v>
      </c>
      <c r="Y54" s="1344" t="e">
        <f ca="1"/>
        <v>#NAME?</v>
      </c>
      <c r="AA54" s="1239"/>
      <c r="AB54" s="1239"/>
      <c r="AC54" s="1239"/>
      <c r="AD54" s="1239"/>
      <c r="AE54" s="1239"/>
    </row>
    <row r="55" spans="1:31" x14ac:dyDescent="0.2">
      <c r="A55" s="1338"/>
      <c r="B55" s="1339"/>
      <c r="C55" s="1340"/>
      <c r="D55" s="1341"/>
      <c r="E55" s="1338"/>
      <c r="F55" s="1339"/>
      <c r="G55" s="1340"/>
      <c r="H55" s="1341"/>
      <c r="I55" s="1338"/>
      <c r="J55" s="1339"/>
      <c r="K55" s="1340"/>
      <c r="L55" s="1341"/>
      <c r="M55" s="1338"/>
      <c r="N55" s="1339"/>
      <c r="O55" s="1340"/>
      <c r="P55" s="1341"/>
      <c r="Q55" s="1239"/>
      <c r="R55" s="1239"/>
      <c r="S55" s="1239"/>
      <c r="T55" s="1239"/>
      <c r="U55" s="1239"/>
      <c r="V55" s="1239"/>
      <c r="W55" s="1239"/>
      <c r="X55" s="1343" t="e">
        <f ca="1"/>
        <v>#NAME?</v>
      </c>
      <c r="Y55" s="1344" t="e">
        <f ca="1"/>
        <v>#NAME?</v>
      </c>
      <c r="AA55" s="1239"/>
      <c r="AB55" s="1239"/>
      <c r="AC55" s="1239"/>
      <c r="AD55" s="1239"/>
      <c r="AE55" s="1239"/>
    </row>
    <row r="56" spans="1:31" x14ac:dyDescent="0.2">
      <c r="A56" s="1338"/>
      <c r="B56" s="1339"/>
      <c r="C56" s="1340"/>
      <c r="D56" s="1341"/>
      <c r="E56" s="1338"/>
      <c r="F56" s="1339"/>
      <c r="G56" s="1340"/>
      <c r="H56" s="1341"/>
      <c r="I56" s="1338"/>
      <c r="J56" s="1339"/>
      <c r="K56" s="1340"/>
      <c r="L56" s="1341"/>
      <c r="M56" s="1338"/>
      <c r="N56" s="1339"/>
      <c r="O56" s="1340"/>
      <c r="P56" s="1341"/>
      <c r="Q56" s="1239"/>
      <c r="R56" s="1239"/>
      <c r="S56" s="1239"/>
      <c r="T56" s="1239"/>
      <c r="U56" s="1239"/>
      <c r="V56" s="1239"/>
      <c r="W56" s="1239"/>
      <c r="X56" s="1343" t="e">
        <f ca="1"/>
        <v>#NAME?</v>
      </c>
      <c r="Y56" s="1344" t="e">
        <f ca="1"/>
        <v>#NAME?</v>
      </c>
      <c r="AA56" s="1239"/>
      <c r="AB56" s="1239"/>
      <c r="AC56" s="1239"/>
      <c r="AD56" s="1239"/>
      <c r="AE56" s="1239"/>
    </row>
    <row r="57" spans="1:31" x14ac:dyDescent="0.2">
      <c r="A57" s="1338"/>
      <c r="B57" s="1339"/>
      <c r="C57" s="1340"/>
      <c r="D57" s="1341"/>
      <c r="E57" s="1338"/>
      <c r="F57" s="1339"/>
      <c r="G57" s="1340"/>
      <c r="H57" s="1341"/>
      <c r="I57" s="1338"/>
      <c r="J57" s="1339"/>
      <c r="K57" s="1340"/>
      <c r="L57" s="1341"/>
      <c r="M57" s="1338"/>
      <c r="N57" s="1339"/>
      <c r="O57" s="1340"/>
      <c r="P57" s="1341"/>
      <c r="Q57" s="1239"/>
      <c r="R57" s="1239"/>
      <c r="S57" s="1239"/>
      <c r="T57" s="1239"/>
      <c r="U57" s="1239"/>
      <c r="V57" s="1239"/>
      <c r="W57" s="1239"/>
      <c r="X57" s="1343" t="e">
        <f ca="1"/>
        <v>#NAME?</v>
      </c>
      <c r="Y57" s="1344" t="e">
        <f ca="1"/>
        <v>#NAME?</v>
      </c>
      <c r="AA57" s="1239"/>
      <c r="AB57" s="1239"/>
      <c r="AC57" s="1239"/>
      <c r="AD57" s="1239"/>
      <c r="AE57" s="1239"/>
    </row>
    <row r="58" spans="1:31" x14ac:dyDescent="0.2">
      <c r="A58" s="1338"/>
      <c r="B58" s="1339"/>
      <c r="C58" s="1340"/>
      <c r="D58" s="1341"/>
      <c r="E58" s="1338"/>
      <c r="F58" s="1339"/>
      <c r="G58" s="1340"/>
      <c r="H58" s="1341"/>
      <c r="I58" s="1338"/>
      <c r="J58" s="1339"/>
      <c r="K58" s="1340"/>
      <c r="L58" s="1341"/>
      <c r="M58" s="1338"/>
      <c r="N58" s="1339"/>
      <c r="O58" s="1340"/>
      <c r="P58" s="1341"/>
      <c r="Q58" s="1239"/>
      <c r="R58" s="1239"/>
      <c r="S58" s="1239"/>
      <c r="T58" s="1239"/>
      <c r="U58" s="1239"/>
      <c r="V58" s="1239"/>
      <c r="W58" s="1239"/>
      <c r="X58" s="1343" t="e">
        <f ca="1"/>
        <v>#NAME?</v>
      </c>
      <c r="Y58" s="1344" t="e">
        <f ca="1"/>
        <v>#NAME?</v>
      </c>
      <c r="AA58" s="1239"/>
      <c r="AB58" s="1239"/>
      <c r="AC58" s="1239"/>
      <c r="AD58" s="1239"/>
      <c r="AE58" s="1239"/>
    </row>
    <row r="59" spans="1:31" x14ac:dyDescent="0.2">
      <c r="A59" s="1338"/>
      <c r="B59" s="1339"/>
      <c r="C59" s="1340"/>
      <c r="D59" s="1341"/>
      <c r="E59" s="1338"/>
      <c r="F59" s="1339"/>
      <c r="G59" s="1340"/>
      <c r="H59" s="1341"/>
      <c r="I59" s="1338"/>
      <c r="J59" s="1339"/>
      <c r="K59" s="1340"/>
      <c r="L59" s="1341"/>
      <c r="M59" s="1338"/>
      <c r="N59" s="1339"/>
      <c r="O59" s="1340"/>
      <c r="P59" s="1341"/>
      <c r="Q59" s="1239"/>
      <c r="R59" s="1239"/>
      <c r="S59" s="1239"/>
      <c r="T59" s="1239"/>
      <c r="U59" s="1239"/>
      <c r="V59" s="1239"/>
      <c r="W59" s="1239"/>
      <c r="X59" s="1343" t="e">
        <f ca="1"/>
        <v>#NAME?</v>
      </c>
      <c r="Y59" s="1344" t="e">
        <f ca="1"/>
        <v>#NAME?</v>
      </c>
      <c r="AA59" s="1239"/>
      <c r="AB59" s="1239"/>
      <c r="AC59" s="1239"/>
      <c r="AD59" s="1239"/>
      <c r="AE59" s="1239"/>
    </row>
    <row r="60" spans="1:31" x14ac:dyDescent="0.2">
      <c r="A60" s="1338"/>
      <c r="B60" s="1339"/>
      <c r="C60" s="1340"/>
      <c r="D60" s="1341"/>
      <c r="E60" s="1338"/>
      <c r="F60" s="1339"/>
      <c r="G60" s="1340"/>
      <c r="H60" s="1341"/>
      <c r="I60" s="1338"/>
      <c r="J60" s="1339"/>
      <c r="K60" s="1340"/>
      <c r="L60" s="1341"/>
      <c r="M60" s="1338"/>
      <c r="N60" s="1339"/>
      <c r="O60" s="1340"/>
      <c r="P60" s="1341"/>
      <c r="Q60" s="1239"/>
      <c r="X60" s="1343" t="e">
        <f ca="1"/>
        <v>#NAME?</v>
      </c>
      <c r="Y60" s="1344" t="e">
        <f ca="1"/>
        <v>#NAME?</v>
      </c>
      <c r="Z60" s="1247"/>
      <c r="AB60" s="1239"/>
      <c r="AC60" s="1239"/>
      <c r="AD60" s="1239"/>
      <c r="AE60" s="1239"/>
    </row>
    <row r="61" spans="1:31" x14ac:dyDescent="0.2">
      <c r="A61" s="1338"/>
      <c r="B61" s="1339"/>
      <c r="C61" s="1340"/>
      <c r="D61" s="1341"/>
      <c r="E61" s="1338"/>
      <c r="F61" s="1339"/>
      <c r="G61" s="1340"/>
      <c r="H61" s="1341"/>
      <c r="I61" s="1338"/>
      <c r="J61" s="1339"/>
      <c r="K61" s="1340"/>
      <c r="L61" s="1341"/>
      <c r="M61" s="1338"/>
      <c r="N61" s="1339"/>
      <c r="O61" s="1340"/>
      <c r="P61" s="1341"/>
      <c r="Q61" s="1239"/>
      <c r="X61" s="1343" t="e">
        <f ca="1"/>
        <v>#NAME?</v>
      </c>
      <c r="Y61" s="1344" t="e">
        <f ca="1"/>
        <v>#NAME?</v>
      </c>
      <c r="Z61" s="1247"/>
      <c r="AB61" s="1239"/>
      <c r="AC61" s="1239"/>
      <c r="AD61" s="1239"/>
      <c r="AE61" s="1239"/>
    </row>
    <row r="62" spans="1:31" x14ac:dyDescent="0.2">
      <c r="A62" s="1338"/>
      <c r="B62" s="1339"/>
      <c r="C62" s="1340"/>
      <c r="D62" s="1341"/>
      <c r="E62" s="1338"/>
      <c r="F62" s="1339"/>
      <c r="G62" s="1340"/>
      <c r="H62" s="1341"/>
      <c r="I62" s="1338"/>
      <c r="J62" s="1339"/>
      <c r="K62" s="1340"/>
      <c r="L62" s="1341"/>
      <c r="M62" s="1338"/>
      <c r="N62" s="1339"/>
      <c r="O62" s="1340"/>
      <c r="P62" s="1341"/>
      <c r="Q62" s="1239"/>
      <c r="X62" s="1343" t="e">
        <f ca="1"/>
        <v>#NAME?</v>
      </c>
      <c r="Y62" s="1344" t="e">
        <f ca="1"/>
        <v>#NAME?</v>
      </c>
      <c r="Z62" s="1247"/>
      <c r="AB62" s="1239"/>
      <c r="AC62" s="1239"/>
      <c r="AD62" s="1239"/>
      <c r="AE62" s="1239"/>
    </row>
    <row r="63" spans="1:31" x14ac:dyDescent="0.2">
      <c r="A63" s="1338"/>
      <c r="B63" s="1339"/>
      <c r="C63" s="1340"/>
      <c r="D63" s="1341"/>
      <c r="E63" s="1338"/>
      <c r="F63" s="1339"/>
      <c r="G63" s="1340"/>
      <c r="H63" s="1341"/>
      <c r="I63" s="1338"/>
      <c r="J63" s="1339"/>
      <c r="K63" s="1340"/>
      <c r="L63" s="1341"/>
      <c r="M63" s="1338"/>
      <c r="N63" s="1339"/>
      <c r="O63" s="1340"/>
      <c r="P63" s="1341"/>
      <c r="Q63" s="1239"/>
      <c r="X63" s="1343" t="e">
        <f ca="1"/>
        <v>#NAME?</v>
      </c>
      <c r="Y63" s="1344" t="e">
        <f ca="1"/>
        <v>#NAME?</v>
      </c>
      <c r="Z63" s="1247"/>
      <c r="AB63" s="1239"/>
      <c r="AC63" s="1239"/>
      <c r="AD63" s="1239"/>
      <c r="AE63" s="1239"/>
    </row>
    <row r="64" spans="1:31" x14ac:dyDescent="0.2">
      <c r="A64" s="1338"/>
      <c r="B64" s="1339"/>
      <c r="C64" s="1340"/>
      <c r="D64" s="1341"/>
      <c r="E64" s="1338"/>
      <c r="F64" s="1339"/>
      <c r="G64" s="1340"/>
      <c r="H64" s="1341"/>
      <c r="I64" s="1338"/>
      <c r="J64" s="1339"/>
      <c r="K64" s="1340"/>
      <c r="L64" s="1341"/>
      <c r="M64" s="1338"/>
      <c r="N64" s="1339"/>
      <c r="O64" s="1340"/>
      <c r="P64" s="1341"/>
      <c r="Q64" s="1239"/>
      <c r="X64" s="1343" t="e">
        <f ca="1"/>
        <v>#NAME?</v>
      </c>
      <c r="Y64" s="1344" t="e">
        <f ca="1"/>
        <v>#NAME?</v>
      </c>
      <c r="Z64" s="1247"/>
      <c r="AB64" s="1239"/>
      <c r="AC64" s="1239"/>
      <c r="AD64" s="1239"/>
      <c r="AE64" s="1239"/>
    </row>
    <row r="65" spans="1:31" x14ac:dyDescent="0.2">
      <c r="A65" s="1338"/>
      <c r="B65" s="1339"/>
      <c r="C65" s="1340"/>
      <c r="D65" s="1341"/>
      <c r="E65" s="1338"/>
      <c r="F65" s="1339"/>
      <c r="G65" s="1340"/>
      <c r="H65" s="1341"/>
      <c r="I65" s="1338"/>
      <c r="J65" s="1339"/>
      <c r="K65" s="1340"/>
      <c r="L65" s="1341"/>
      <c r="M65" s="1338"/>
      <c r="N65" s="1339"/>
      <c r="O65" s="1340"/>
      <c r="P65" s="1341"/>
      <c r="Q65" s="1239"/>
      <c r="X65" s="1343" t="e">
        <f ca="1"/>
        <v>#NAME?</v>
      </c>
      <c r="Y65" s="1344" t="e">
        <f ca="1"/>
        <v>#NAME?</v>
      </c>
      <c r="Z65" s="1247"/>
      <c r="AB65" s="1239"/>
      <c r="AC65" s="1239"/>
      <c r="AD65" s="1239"/>
      <c r="AE65" s="1239"/>
    </row>
    <row r="66" spans="1:31" x14ac:dyDescent="0.2">
      <c r="A66" s="1338"/>
      <c r="B66" s="1339"/>
      <c r="C66" s="1340"/>
      <c r="D66" s="1341"/>
      <c r="E66" s="1338"/>
      <c r="F66" s="1339"/>
      <c r="G66" s="1340"/>
      <c r="H66" s="1341"/>
      <c r="I66" s="1338"/>
      <c r="J66" s="1339"/>
      <c r="K66" s="1340"/>
      <c r="L66" s="1341"/>
      <c r="M66" s="1338"/>
      <c r="N66" s="1339"/>
      <c r="O66" s="1340"/>
      <c r="P66" s="1341"/>
      <c r="Q66" s="1239"/>
      <c r="X66" s="1343" t="e">
        <f ca="1"/>
        <v>#NAME?</v>
      </c>
      <c r="Y66" s="1344" t="e">
        <f ca="1"/>
        <v>#NAME?</v>
      </c>
      <c r="Z66" s="1247"/>
      <c r="AB66" s="1239"/>
      <c r="AC66" s="1239"/>
      <c r="AD66" s="1239"/>
      <c r="AE66" s="1239"/>
    </row>
    <row r="67" spans="1:31" x14ac:dyDescent="0.2">
      <c r="A67" s="1338"/>
      <c r="B67" s="1339"/>
      <c r="C67" s="1340"/>
      <c r="D67" s="1341"/>
      <c r="E67" s="1338"/>
      <c r="F67" s="1339"/>
      <c r="G67" s="1340"/>
      <c r="H67" s="1341"/>
      <c r="I67" s="1338"/>
      <c r="J67" s="1339"/>
      <c r="K67" s="1340"/>
      <c r="L67" s="1341"/>
      <c r="M67" s="1338"/>
      <c r="N67" s="1339"/>
      <c r="O67" s="1340"/>
      <c r="P67" s="1341"/>
      <c r="Q67" s="1239"/>
      <c r="X67" s="1343" t="e">
        <f ca="1"/>
        <v>#NAME?</v>
      </c>
      <c r="Y67" s="1344" t="e">
        <f ca="1"/>
        <v>#NAME?</v>
      </c>
      <c r="Z67" s="1247"/>
      <c r="AB67" s="1239"/>
      <c r="AC67" s="1239"/>
      <c r="AD67" s="1239"/>
      <c r="AE67" s="1239"/>
    </row>
    <row r="68" spans="1:31" x14ac:dyDescent="0.2">
      <c r="A68" s="1338"/>
      <c r="B68" s="1339"/>
      <c r="C68" s="1340"/>
      <c r="D68" s="1341"/>
      <c r="E68" s="1338"/>
      <c r="F68" s="1339"/>
      <c r="G68" s="1340"/>
      <c r="H68" s="1341"/>
      <c r="I68" s="1338"/>
      <c r="J68" s="1339"/>
      <c r="K68" s="1340"/>
      <c r="L68" s="1341"/>
      <c r="M68" s="1338"/>
      <c r="N68" s="1339"/>
      <c r="O68" s="1340"/>
      <c r="P68" s="1341"/>
      <c r="Q68" s="1239"/>
      <c r="X68" s="1343" t="e">
        <f ca="1"/>
        <v>#NAME?</v>
      </c>
      <c r="Y68" s="1344" t="e">
        <f ca="1"/>
        <v>#NAME?</v>
      </c>
      <c r="Z68" s="1247"/>
      <c r="AB68" s="1239"/>
      <c r="AC68" s="1239"/>
      <c r="AD68" s="1239"/>
      <c r="AE68" s="1239"/>
    </row>
    <row r="69" spans="1:31" x14ac:dyDescent="0.2">
      <c r="A69" s="1338"/>
      <c r="B69" s="1339"/>
      <c r="C69" s="1340"/>
      <c r="D69" s="1341"/>
      <c r="E69" s="1338"/>
      <c r="F69" s="1339"/>
      <c r="G69" s="1340"/>
      <c r="H69" s="1341"/>
      <c r="I69" s="1338"/>
      <c r="J69" s="1339"/>
      <c r="K69" s="1340"/>
      <c r="L69" s="1341"/>
      <c r="M69" s="1338"/>
      <c r="N69" s="1339"/>
      <c r="O69" s="1340"/>
      <c r="P69" s="1341"/>
      <c r="Q69" s="1239"/>
      <c r="X69" s="1343" t="e">
        <f ca="1"/>
        <v>#NAME?</v>
      </c>
      <c r="Y69" s="1344" t="e">
        <f ca="1"/>
        <v>#NAME?</v>
      </c>
      <c r="Z69" s="1247"/>
      <c r="AB69" s="1239"/>
      <c r="AC69" s="1239"/>
      <c r="AD69" s="1239"/>
      <c r="AE69" s="1239"/>
    </row>
    <row r="70" spans="1:31" x14ac:dyDescent="0.2">
      <c r="A70" s="1338"/>
      <c r="B70" s="1339"/>
      <c r="C70" s="1340"/>
      <c r="D70" s="1341"/>
      <c r="E70" s="1338"/>
      <c r="F70" s="1339"/>
      <c r="G70" s="1340"/>
      <c r="H70" s="1341"/>
      <c r="I70" s="1338"/>
      <c r="J70" s="1339"/>
      <c r="K70" s="1340"/>
      <c r="L70" s="1341"/>
      <c r="M70" s="1338"/>
      <c r="N70" s="1339"/>
      <c r="O70" s="1340"/>
      <c r="P70" s="1341"/>
      <c r="Q70" s="1239"/>
      <c r="X70" s="1343" t="e">
        <f ca="1"/>
        <v>#NAME?</v>
      </c>
      <c r="Y70" s="1344" t="e">
        <f ca="1"/>
        <v>#NAME?</v>
      </c>
      <c r="Z70" s="1247"/>
      <c r="AB70" s="1239"/>
      <c r="AC70" s="1239"/>
      <c r="AD70" s="1239"/>
      <c r="AE70" s="1239"/>
    </row>
    <row r="71" spans="1:31" x14ac:dyDescent="0.2">
      <c r="A71" s="1338"/>
      <c r="B71" s="1339"/>
      <c r="C71" s="1340"/>
      <c r="D71" s="1341"/>
      <c r="E71" s="1338"/>
      <c r="F71" s="1339"/>
      <c r="G71" s="1340"/>
      <c r="H71" s="1341"/>
      <c r="I71" s="1338"/>
      <c r="J71" s="1339"/>
      <c r="K71" s="1340"/>
      <c r="L71" s="1341"/>
      <c r="M71" s="1338"/>
      <c r="N71" s="1339"/>
      <c r="O71" s="1340"/>
      <c r="P71" s="1341"/>
      <c r="Q71" s="1239"/>
      <c r="X71" s="1343" t="e">
        <f ca="1"/>
        <v>#NAME?</v>
      </c>
      <c r="Y71" s="1344" t="e">
        <f ca="1"/>
        <v>#NAME?</v>
      </c>
      <c r="Z71" s="1247"/>
      <c r="AB71" s="1239"/>
      <c r="AC71" s="1239"/>
      <c r="AD71" s="1239"/>
      <c r="AE71" s="1239"/>
    </row>
    <row r="72" spans="1:31" x14ac:dyDescent="0.2">
      <c r="A72" s="1338"/>
      <c r="B72" s="1339"/>
      <c r="C72" s="1340"/>
      <c r="D72" s="1341"/>
      <c r="E72" s="1338"/>
      <c r="F72" s="1339"/>
      <c r="G72" s="1340"/>
      <c r="H72" s="1341"/>
      <c r="I72" s="1338"/>
      <c r="J72" s="1339"/>
      <c r="K72" s="1340"/>
      <c r="L72" s="1341"/>
      <c r="M72" s="1338"/>
      <c r="N72" s="1339"/>
      <c r="O72" s="1340"/>
      <c r="P72" s="1341"/>
      <c r="Q72" s="1239"/>
      <c r="X72" s="1343" t="e">
        <f ca="1"/>
        <v>#NAME?</v>
      </c>
      <c r="Y72" s="1344" t="e">
        <f ca="1"/>
        <v>#NAME?</v>
      </c>
      <c r="Z72" s="1247"/>
      <c r="AB72" s="1239"/>
      <c r="AC72" s="1239"/>
      <c r="AD72" s="1239"/>
      <c r="AE72" s="1239"/>
    </row>
    <row r="73" spans="1:31" x14ac:dyDescent="0.2">
      <c r="A73" s="1338"/>
      <c r="B73" s="1339"/>
      <c r="C73" s="1340"/>
      <c r="D73" s="1341"/>
      <c r="E73" s="1338"/>
      <c r="F73" s="1339"/>
      <c r="G73" s="1340"/>
      <c r="H73" s="1341"/>
      <c r="I73" s="1338"/>
      <c r="J73" s="1339"/>
      <c r="K73" s="1340"/>
      <c r="L73" s="1341"/>
      <c r="M73" s="1338"/>
      <c r="N73" s="1339"/>
      <c r="O73" s="1340"/>
      <c r="P73" s="1341"/>
      <c r="Q73" s="1239"/>
      <c r="X73" s="1343" t="e">
        <f ca="1"/>
        <v>#NAME?</v>
      </c>
      <c r="Y73" s="1344" t="e">
        <f ca="1"/>
        <v>#NAME?</v>
      </c>
      <c r="Z73" s="1247"/>
      <c r="AB73" s="1239"/>
      <c r="AC73" s="1239"/>
      <c r="AD73" s="1239"/>
      <c r="AE73" s="1239"/>
    </row>
    <row r="74" spans="1:31" x14ac:dyDescent="0.2">
      <c r="A74" s="1338"/>
      <c r="B74" s="1339"/>
      <c r="C74" s="1340"/>
      <c r="D74" s="1341"/>
      <c r="E74" s="1338"/>
      <c r="F74" s="1339"/>
      <c r="G74" s="1340"/>
      <c r="H74" s="1341"/>
      <c r="I74" s="1338"/>
      <c r="J74" s="1339"/>
      <c r="K74" s="1340"/>
      <c r="L74" s="1341"/>
      <c r="M74" s="1338"/>
      <c r="N74" s="1339"/>
      <c r="O74" s="1340"/>
      <c r="P74" s="1341"/>
      <c r="Q74" s="1239"/>
      <c r="X74" s="1343" t="e">
        <f ca="1"/>
        <v>#NAME?</v>
      </c>
      <c r="Y74" s="1344" t="e">
        <f ca="1"/>
        <v>#NAME?</v>
      </c>
      <c r="Z74" s="1247"/>
      <c r="AB74" s="1239"/>
      <c r="AC74" s="1239"/>
      <c r="AD74" s="1239"/>
      <c r="AE74" s="1239"/>
    </row>
    <row r="75" spans="1:31" x14ac:dyDescent="0.2">
      <c r="A75" s="1338"/>
      <c r="B75" s="1339"/>
      <c r="C75" s="1340"/>
      <c r="D75" s="1341"/>
      <c r="E75" s="1338"/>
      <c r="F75" s="1339"/>
      <c r="G75" s="1340"/>
      <c r="H75" s="1341"/>
      <c r="I75" s="1338"/>
      <c r="J75" s="1339"/>
      <c r="K75" s="1340"/>
      <c r="L75" s="1341"/>
      <c r="M75" s="1338"/>
      <c r="N75" s="1339"/>
      <c r="O75" s="1340"/>
      <c r="P75" s="1341"/>
      <c r="Q75" s="1239"/>
      <c r="X75" s="1343" t="e">
        <f ca="1"/>
        <v>#NAME?</v>
      </c>
      <c r="Y75" s="1344" t="e">
        <f ca="1"/>
        <v>#NAME?</v>
      </c>
      <c r="Z75" s="1247"/>
      <c r="AB75" s="1239"/>
      <c r="AC75" s="1239"/>
      <c r="AD75" s="1239"/>
      <c r="AE75" s="1239"/>
    </row>
    <row r="76" spans="1:31" x14ac:dyDescent="0.2">
      <c r="A76" s="1338"/>
      <c r="B76" s="1339"/>
      <c r="C76" s="1340"/>
      <c r="D76" s="1341"/>
      <c r="E76" s="1338"/>
      <c r="F76" s="1339"/>
      <c r="G76" s="1340"/>
      <c r="H76" s="1341"/>
      <c r="I76" s="1338"/>
      <c r="J76" s="1339"/>
      <c r="K76" s="1340"/>
      <c r="L76" s="1341"/>
      <c r="M76" s="1338"/>
      <c r="N76" s="1339"/>
      <c r="O76" s="1340"/>
      <c r="P76" s="1341"/>
      <c r="Q76" s="1239"/>
      <c r="X76" s="1343" t="e">
        <f ca="1"/>
        <v>#NAME?</v>
      </c>
      <c r="Y76" s="1344" t="e">
        <f ca="1"/>
        <v>#NAME?</v>
      </c>
      <c r="Z76" s="1247"/>
      <c r="AB76" s="1239"/>
      <c r="AC76" s="1239"/>
      <c r="AD76" s="1239"/>
      <c r="AE76" s="1239"/>
    </row>
    <row r="77" spans="1:31" x14ac:dyDescent="0.2">
      <c r="A77" s="1338"/>
      <c r="B77" s="1339"/>
      <c r="C77" s="1340"/>
      <c r="D77" s="1341"/>
      <c r="E77" s="1338"/>
      <c r="F77" s="1339"/>
      <c r="G77" s="1340"/>
      <c r="H77" s="1341"/>
      <c r="I77" s="1338"/>
      <c r="J77" s="1339"/>
      <c r="K77" s="1340"/>
      <c r="L77" s="1341"/>
      <c r="M77" s="1338"/>
      <c r="N77" s="1339"/>
      <c r="O77" s="1340"/>
      <c r="P77" s="1341"/>
      <c r="Q77" s="1239"/>
      <c r="X77" s="1343" t="e">
        <f ca="1"/>
        <v>#NAME?</v>
      </c>
      <c r="Y77" s="1344" t="e">
        <f ca="1"/>
        <v>#NAME?</v>
      </c>
      <c r="Z77" s="1247"/>
      <c r="AB77" s="1239"/>
      <c r="AC77" s="1239"/>
      <c r="AD77" s="1239"/>
      <c r="AE77" s="1239"/>
    </row>
    <row r="78" spans="1:31" x14ac:dyDescent="0.2">
      <c r="A78" s="1338"/>
      <c r="B78" s="1339"/>
      <c r="C78" s="1340"/>
      <c r="D78" s="1341"/>
      <c r="E78" s="1338"/>
      <c r="F78" s="1339"/>
      <c r="G78" s="1340"/>
      <c r="H78" s="1341"/>
      <c r="I78" s="1338"/>
      <c r="J78" s="1339"/>
      <c r="K78" s="1340"/>
      <c r="L78" s="1341"/>
      <c r="M78" s="1338"/>
      <c r="N78" s="1339"/>
      <c r="O78" s="1340"/>
      <c r="P78" s="1341"/>
      <c r="Q78" s="1239"/>
      <c r="X78" s="1343" t="e">
        <f ca="1"/>
        <v>#NAME?</v>
      </c>
      <c r="Y78" s="1344" t="e">
        <f ca="1"/>
        <v>#NAME?</v>
      </c>
      <c r="Z78" s="1247"/>
      <c r="AB78" s="1239"/>
      <c r="AC78" s="1239"/>
      <c r="AD78" s="1239"/>
      <c r="AE78" s="1239"/>
    </row>
    <row r="79" spans="1:31" x14ac:dyDescent="0.2">
      <c r="A79" s="1338"/>
      <c r="B79" s="1339"/>
      <c r="C79" s="1340"/>
      <c r="D79" s="1341"/>
      <c r="E79" s="1338"/>
      <c r="F79" s="1339"/>
      <c r="G79" s="1340"/>
      <c r="H79" s="1341"/>
      <c r="I79" s="1338"/>
      <c r="J79" s="1339"/>
      <c r="K79" s="1340"/>
      <c r="L79" s="1341"/>
      <c r="M79" s="1338"/>
      <c r="N79" s="1339"/>
      <c r="O79" s="1340"/>
      <c r="P79" s="1341"/>
      <c r="Q79" s="1239"/>
      <c r="X79" s="1343" t="e">
        <f ca="1"/>
        <v>#NAME?</v>
      </c>
      <c r="Y79" s="1344" t="e">
        <f ca="1"/>
        <v>#NAME?</v>
      </c>
      <c r="Z79" s="1247"/>
      <c r="AB79" s="1239"/>
      <c r="AC79" s="1239"/>
      <c r="AD79" s="1239"/>
      <c r="AE79" s="1239"/>
    </row>
    <row r="80" spans="1:31" x14ac:dyDescent="0.2">
      <c r="A80" s="1338"/>
      <c r="B80" s="1339"/>
      <c r="C80" s="1340"/>
      <c r="D80" s="1341"/>
      <c r="E80" s="1338"/>
      <c r="F80" s="1339"/>
      <c r="G80" s="1340"/>
      <c r="H80" s="1341"/>
      <c r="I80" s="1338"/>
      <c r="J80" s="1339"/>
      <c r="K80" s="1340"/>
      <c r="L80" s="1341"/>
      <c r="M80" s="1338"/>
      <c r="N80" s="1339"/>
      <c r="O80" s="1340"/>
      <c r="P80" s="1341"/>
      <c r="Q80" s="1239"/>
      <c r="X80" s="1343" t="e">
        <f ca="1"/>
        <v>#NAME?</v>
      </c>
      <c r="Y80" s="1344" t="e">
        <f ca="1"/>
        <v>#NAME?</v>
      </c>
      <c r="Z80" s="1247"/>
      <c r="AB80" s="1239"/>
      <c r="AC80" s="1239"/>
      <c r="AD80" s="1239"/>
      <c r="AE80" s="1239"/>
    </row>
    <row r="81" spans="1:31" x14ac:dyDescent="0.2">
      <c r="A81" s="1338"/>
      <c r="B81" s="1339"/>
      <c r="C81" s="1340"/>
      <c r="D81" s="1341"/>
      <c r="E81" s="1338"/>
      <c r="F81" s="1339"/>
      <c r="G81" s="1340"/>
      <c r="H81" s="1341"/>
      <c r="I81" s="1338"/>
      <c r="J81" s="1339"/>
      <c r="K81" s="1340"/>
      <c r="L81" s="1341"/>
      <c r="M81" s="1338"/>
      <c r="N81" s="1339"/>
      <c r="O81" s="1340"/>
      <c r="P81" s="1341"/>
      <c r="Q81" s="1239"/>
      <c r="X81" s="1343" t="e">
        <f ca="1"/>
        <v>#NAME?</v>
      </c>
      <c r="Y81" s="1344" t="e">
        <f ca="1"/>
        <v>#NAME?</v>
      </c>
      <c r="Z81" s="1247"/>
      <c r="AB81" s="1239"/>
      <c r="AC81" s="1239"/>
      <c r="AD81" s="1239"/>
      <c r="AE81" s="1239"/>
    </row>
    <row r="82" spans="1:31" x14ac:dyDescent="0.2">
      <c r="A82" s="1338"/>
      <c r="B82" s="1339"/>
      <c r="C82" s="1340"/>
      <c r="D82" s="1341"/>
      <c r="E82" s="1338"/>
      <c r="F82" s="1339"/>
      <c r="G82" s="1340"/>
      <c r="H82" s="1341"/>
      <c r="I82" s="1338"/>
      <c r="J82" s="1339"/>
      <c r="K82" s="1340"/>
      <c r="L82" s="1341"/>
      <c r="M82" s="1338"/>
      <c r="N82" s="1339"/>
      <c r="O82" s="1340"/>
      <c r="P82" s="1341"/>
      <c r="Q82" s="1239"/>
      <c r="X82" s="1343" t="e">
        <f ca="1"/>
        <v>#NAME?</v>
      </c>
      <c r="Y82" s="1344" t="e">
        <f ca="1"/>
        <v>#NAME?</v>
      </c>
      <c r="Z82" s="1247"/>
      <c r="AB82" s="1239"/>
      <c r="AC82" s="1239"/>
      <c r="AD82" s="1239"/>
      <c r="AE82" s="1239"/>
    </row>
    <row r="83" spans="1:31" x14ac:dyDescent="0.2">
      <c r="A83" s="1338"/>
      <c r="B83" s="1339"/>
      <c r="C83" s="1340"/>
      <c r="D83" s="1341"/>
      <c r="E83" s="1338"/>
      <c r="F83" s="1339"/>
      <c r="G83" s="1340"/>
      <c r="H83" s="1341"/>
      <c r="I83" s="1338"/>
      <c r="J83" s="1339"/>
      <c r="K83" s="1340"/>
      <c r="L83" s="1341"/>
      <c r="M83" s="1338"/>
      <c r="N83" s="1339"/>
      <c r="O83" s="1340"/>
      <c r="P83" s="1341"/>
      <c r="Q83" s="1239"/>
      <c r="X83" s="1343" t="e">
        <f ca="1"/>
        <v>#NAME?</v>
      </c>
      <c r="Y83" s="1344" t="e">
        <f ca="1"/>
        <v>#NAME?</v>
      </c>
      <c r="Z83" s="1247"/>
      <c r="AB83" s="1239"/>
      <c r="AC83" s="1239"/>
      <c r="AD83" s="1239"/>
      <c r="AE83" s="1239"/>
    </row>
    <row r="84" spans="1:31" x14ac:dyDescent="0.2">
      <c r="A84" s="1338"/>
      <c r="B84" s="1339"/>
      <c r="C84" s="1340"/>
      <c r="D84" s="1341"/>
      <c r="E84" s="1338"/>
      <c r="F84" s="1339"/>
      <c r="G84" s="1340"/>
      <c r="H84" s="1341"/>
      <c r="I84" s="1338"/>
      <c r="J84" s="1339"/>
      <c r="K84" s="1340"/>
      <c r="L84" s="1341"/>
      <c r="M84" s="1338"/>
      <c r="N84" s="1339"/>
      <c r="O84" s="1340"/>
      <c r="P84" s="1341"/>
      <c r="Q84" s="1239"/>
      <c r="X84" s="1343" t="e">
        <f ca="1"/>
        <v>#NAME?</v>
      </c>
      <c r="Y84" s="1344" t="e">
        <f ca="1"/>
        <v>#NAME?</v>
      </c>
      <c r="Z84" s="1247"/>
      <c r="AB84" s="1239"/>
      <c r="AC84" s="1239"/>
      <c r="AD84" s="1239"/>
      <c r="AE84" s="1239"/>
    </row>
    <row r="85" spans="1:31" x14ac:dyDescent="0.2">
      <c r="A85" s="1338"/>
      <c r="B85" s="1339"/>
      <c r="C85" s="1340"/>
      <c r="D85" s="1341"/>
      <c r="E85" s="1338"/>
      <c r="F85" s="1339"/>
      <c r="G85" s="1340"/>
      <c r="H85" s="1341"/>
      <c r="I85" s="1338"/>
      <c r="J85" s="1339"/>
      <c r="K85" s="1340"/>
      <c r="L85" s="1341"/>
      <c r="M85" s="1338"/>
      <c r="N85" s="1339"/>
      <c r="O85" s="1340"/>
      <c r="P85" s="1341"/>
      <c r="Q85" s="1239"/>
      <c r="X85" s="1343" t="e">
        <f ca="1"/>
        <v>#NAME?</v>
      </c>
      <c r="Y85" s="1344" t="e">
        <f ca="1"/>
        <v>#NAME?</v>
      </c>
      <c r="Z85" s="1247"/>
      <c r="AB85" s="1239"/>
      <c r="AC85" s="1239"/>
      <c r="AD85" s="1239"/>
      <c r="AE85" s="1239"/>
    </row>
    <row r="86" spans="1:31" x14ac:dyDescent="0.2">
      <c r="A86" s="1338"/>
      <c r="B86" s="1339"/>
      <c r="C86" s="1340"/>
      <c r="D86" s="1341"/>
      <c r="E86" s="1338"/>
      <c r="F86" s="1339"/>
      <c r="G86" s="1340"/>
      <c r="H86" s="1341"/>
      <c r="I86" s="1338"/>
      <c r="J86" s="1339"/>
      <c r="K86" s="1340"/>
      <c r="L86" s="1341"/>
      <c r="M86" s="1338"/>
      <c r="N86" s="1339"/>
      <c r="O86" s="1340"/>
      <c r="P86" s="1341"/>
      <c r="Q86" s="1239"/>
      <c r="X86" s="1343" t="e">
        <f ca="1"/>
        <v>#NAME?</v>
      </c>
      <c r="Y86" s="1344" t="e">
        <f ca="1"/>
        <v>#NAME?</v>
      </c>
      <c r="Z86" s="1247"/>
      <c r="AB86" s="1239"/>
      <c r="AC86" s="1239"/>
      <c r="AD86" s="1239"/>
      <c r="AE86" s="1239"/>
    </row>
    <row r="87" spans="1:31" x14ac:dyDescent="0.2">
      <c r="A87" s="1338"/>
      <c r="B87" s="1339"/>
      <c r="C87" s="1340"/>
      <c r="D87" s="1341"/>
      <c r="E87" s="1338"/>
      <c r="F87" s="1339"/>
      <c r="G87" s="1340"/>
      <c r="H87" s="1341"/>
      <c r="I87" s="1338"/>
      <c r="J87" s="1339"/>
      <c r="K87" s="1340"/>
      <c r="L87" s="1341"/>
      <c r="M87" s="1338"/>
      <c r="N87" s="1339"/>
      <c r="O87" s="1340"/>
      <c r="P87" s="1341"/>
      <c r="Q87" s="1239"/>
      <c r="X87" s="1343" t="e">
        <f ca="1"/>
        <v>#NAME?</v>
      </c>
      <c r="Y87" s="1344" t="e">
        <f ca="1"/>
        <v>#NAME?</v>
      </c>
      <c r="Z87" s="1247"/>
      <c r="AB87" s="1239"/>
      <c r="AC87" s="1239"/>
      <c r="AD87" s="1239"/>
      <c r="AE87" s="1239"/>
    </row>
    <row r="88" spans="1:31" x14ac:dyDescent="0.2">
      <c r="A88" s="1338"/>
      <c r="B88" s="1339"/>
      <c r="C88" s="1340"/>
      <c r="D88" s="1341"/>
      <c r="E88" s="1338"/>
      <c r="F88" s="1339"/>
      <c r="G88" s="1340"/>
      <c r="H88" s="1341"/>
      <c r="I88" s="1338"/>
      <c r="J88" s="1339"/>
      <c r="K88" s="1340"/>
      <c r="L88" s="1341"/>
      <c r="M88" s="1338"/>
      <c r="N88" s="1339"/>
      <c r="O88" s="1340"/>
      <c r="P88" s="1341"/>
      <c r="Q88" s="1239"/>
      <c r="X88" s="1343" t="e">
        <f ca="1"/>
        <v>#NAME?</v>
      </c>
      <c r="Y88" s="1344" t="e">
        <f ca="1"/>
        <v>#NAME?</v>
      </c>
      <c r="Z88" s="1247"/>
      <c r="AB88" s="1239"/>
      <c r="AC88" s="1239"/>
      <c r="AD88" s="1239"/>
      <c r="AE88" s="1239"/>
    </row>
    <row r="89" spans="1:31" x14ac:dyDescent="0.2">
      <c r="A89" s="1338"/>
      <c r="B89" s="1339"/>
      <c r="C89" s="1340"/>
      <c r="D89" s="1341"/>
      <c r="E89" s="1338"/>
      <c r="F89" s="1339"/>
      <c r="G89" s="1340"/>
      <c r="H89" s="1341"/>
      <c r="I89" s="1338"/>
      <c r="J89" s="1339"/>
      <c r="K89" s="1340"/>
      <c r="L89" s="1341"/>
      <c r="M89" s="1338"/>
      <c r="N89" s="1339"/>
      <c r="O89" s="1340"/>
      <c r="P89" s="1341"/>
      <c r="Q89" s="1239"/>
      <c r="X89" s="1343" t="e">
        <f ca="1"/>
        <v>#NAME?</v>
      </c>
      <c r="Y89" s="1344" t="e">
        <f ca="1"/>
        <v>#NAME?</v>
      </c>
      <c r="Z89" s="1247"/>
      <c r="AB89" s="1239"/>
      <c r="AC89" s="1239"/>
      <c r="AD89" s="1239"/>
      <c r="AE89" s="1239"/>
    </row>
    <row r="90" spans="1:31" x14ac:dyDescent="0.2">
      <c r="A90" s="1338"/>
      <c r="B90" s="1339"/>
      <c r="C90" s="1340"/>
      <c r="D90" s="1341"/>
      <c r="E90" s="1338"/>
      <c r="F90" s="1339"/>
      <c r="G90" s="1340"/>
      <c r="H90" s="1341"/>
      <c r="I90" s="1338"/>
      <c r="J90" s="1339"/>
      <c r="K90" s="1340"/>
      <c r="L90" s="1341"/>
      <c r="M90" s="1338"/>
      <c r="N90" s="1339"/>
      <c r="O90" s="1340"/>
      <c r="P90" s="1341"/>
      <c r="Q90" s="1239"/>
      <c r="X90" s="1343" t="e">
        <f ca="1"/>
        <v>#NAME?</v>
      </c>
      <c r="Y90" s="1344" t="e">
        <f ca="1"/>
        <v>#NAME?</v>
      </c>
      <c r="Z90" s="1247"/>
      <c r="AB90" s="1239"/>
      <c r="AC90" s="1239"/>
      <c r="AD90" s="1239"/>
      <c r="AE90" s="1239"/>
    </row>
    <row r="91" spans="1:31" x14ac:dyDescent="0.2">
      <c r="A91" s="1338"/>
      <c r="B91" s="1339"/>
      <c r="C91" s="1340"/>
      <c r="D91" s="1341"/>
      <c r="E91" s="1338"/>
      <c r="F91" s="1339"/>
      <c r="G91" s="1340"/>
      <c r="H91" s="1341"/>
      <c r="I91" s="1338"/>
      <c r="J91" s="1339"/>
      <c r="K91" s="1340"/>
      <c r="L91" s="1341"/>
      <c r="M91" s="1338"/>
      <c r="N91" s="1339"/>
      <c r="O91" s="1340"/>
      <c r="P91" s="1341"/>
      <c r="Q91" s="1239"/>
      <c r="X91" s="1343" t="e">
        <f ca="1"/>
        <v>#NAME?</v>
      </c>
      <c r="Y91" s="1344" t="e">
        <f ca="1"/>
        <v>#NAME?</v>
      </c>
      <c r="Z91" s="1247"/>
      <c r="AB91" s="1239"/>
      <c r="AC91" s="1239"/>
      <c r="AD91" s="1239"/>
      <c r="AE91" s="1239"/>
    </row>
    <row r="92" spans="1:31" x14ac:dyDescent="0.2">
      <c r="A92" s="1338"/>
      <c r="B92" s="1339"/>
      <c r="C92" s="1340"/>
      <c r="D92" s="1341"/>
      <c r="E92" s="1338"/>
      <c r="F92" s="1339"/>
      <c r="G92" s="1340"/>
      <c r="H92" s="1341"/>
      <c r="I92" s="1338"/>
      <c r="J92" s="1339"/>
      <c r="K92" s="1340"/>
      <c r="L92" s="1341"/>
      <c r="M92" s="1338"/>
      <c r="N92" s="1339"/>
      <c r="O92" s="1340"/>
      <c r="P92" s="1341"/>
      <c r="Q92" s="1239"/>
      <c r="X92" s="1343" t="e">
        <f ca="1"/>
        <v>#NAME?</v>
      </c>
      <c r="Y92" s="1344" t="e">
        <f ca="1"/>
        <v>#NAME?</v>
      </c>
      <c r="Z92" s="1247"/>
      <c r="AB92" s="1239"/>
      <c r="AC92" s="1239"/>
      <c r="AD92" s="1239"/>
      <c r="AE92" s="1239"/>
    </row>
    <row r="93" spans="1:31" x14ac:dyDescent="0.2">
      <c r="A93" s="1338"/>
      <c r="B93" s="1339"/>
      <c r="C93" s="1340"/>
      <c r="D93" s="1341"/>
      <c r="E93" s="1338"/>
      <c r="F93" s="1339"/>
      <c r="G93" s="1340"/>
      <c r="H93" s="1341"/>
      <c r="I93" s="1338"/>
      <c r="J93" s="1339"/>
      <c r="K93" s="1340"/>
      <c r="L93" s="1341"/>
      <c r="M93" s="1338"/>
      <c r="N93" s="1339"/>
      <c r="O93" s="1340"/>
      <c r="P93" s="1341"/>
      <c r="Q93" s="1239"/>
      <c r="X93" s="1343" t="e">
        <f ca="1"/>
        <v>#NAME?</v>
      </c>
      <c r="Y93" s="1344" t="e">
        <f ca="1"/>
        <v>#NAME?</v>
      </c>
      <c r="Z93" s="1247"/>
      <c r="AB93" s="1239"/>
      <c r="AC93" s="1239"/>
      <c r="AD93" s="1239"/>
      <c r="AE93" s="1239"/>
    </row>
    <row r="94" spans="1:31" x14ac:dyDescent="0.2">
      <c r="A94" s="1338"/>
      <c r="B94" s="1339"/>
      <c r="C94" s="1340"/>
      <c r="D94" s="1341"/>
      <c r="E94" s="1338"/>
      <c r="F94" s="1339"/>
      <c r="G94" s="1340"/>
      <c r="H94" s="1341"/>
      <c r="I94" s="1338"/>
      <c r="J94" s="1339"/>
      <c r="K94" s="1340"/>
      <c r="L94" s="1341"/>
      <c r="M94" s="1338"/>
      <c r="N94" s="1339"/>
      <c r="O94" s="1340"/>
      <c r="P94" s="1341"/>
      <c r="Q94" s="1239"/>
      <c r="X94" s="1343" t="e">
        <f ca="1"/>
        <v>#NAME?</v>
      </c>
      <c r="Y94" s="1344" t="e">
        <f ca="1"/>
        <v>#NAME?</v>
      </c>
      <c r="Z94" s="1247"/>
      <c r="AB94" s="1239"/>
      <c r="AC94" s="1239"/>
      <c r="AD94" s="1239"/>
      <c r="AE94" s="1239"/>
    </row>
    <row r="95" spans="1:31" x14ac:dyDescent="0.2">
      <c r="A95" s="1338"/>
      <c r="B95" s="1339"/>
      <c r="C95" s="1340"/>
      <c r="D95" s="1341"/>
      <c r="E95" s="1338"/>
      <c r="F95" s="1339"/>
      <c r="G95" s="1340"/>
      <c r="H95" s="1341"/>
      <c r="I95" s="1338"/>
      <c r="J95" s="1339"/>
      <c r="K95" s="1340"/>
      <c r="L95" s="1341"/>
      <c r="M95" s="1338"/>
      <c r="N95" s="1339"/>
      <c r="O95" s="1340"/>
      <c r="P95" s="1341"/>
      <c r="Q95" s="1239"/>
      <c r="X95" s="1343" t="e">
        <f ca="1"/>
        <v>#NAME?</v>
      </c>
      <c r="Y95" s="1344" t="e">
        <f ca="1"/>
        <v>#NAME?</v>
      </c>
      <c r="Z95" s="1247"/>
      <c r="AB95" s="1239"/>
      <c r="AC95" s="1239"/>
      <c r="AD95" s="1239"/>
      <c r="AE95" s="1239"/>
    </row>
    <row r="96" spans="1:31" x14ac:dyDescent="0.2">
      <c r="A96" s="1338"/>
      <c r="B96" s="1339"/>
      <c r="C96" s="1340"/>
      <c r="D96" s="1341"/>
      <c r="E96" s="1338"/>
      <c r="F96" s="1339"/>
      <c r="G96" s="1340"/>
      <c r="H96" s="1341"/>
      <c r="I96" s="1338"/>
      <c r="J96" s="1339"/>
      <c r="K96" s="1340"/>
      <c r="L96" s="1341"/>
      <c r="M96" s="1338"/>
      <c r="N96" s="1339"/>
      <c r="O96" s="1340"/>
      <c r="P96" s="1341"/>
      <c r="Q96" s="1239"/>
      <c r="X96" s="1343" t="e">
        <f ca="1"/>
        <v>#NAME?</v>
      </c>
      <c r="Y96" s="1344" t="e">
        <f ca="1"/>
        <v>#NAME?</v>
      </c>
      <c r="Z96" s="1247"/>
      <c r="AB96" s="1239"/>
      <c r="AC96" s="1239"/>
      <c r="AD96" s="1239"/>
      <c r="AE96" s="1239"/>
    </row>
    <row r="97" spans="1:31" x14ac:dyDescent="0.2">
      <c r="A97" s="1338"/>
      <c r="B97" s="1339"/>
      <c r="C97" s="1340"/>
      <c r="D97" s="1341"/>
      <c r="E97" s="1338"/>
      <c r="F97" s="1339"/>
      <c r="G97" s="1340"/>
      <c r="H97" s="1341"/>
      <c r="I97" s="1338"/>
      <c r="J97" s="1339"/>
      <c r="K97" s="1340"/>
      <c r="L97" s="1341"/>
      <c r="M97" s="1338"/>
      <c r="N97" s="1339"/>
      <c r="O97" s="1340"/>
      <c r="P97" s="1341"/>
      <c r="Q97" s="1239"/>
      <c r="X97" s="1343" t="e">
        <f ca="1"/>
        <v>#NAME?</v>
      </c>
      <c r="Y97" s="1344" t="e">
        <f ca="1"/>
        <v>#NAME?</v>
      </c>
      <c r="Z97" s="1247"/>
      <c r="AB97" s="1239"/>
      <c r="AC97" s="1239"/>
      <c r="AD97" s="1239"/>
      <c r="AE97" s="1239"/>
    </row>
    <row r="98" spans="1:31" x14ac:dyDescent="0.2">
      <c r="A98" s="1338"/>
      <c r="B98" s="1339"/>
      <c r="C98" s="1340"/>
      <c r="D98" s="1341"/>
      <c r="E98" s="1338"/>
      <c r="F98" s="1339"/>
      <c r="G98" s="1340"/>
      <c r="H98" s="1341"/>
      <c r="I98" s="1338"/>
      <c r="J98" s="1339"/>
      <c r="K98" s="1340"/>
      <c r="L98" s="1341"/>
      <c r="M98" s="1338"/>
      <c r="N98" s="1339"/>
      <c r="O98" s="1340"/>
      <c r="P98" s="1341"/>
      <c r="Q98" s="1239"/>
      <c r="X98" s="1343" t="e">
        <f ca="1"/>
        <v>#NAME?</v>
      </c>
      <c r="Y98" s="1344" t="e">
        <f ca="1"/>
        <v>#NAME?</v>
      </c>
      <c r="Z98" s="1247"/>
      <c r="AB98" s="1239"/>
      <c r="AC98" s="1239"/>
      <c r="AD98" s="1239"/>
      <c r="AE98" s="1239"/>
    </row>
    <row r="99" spans="1:31" x14ac:dyDescent="0.2">
      <c r="A99" s="1338"/>
      <c r="B99" s="1339"/>
      <c r="C99" s="1340"/>
      <c r="D99" s="1341"/>
      <c r="E99" s="1338"/>
      <c r="F99" s="1339"/>
      <c r="G99" s="1340"/>
      <c r="H99" s="1341"/>
      <c r="I99" s="1338"/>
      <c r="J99" s="1339"/>
      <c r="K99" s="1340"/>
      <c r="L99" s="1341"/>
      <c r="M99" s="1338"/>
      <c r="N99" s="1339"/>
      <c r="O99" s="1340"/>
      <c r="P99" s="1341"/>
      <c r="Q99" s="1239"/>
      <c r="X99" s="1343" t="e">
        <f ca="1"/>
        <v>#NAME?</v>
      </c>
      <c r="Y99" s="1344" t="e">
        <f ca="1"/>
        <v>#NAME?</v>
      </c>
      <c r="Z99" s="1247"/>
      <c r="AB99" s="1239"/>
      <c r="AC99" s="1239"/>
      <c r="AD99" s="1239"/>
      <c r="AE99" s="1239"/>
    </row>
    <row r="100" spans="1:31" x14ac:dyDescent="0.2">
      <c r="A100" s="1338"/>
      <c r="B100" s="1339"/>
      <c r="C100" s="1340"/>
      <c r="D100" s="1341"/>
      <c r="E100" s="1338"/>
      <c r="F100" s="1339"/>
      <c r="G100" s="1340"/>
      <c r="H100" s="1341"/>
      <c r="I100" s="1338"/>
      <c r="J100" s="1339"/>
      <c r="K100" s="1340"/>
      <c r="L100" s="1341"/>
      <c r="M100" s="1338"/>
      <c r="N100" s="1339"/>
      <c r="O100" s="1340"/>
      <c r="P100" s="1341"/>
      <c r="Q100" s="1239"/>
      <c r="X100" s="1343" t="e">
        <f ca="1"/>
        <v>#NAME?</v>
      </c>
      <c r="Y100" s="1344" t="e">
        <f ca="1"/>
        <v>#NAME?</v>
      </c>
      <c r="Z100" s="1247"/>
      <c r="AB100" s="1239"/>
      <c r="AC100" s="1239"/>
      <c r="AD100" s="1239"/>
      <c r="AE100" s="1239"/>
    </row>
    <row r="101" spans="1:31" x14ac:dyDescent="0.2">
      <c r="A101" s="1338"/>
      <c r="B101" s="1339"/>
      <c r="C101" s="1340"/>
      <c r="D101" s="1341"/>
      <c r="E101" s="1338"/>
      <c r="F101" s="1339"/>
      <c r="G101" s="1340"/>
      <c r="H101" s="1341"/>
      <c r="I101" s="1338"/>
      <c r="J101" s="1339"/>
      <c r="K101" s="1340"/>
      <c r="L101" s="1341"/>
      <c r="M101" s="1338"/>
      <c r="N101" s="1339"/>
      <c r="O101" s="1340"/>
      <c r="P101" s="1341"/>
      <c r="Q101" s="1239"/>
      <c r="X101" s="1343" t="e">
        <f ca="1"/>
        <v>#NAME?</v>
      </c>
      <c r="Y101" s="1344" t="e">
        <f ca="1"/>
        <v>#NAME?</v>
      </c>
      <c r="Z101" s="1247"/>
      <c r="AB101" s="1239"/>
      <c r="AC101" s="1239"/>
      <c r="AD101" s="1239"/>
      <c r="AE101" s="1239"/>
    </row>
    <row r="102" spans="1:31" x14ac:dyDescent="0.2">
      <c r="A102" s="1338"/>
      <c r="B102" s="1339"/>
      <c r="C102" s="1340"/>
      <c r="D102" s="1341"/>
      <c r="E102" s="1338"/>
      <c r="F102" s="1339"/>
      <c r="G102" s="1340"/>
      <c r="H102" s="1341"/>
      <c r="I102" s="1338"/>
      <c r="J102" s="1339"/>
      <c r="K102" s="1340"/>
      <c r="L102" s="1341"/>
      <c r="M102" s="1338"/>
      <c r="N102" s="1339"/>
      <c r="O102" s="1340"/>
      <c r="P102" s="1341"/>
      <c r="Q102" s="1239"/>
      <c r="X102" s="1343" t="e">
        <f ca="1"/>
        <v>#NAME?</v>
      </c>
      <c r="Y102" s="1344" t="e">
        <f ca="1"/>
        <v>#NAME?</v>
      </c>
      <c r="Z102" s="1247"/>
      <c r="AB102" s="1239"/>
      <c r="AC102" s="1239"/>
      <c r="AD102" s="1239"/>
      <c r="AE102" s="1239"/>
    </row>
    <row r="103" spans="1:31" x14ac:dyDescent="0.2">
      <c r="A103" s="1338"/>
      <c r="B103" s="1339"/>
      <c r="C103" s="1340"/>
      <c r="D103" s="1341"/>
      <c r="E103" s="1338"/>
      <c r="F103" s="1339"/>
      <c r="G103" s="1340"/>
      <c r="H103" s="1341"/>
      <c r="I103" s="1338"/>
      <c r="J103" s="1339"/>
      <c r="K103" s="1340"/>
      <c r="L103" s="1341"/>
      <c r="M103" s="1338"/>
      <c r="N103" s="1339"/>
      <c r="O103" s="1340"/>
      <c r="P103" s="1341"/>
      <c r="Q103" s="1239"/>
      <c r="X103" s="1343" t="e">
        <f ca="1"/>
        <v>#NAME?</v>
      </c>
      <c r="Y103" s="1344" t="e">
        <f ca="1"/>
        <v>#NAME?</v>
      </c>
      <c r="Z103" s="1247"/>
      <c r="AB103" s="1239"/>
      <c r="AC103" s="1239"/>
      <c r="AD103" s="1239"/>
      <c r="AE103" s="1239"/>
    </row>
    <row r="104" spans="1:31" x14ac:dyDescent="0.2">
      <c r="A104" s="1338"/>
      <c r="B104" s="1339"/>
      <c r="C104" s="1340"/>
      <c r="D104" s="1341"/>
      <c r="E104" s="1338"/>
      <c r="F104" s="1339"/>
      <c r="G104" s="1340"/>
      <c r="H104" s="1341"/>
      <c r="I104" s="1338"/>
      <c r="J104" s="1339"/>
      <c r="K104" s="1340"/>
      <c r="L104" s="1341"/>
      <c r="M104" s="1338"/>
      <c r="N104" s="1339"/>
      <c r="O104" s="1340"/>
      <c r="P104" s="1341"/>
      <c r="Q104" s="1239"/>
      <c r="X104" s="1343" t="e">
        <f ca="1"/>
        <v>#NAME?</v>
      </c>
      <c r="Y104" s="1344" t="e">
        <f ca="1"/>
        <v>#NAME?</v>
      </c>
      <c r="Z104" s="1247"/>
      <c r="AB104" s="1239"/>
      <c r="AC104" s="1239"/>
      <c r="AD104" s="1239"/>
      <c r="AE104" s="1239"/>
    </row>
    <row r="105" spans="1:31" x14ac:dyDescent="0.2">
      <c r="A105" s="1338"/>
      <c r="B105" s="1339"/>
      <c r="C105" s="1340"/>
      <c r="D105" s="1341"/>
      <c r="E105" s="1338"/>
      <c r="F105" s="1339"/>
      <c r="G105" s="1340"/>
      <c r="H105" s="1341"/>
      <c r="I105" s="1338"/>
      <c r="J105" s="1339"/>
      <c r="K105" s="1340"/>
      <c r="L105" s="1341"/>
      <c r="M105" s="1338"/>
      <c r="N105" s="1339"/>
      <c r="O105" s="1340"/>
      <c r="P105" s="1341"/>
      <c r="Q105" s="1239"/>
      <c r="X105" s="1343" t="e">
        <f ca="1"/>
        <v>#NAME?</v>
      </c>
      <c r="Y105" s="1344" t="e">
        <f ca="1"/>
        <v>#NAME?</v>
      </c>
      <c r="Z105" s="1247"/>
      <c r="AB105" s="1239"/>
      <c r="AC105" s="1239"/>
      <c r="AD105" s="1239"/>
      <c r="AE105" s="1239"/>
    </row>
    <row r="106" spans="1:31" x14ac:dyDescent="0.2">
      <c r="A106" s="1338"/>
      <c r="B106" s="1339"/>
      <c r="C106" s="1340"/>
      <c r="D106" s="1341"/>
      <c r="E106" s="1338"/>
      <c r="F106" s="1339"/>
      <c r="G106" s="1340"/>
      <c r="H106" s="1341"/>
      <c r="I106" s="1338"/>
      <c r="J106" s="1339"/>
      <c r="K106" s="1340"/>
      <c r="L106" s="1341"/>
      <c r="M106" s="1338"/>
      <c r="N106" s="1339"/>
      <c r="O106" s="1340"/>
      <c r="P106" s="1341"/>
      <c r="Q106" s="1239"/>
      <c r="X106" s="1343" t="e">
        <f ca="1"/>
        <v>#NAME?</v>
      </c>
      <c r="Y106" s="1344" t="e">
        <f ca="1"/>
        <v>#NAME?</v>
      </c>
      <c r="Z106" s="1247"/>
      <c r="AB106" s="1239"/>
      <c r="AC106" s="1239"/>
      <c r="AD106" s="1239"/>
      <c r="AE106" s="1239"/>
    </row>
    <row r="107" spans="1:31" x14ac:dyDescent="0.2">
      <c r="A107" s="1338"/>
      <c r="B107" s="1339"/>
      <c r="C107" s="1340"/>
      <c r="D107" s="1341"/>
      <c r="E107" s="1338"/>
      <c r="F107" s="1339"/>
      <c r="G107" s="1340"/>
      <c r="H107" s="1341"/>
      <c r="I107" s="1338"/>
      <c r="J107" s="1339"/>
      <c r="K107" s="1340"/>
      <c r="L107" s="1341"/>
      <c r="M107" s="1338"/>
      <c r="N107" s="1339"/>
      <c r="O107" s="1340"/>
      <c r="P107" s="1341"/>
      <c r="Q107" s="1239"/>
      <c r="X107" s="1343" t="e">
        <f ca="1"/>
        <v>#NAME?</v>
      </c>
      <c r="Y107" s="1344" t="e">
        <f ca="1"/>
        <v>#NAME?</v>
      </c>
      <c r="Z107" s="1247"/>
      <c r="AB107" s="1239"/>
      <c r="AC107" s="1239"/>
      <c r="AD107" s="1239"/>
      <c r="AE107" s="1239"/>
    </row>
    <row r="108" spans="1:31" x14ac:dyDescent="0.2">
      <c r="A108" s="1338"/>
      <c r="B108" s="1339"/>
      <c r="C108" s="1340"/>
      <c r="D108" s="1341"/>
      <c r="E108" s="1338"/>
      <c r="F108" s="1339"/>
      <c r="G108" s="1340"/>
      <c r="H108" s="1341"/>
      <c r="I108" s="1338"/>
      <c r="J108" s="1339"/>
      <c r="K108" s="1340"/>
      <c r="L108" s="1341"/>
      <c r="M108" s="1338"/>
      <c r="N108" s="1339"/>
      <c r="O108" s="1340"/>
      <c r="P108" s="1341"/>
      <c r="Q108" s="1239"/>
      <c r="X108" s="1343" t="e">
        <f ca="1"/>
        <v>#NAME?</v>
      </c>
      <c r="Y108" s="1344" t="e">
        <f ca="1"/>
        <v>#NAME?</v>
      </c>
      <c r="Z108" s="1247"/>
      <c r="AB108" s="1239"/>
      <c r="AC108" s="1239"/>
      <c r="AD108" s="1239"/>
      <c r="AE108" s="1239"/>
    </row>
    <row r="109" spans="1:31" x14ac:dyDescent="0.2">
      <c r="A109" s="1338"/>
      <c r="B109" s="1339"/>
      <c r="C109" s="1340"/>
      <c r="D109" s="1341"/>
      <c r="E109" s="1338"/>
      <c r="F109" s="1339"/>
      <c r="G109" s="1340"/>
      <c r="H109" s="1341"/>
      <c r="I109" s="1338"/>
      <c r="J109" s="1339"/>
      <c r="K109" s="1340"/>
      <c r="L109" s="1341"/>
      <c r="M109" s="1338"/>
      <c r="N109" s="1339"/>
      <c r="O109" s="1340"/>
      <c r="P109" s="1341"/>
      <c r="Q109" s="1239"/>
      <c r="X109" s="1343" t="e">
        <f ca="1"/>
        <v>#NAME?</v>
      </c>
      <c r="Y109" s="1344" t="e">
        <f ca="1"/>
        <v>#NAME?</v>
      </c>
      <c r="Z109" s="1247"/>
      <c r="AB109" s="1239"/>
      <c r="AC109" s="1239"/>
      <c r="AD109" s="1239"/>
      <c r="AE109" s="1239"/>
    </row>
    <row r="110" spans="1:31" x14ac:dyDescent="0.2">
      <c r="A110" s="1338"/>
      <c r="B110" s="1339"/>
      <c r="C110" s="1340"/>
      <c r="D110" s="1341"/>
      <c r="E110" s="1338"/>
      <c r="F110" s="1339"/>
      <c r="G110" s="1340"/>
      <c r="H110" s="1341"/>
      <c r="I110" s="1338"/>
      <c r="J110" s="1339"/>
      <c r="K110" s="1340"/>
      <c r="L110" s="1341"/>
      <c r="M110" s="1338"/>
      <c r="N110" s="1339"/>
      <c r="O110" s="1340"/>
      <c r="P110" s="1341"/>
      <c r="Q110" s="1239"/>
      <c r="X110" s="1343" t="e">
        <f ca="1"/>
        <v>#NAME?</v>
      </c>
      <c r="Y110" s="1344" t="e">
        <f ca="1"/>
        <v>#NAME?</v>
      </c>
      <c r="Z110" s="1247"/>
      <c r="AB110" s="1239"/>
      <c r="AC110" s="1239"/>
      <c r="AD110" s="1239"/>
      <c r="AE110" s="1239"/>
    </row>
    <row r="111" spans="1:31" x14ac:dyDescent="0.2">
      <c r="A111" s="1338"/>
      <c r="B111" s="1339"/>
      <c r="C111" s="1340"/>
      <c r="D111" s="1341"/>
      <c r="E111" s="1338"/>
      <c r="F111" s="1339"/>
      <c r="G111" s="1340"/>
      <c r="H111" s="1341"/>
      <c r="I111" s="1338"/>
      <c r="J111" s="1339"/>
      <c r="K111" s="1340"/>
      <c r="L111" s="1341"/>
      <c r="M111" s="1338"/>
      <c r="N111" s="1339"/>
      <c r="O111" s="1340"/>
      <c r="P111" s="1341"/>
      <c r="Q111" s="1239"/>
      <c r="X111" s="1343" t="e">
        <f ca="1"/>
        <v>#NAME?</v>
      </c>
      <c r="Y111" s="1344" t="e">
        <f ca="1"/>
        <v>#NAME?</v>
      </c>
      <c r="Z111" s="1247"/>
      <c r="AB111" s="1239"/>
      <c r="AC111" s="1239"/>
      <c r="AD111" s="1239"/>
      <c r="AE111" s="1239"/>
    </row>
    <row r="112" spans="1:31" x14ac:dyDescent="0.2">
      <c r="A112" s="1338"/>
      <c r="B112" s="1339"/>
      <c r="C112" s="1340"/>
      <c r="D112" s="1341"/>
      <c r="E112" s="1338"/>
      <c r="F112" s="1339"/>
      <c r="G112" s="1340"/>
      <c r="H112" s="1341"/>
      <c r="I112" s="1338"/>
      <c r="J112" s="1339"/>
      <c r="K112" s="1340"/>
      <c r="L112" s="1341"/>
      <c r="M112" s="1338"/>
      <c r="N112" s="1339"/>
      <c r="O112" s="1340"/>
      <c r="P112" s="1341"/>
      <c r="Q112" s="1239"/>
      <c r="X112" s="1343" t="e">
        <f ca="1"/>
        <v>#NAME?</v>
      </c>
      <c r="Y112" s="1344" t="e">
        <f ca="1"/>
        <v>#NAME?</v>
      </c>
      <c r="Z112" s="1247"/>
      <c r="AB112" s="1239"/>
      <c r="AC112" s="1239"/>
      <c r="AD112" s="1239"/>
      <c r="AE112" s="1239"/>
    </row>
    <row r="113" spans="1:31" x14ac:dyDescent="0.2">
      <c r="A113" s="1338"/>
      <c r="B113" s="1339"/>
      <c r="C113" s="1340"/>
      <c r="D113" s="1341"/>
      <c r="E113" s="1338"/>
      <c r="F113" s="1339"/>
      <c r="G113" s="1340"/>
      <c r="H113" s="1341"/>
      <c r="I113" s="1338"/>
      <c r="J113" s="1339"/>
      <c r="K113" s="1340"/>
      <c r="L113" s="1341"/>
      <c r="M113" s="1338"/>
      <c r="N113" s="1339"/>
      <c r="O113" s="1340"/>
      <c r="P113" s="1341"/>
      <c r="Q113" s="1239"/>
      <c r="X113" s="1343" t="e">
        <f ca="1"/>
        <v>#NAME?</v>
      </c>
      <c r="Y113" s="1344" t="e">
        <f ca="1"/>
        <v>#NAME?</v>
      </c>
      <c r="Z113" s="1247"/>
      <c r="AB113" s="1239"/>
      <c r="AC113" s="1239"/>
      <c r="AD113" s="1239"/>
      <c r="AE113" s="1239"/>
    </row>
    <row r="114" spans="1:31" x14ac:dyDescent="0.2">
      <c r="A114" s="1338"/>
      <c r="B114" s="1339"/>
      <c r="C114" s="1340"/>
      <c r="D114" s="1341"/>
      <c r="E114" s="1338"/>
      <c r="F114" s="1339"/>
      <c r="G114" s="1340"/>
      <c r="H114" s="1341"/>
      <c r="I114" s="1338"/>
      <c r="J114" s="1339"/>
      <c r="K114" s="1340"/>
      <c r="L114" s="1341"/>
      <c r="M114" s="1338"/>
      <c r="N114" s="1339"/>
      <c r="O114" s="1340"/>
      <c r="P114" s="1341"/>
      <c r="Q114" s="1239"/>
      <c r="X114" s="1343" t="e">
        <f ca="1"/>
        <v>#NAME?</v>
      </c>
      <c r="Y114" s="1344" t="e">
        <f ca="1"/>
        <v>#NAME?</v>
      </c>
      <c r="Z114" s="1247"/>
      <c r="AB114" s="1239"/>
      <c r="AC114" s="1239"/>
      <c r="AD114" s="1239"/>
      <c r="AE114" s="1239"/>
    </row>
    <row r="115" spans="1:31" x14ac:dyDescent="0.2">
      <c r="A115" s="1338"/>
      <c r="B115" s="1339"/>
      <c r="C115" s="1340"/>
      <c r="D115" s="1341"/>
      <c r="E115" s="1338"/>
      <c r="F115" s="1339"/>
      <c r="G115" s="1340"/>
      <c r="H115" s="1341"/>
      <c r="I115" s="1338"/>
      <c r="J115" s="1339"/>
      <c r="K115" s="1340"/>
      <c r="L115" s="1341"/>
      <c r="M115" s="1338"/>
      <c r="N115" s="1339"/>
      <c r="O115" s="1340"/>
      <c r="P115" s="1341"/>
      <c r="Q115" s="1239"/>
      <c r="X115" s="1343" t="e">
        <f ca="1"/>
        <v>#NAME?</v>
      </c>
      <c r="Y115" s="1344" t="e">
        <f ca="1"/>
        <v>#NAME?</v>
      </c>
      <c r="Z115" s="1247"/>
      <c r="AB115" s="1239"/>
      <c r="AC115" s="1239"/>
      <c r="AD115" s="1239"/>
      <c r="AE115" s="1239"/>
    </row>
    <row r="116" spans="1:31" x14ac:dyDescent="0.2">
      <c r="A116" s="1338"/>
      <c r="B116" s="1339"/>
      <c r="C116" s="1340"/>
      <c r="D116" s="1341"/>
      <c r="E116" s="1338"/>
      <c r="F116" s="1339"/>
      <c r="G116" s="1340"/>
      <c r="H116" s="1341"/>
      <c r="I116" s="1338"/>
      <c r="J116" s="1339"/>
      <c r="K116" s="1340"/>
      <c r="L116" s="1341"/>
      <c r="M116" s="1338"/>
      <c r="N116" s="1339"/>
      <c r="O116" s="1340"/>
      <c r="P116" s="1341"/>
      <c r="Q116" s="1239"/>
      <c r="X116" s="1343" t="e">
        <f ca="1"/>
        <v>#NAME?</v>
      </c>
      <c r="Y116" s="1344" t="e">
        <f ca="1"/>
        <v>#NAME?</v>
      </c>
      <c r="Z116" s="1247"/>
      <c r="AB116" s="1239"/>
      <c r="AC116" s="1239"/>
      <c r="AD116" s="1239"/>
      <c r="AE116" s="1239"/>
    </row>
    <row r="117" spans="1:31" x14ac:dyDescent="0.2">
      <c r="A117" s="1338"/>
      <c r="B117" s="1339"/>
      <c r="C117" s="1340"/>
      <c r="D117" s="1341"/>
      <c r="E117" s="1338"/>
      <c r="F117" s="1339"/>
      <c r="G117" s="1340"/>
      <c r="H117" s="1341"/>
      <c r="I117" s="1338"/>
      <c r="J117" s="1339"/>
      <c r="K117" s="1340"/>
      <c r="L117" s="1341"/>
      <c r="M117" s="1338"/>
      <c r="N117" s="1339"/>
      <c r="O117" s="1340"/>
      <c r="P117" s="1341"/>
      <c r="Q117" s="1239"/>
      <c r="X117" s="1343" t="e">
        <f ca="1"/>
        <v>#NAME?</v>
      </c>
      <c r="Y117" s="1344" t="e">
        <f ca="1"/>
        <v>#NAME?</v>
      </c>
      <c r="Z117" s="1247"/>
      <c r="AB117" s="1239"/>
      <c r="AC117" s="1239"/>
      <c r="AD117" s="1239"/>
      <c r="AE117" s="1239"/>
    </row>
    <row r="118" spans="1:31" x14ac:dyDescent="0.2">
      <c r="A118" s="1338"/>
      <c r="B118" s="1339"/>
      <c r="C118" s="1340"/>
      <c r="D118" s="1341"/>
      <c r="E118" s="1338"/>
      <c r="F118" s="1339"/>
      <c r="G118" s="1340"/>
      <c r="H118" s="1341"/>
      <c r="I118" s="1338"/>
      <c r="J118" s="1339"/>
      <c r="K118" s="1340"/>
      <c r="L118" s="1341"/>
      <c r="M118" s="1338"/>
      <c r="N118" s="1339"/>
      <c r="O118" s="1340"/>
      <c r="P118" s="1341"/>
      <c r="Q118" s="1239"/>
      <c r="X118" s="1343" t="e">
        <f ca="1"/>
        <v>#NAME?</v>
      </c>
      <c r="Y118" s="1344" t="e">
        <f ca="1"/>
        <v>#NAME?</v>
      </c>
      <c r="Z118" s="1247"/>
      <c r="AB118" s="1239"/>
      <c r="AC118" s="1239"/>
      <c r="AD118" s="1239"/>
      <c r="AE118" s="1239"/>
    </row>
    <row r="119" spans="1:31" x14ac:dyDescent="0.2">
      <c r="A119" s="1338"/>
      <c r="B119" s="1339"/>
      <c r="C119" s="1340"/>
      <c r="D119" s="1341"/>
      <c r="E119" s="1338"/>
      <c r="F119" s="1339"/>
      <c r="G119" s="1340"/>
      <c r="H119" s="1341"/>
      <c r="I119" s="1338"/>
      <c r="J119" s="1339"/>
      <c r="K119" s="1340"/>
      <c r="L119" s="1341"/>
      <c r="M119" s="1338"/>
      <c r="N119" s="1339"/>
      <c r="O119" s="1340"/>
      <c r="P119" s="1341"/>
      <c r="Q119" s="1239"/>
      <c r="X119" s="1343" t="e">
        <f ca="1"/>
        <v>#NAME?</v>
      </c>
      <c r="Y119" s="1344" t="e">
        <f ca="1"/>
        <v>#NAME?</v>
      </c>
      <c r="Z119" s="1247"/>
      <c r="AB119" s="1239"/>
      <c r="AC119" s="1239"/>
      <c r="AD119" s="1239"/>
      <c r="AE119" s="1239"/>
    </row>
    <row r="120" spans="1:31" x14ac:dyDescent="0.2">
      <c r="A120" s="1338"/>
      <c r="B120" s="1339"/>
      <c r="C120" s="1340"/>
      <c r="D120" s="1341"/>
      <c r="E120" s="1338"/>
      <c r="F120" s="1339"/>
      <c r="G120" s="1340"/>
      <c r="H120" s="1341"/>
      <c r="I120" s="1338"/>
      <c r="J120" s="1339"/>
      <c r="K120" s="1340"/>
      <c r="L120" s="1341"/>
      <c r="M120" s="1338"/>
      <c r="N120" s="1339"/>
      <c r="O120" s="1340"/>
      <c r="P120" s="1341"/>
      <c r="Q120" s="1239"/>
      <c r="X120" s="1343" t="e">
        <f ca="1"/>
        <v>#NAME?</v>
      </c>
      <c r="Y120" s="1344" t="e">
        <f ca="1"/>
        <v>#NAME?</v>
      </c>
      <c r="Z120" s="1247"/>
      <c r="AB120" s="1239"/>
      <c r="AC120" s="1239"/>
      <c r="AD120" s="1239"/>
      <c r="AE120" s="1239"/>
    </row>
    <row r="121" spans="1:31" x14ac:dyDescent="0.2">
      <c r="A121" s="1338"/>
      <c r="B121" s="1339"/>
      <c r="C121" s="1340"/>
      <c r="D121" s="1341"/>
      <c r="E121" s="1338"/>
      <c r="F121" s="1339"/>
      <c r="G121" s="1340"/>
      <c r="H121" s="1341"/>
      <c r="I121" s="1338"/>
      <c r="J121" s="1339"/>
      <c r="K121" s="1340"/>
      <c r="L121" s="1341"/>
      <c r="M121" s="1338"/>
      <c r="N121" s="1339"/>
      <c r="O121" s="1340"/>
      <c r="P121" s="1341"/>
      <c r="Q121" s="1239"/>
      <c r="X121" s="1343" t="e">
        <f ca="1"/>
        <v>#NAME?</v>
      </c>
      <c r="Y121" s="1344" t="e">
        <f ca="1"/>
        <v>#NAME?</v>
      </c>
      <c r="Z121" s="1247"/>
      <c r="AB121" s="1239"/>
      <c r="AC121" s="1239"/>
      <c r="AD121" s="1239"/>
      <c r="AE121" s="1239"/>
    </row>
    <row r="122" spans="1:31" x14ac:dyDescent="0.2">
      <c r="A122" s="1338"/>
      <c r="B122" s="1339"/>
      <c r="C122" s="1340"/>
      <c r="D122" s="1341"/>
      <c r="E122" s="1338"/>
      <c r="F122" s="1339"/>
      <c r="G122" s="1340"/>
      <c r="H122" s="1341"/>
      <c r="I122" s="1338"/>
      <c r="J122" s="1339"/>
      <c r="K122" s="1340"/>
      <c r="L122" s="1341"/>
      <c r="M122" s="1338"/>
      <c r="N122" s="1339"/>
      <c r="O122" s="1340"/>
      <c r="P122" s="1341"/>
      <c r="Q122" s="1239"/>
      <c r="X122" s="1343" t="e">
        <f ca="1"/>
        <v>#NAME?</v>
      </c>
      <c r="Y122" s="1344" t="e">
        <f ca="1"/>
        <v>#NAME?</v>
      </c>
      <c r="Z122" s="1247"/>
      <c r="AB122" s="1239"/>
      <c r="AC122" s="1239"/>
      <c r="AD122" s="1239"/>
      <c r="AE122" s="1239"/>
    </row>
    <row r="123" spans="1:31" x14ac:dyDescent="0.2">
      <c r="A123" s="1338"/>
      <c r="B123" s="1339"/>
      <c r="C123" s="1340"/>
      <c r="D123" s="1341"/>
      <c r="E123" s="1338"/>
      <c r="F123" s="1339"/>
      <c r="G123" s="1340"/>
      <c r="H123" s="1341"/>
      <c r="I123" s="1338"/>
      <c r="J123" s="1339"/>
      <c r="K123" s="1340"/>
      <c r="L123" s="1341"/>
      <c r="M123" s="1338"/>
      <c r="N123" s="1339"/>
      <c r="O123" s="1340"/>
      <c r="P123" s="1341"/>
      <c r="Q123" s="1239"/>
      <c r="X123" s="1343" t="e">
        <f ca="1"/>
        <v>#NAME?</v>
      </c>
      <c r="Y123" s="1344" t="e">
        <f ca="1"/>
        <v>#NAME?</v>
      </c>
      <c r="Z123" s="1247"/>
      <c r="AB123" s="1239"/>
      <c r="AC123" s="1239"/>
      <c r="AD123" s="1239"/>
      <c r="AE123" s="1239"/>
    </row>
    <row r="124" spans="1:31" x14ac:dyDescent="0.2">
      <c r="A124" s="1338"/>
      <c r="B124" s="1339"/>
      <c r="C124" s="1340"/>
      <c r="D124" s="1341"/>
      <c r="E124" s="1338"/>
      <c r="F124" s="1339"/>
      <c r="G124" s="1340"/>
      <c r="H124" s="1341"/>
      <c r="I124" s="1338"/>
      <c r="J124" s="1339"/>
      <c r="K124" s="1340"/>
      <c r="L124" s="1341"/>
      <c r="M124" s="1338"/>
      <c r="N124" s="1339"/>
      <c r="O124" s="1340"/>
      <c r="P124" s="1341"/>
      <c r="Q124" s="1239"/>
      <c r="X124" s="1343" t="e">
        <f ca="1"/>
        <v>#NAME?</v>
      </c>
      <c r="Y124" s="1344" t="e">
        <f ca="1"/>
        <v>#NAME?</v>
      </c>
      <c r="Z124" s="1247"/>
      <c r="AB124" s="1239"/>
      <c r="AC124" s="1239"/>
      <c r="AD124" s="1239"/>
      <c r="AE124" s="1239"/>
    </row>
    <row r="125" spans="1:31" x14ac:dyDescent="0.2">
      <c r="A125" s="1338"/>
      <c r="B125" s="1339"/>
      <c r="C125" s="1340"/>
      <c r="D125" s="1341"/>
      <c r="E125" s="1338"/>
      <c r="F125" s="1339"/>
      <c r="G125" s="1340"/>
      <c r="H125" s="1341"/>
      <c r="I125" s="1338"/>
      <c r="J125" s="1339"/>
      <c r="K125" s="1340"/>
      <c r="L125" s="1341"/>
      <c r="M125" s="1338"/>
      <c r="N125" s="1339"/>
      <c r="O125" s="1340"/>
      <c r="P125" s="1341"/>
      <c r="Q125" s="1239"/>
      <c r="X125" s="1343" t="e">
        <f ca="1"/>
        <v>#NAME?</v>
      </c>
      <c r="Y125" s="1344" t="e">
        <f ca="1"/>
        <v>#NAME?</v>
      </c>
      <c r="Z125" s="1247"/>
      <c r="AB125" s="1239"/>
      <c r="AC125" s="1239"/>
      <c r="AD125" s="1239"/>
      <c r="AE125" s="1239"/>
    </row>
    <row r="126" spans="1:31" x14ac:dyDescent="0.2">
      <c r="A126" s="1338"/>
      <c r="B126" s="1339"/>
      <c r="C126" s="1340"/>
      <c r="D126" s="1341"/>
      <c r="E126" s="1338"/>
      <c r="F126" s="1339"/>
      <c r="G126" s="1340"/>
      <c r="H126" s="1341"/>
      <c r="I126" s="1338"/>
      <c r="J126" s="1339"/>
      <c r="K126" s="1340"/>
      <c r="L126" s="1341"/>
      <c r="M126" s="1338"/>
      <c r="N126" s="1339"/>
      <c r="O126" s="1340"/>
      <c r="P126" s="1341"/>
      <c r="Q126" s="1239"/>
      <c r="X126" s="1343" t="e">
        <f ca="1"/>
        <v>#NAME?</v>
      </c>
      <c r="Y126" s="1344" t="e">
        <f ca="1"/>
        <v>#NAME?</v>
      </c>
      <c r="Z126" s="1247"/>
      <c r="AB126" s="1239"/>
      <c r="AC126" s="1239"/>
      <c r="AD126" s="1239"/>
      <c r="AE126" s="1239"/>
    </row>
    <row r="127" spans="1:31" x14ac:dyDescent="0.2">
      <c r="A127" s="1338"/>
      <c r="B127" s="1339"/>
      <c r="C127" s="1340"/>
      <c r="D127" s="1341"/>
      <c r="E127" s="1338"/>
      <c r="F127" s="1339"/>
      <c r="G127" s="1340"/>
      <c r="H127" s="1341"/>
      <c r="I127" s="1338"/>
      <c r="J127" s="1339"/>
      <c r="K127" s="1340"/>
      <c r="L127" s="1341"/>
      <c r="M127" s="1338"/>
      <c r="N127" s="1339"/>
      <c r="O127" s="1340"/>
      <c r="P127" s="1341"/>
      <c r="Q127" s="1239"/>
      <c r="X127" s="1343" t="e">
        <f ca="1"/>
        <v>#NAME?</v>
      </c>
      <c r="Y127" s="1344" t="e">
        <f ca="1"/>
        <v>#NAME?</v>
      </c>
      <c r="Z127" s="1247"/>
      <c r="AB127" s="1239"/>
      <c r="AC127" s="1239"/>
      <c r="AD127" s="1239"/>
      <c r="AE127" s="1239"/>
    </row>
    <row r="128" spans="1:31" x14ac:dyDescent="0.2">
      <c r="A128" s="1338"/>
      <c r="B128" s="1339"/>
      <c r="C128" s="1340"/>
      <c r="D128" s="1341"/>
      <c r="E128" s="1338"/>
      <c r="F128" s="1339"/>
      <c r="G128" s="1340"/>
      <c r="H128" s="1341"/>
      <c r="I128" s="1338"/>
      <c r="J128" s="1339"/>
      <c r="K128" s="1340"/>
      <c r="L128" s="1341"/>
      <c r="M128" s="1338"/>
      <c r="N128" s="1339"/>
      <c r="O128" s="1340"/>
      <c r="P128" s="1341"/>
      <c r="Q128" s="1239"/>
      <c r="X128" s="1343" t="e">
        <f ca="1"/>
        <v>#NAME?</v>
      </c>
      <c r="Y128" s="1344" t="e">
        <f ca="1"/>
        <v>#NAME?</v>
      </c>
      <c r="Z128" s="1247"/>
      <c r="AB128" s="1239"/>
      <c r="AC128" s="1239"/>
      <c r="AD128" s="1239"/>
      <c r="AE128" s="1239"/>
    </row>
    <row r="129" spans="1:31" x14ac:dyDescent="0.2">
      <c r="A129" s="1338"/>
      <c r="B129" s="1339"/>
      <c r="C129" s="1340"/>
      <c r="D129" s="1341"/>
      <c r="E129" s="1338"/>
      <c r="F129" s="1339"/>
      <c r="G129" s="1340"/>
      <c r="H129" s="1341"/>
      <c r="I129" s="1338"/>
      <c r="J129" s="1339"/>
      <c r="K129" s="1340"/>
      <c r="L129" s="1341"/>
      <c r="M129" s="1338"/>
      <c r="N129" s="1339"/>
      <c r="O129" s="1340"/>
      <c r="P129" s="1341"/>
      <c r="Q129" s="1239"/>
      <c r="X129" s="1343" t="e">
        <f ca="1"/>
        <v>#NAME?</v>
      </c>
      <c r="Y129" s="1344" t="e">
        <f ca="1"/>
        <v>#NAME?</v>
      </c>
      <c r="Z129" s="1247"/>
      <c r="AB129" s="1239"/>
      <c r="AC129" s="1239"/>
      <c r="AD129" s="1239"/>
      <c r="AE129" s="1239"/>
    </row>
    <row r="130" spans="1:31" x14ac:dyDescent="0.2">
      <c r="A130" s="1338"/>
      <c r="B130" s="1339"/>
      <c r="C130" s="1340"/>
      <c r="D130" s="1341"/>
      <c r="E130" s="1338"/>
      <c r="F130" s="1339"/>
      <c r="G130" s="1340"/>
      <c r="H130" s="1341"/>
      <c r="I130" s="1338"/>
      <c r="J130" s="1339"/>
      <c r="K130" s="1340"/>
      <c r="L130" s="1341"/>
      <c r="M130" s="1338"/>
      <c r="N130" s="1339"/>
      <c r="O130" s="1340"/>
      <c r="P130" s="1341"/>
      <c r="Q130" s="1239"/>
      <c r="X130" s="1343" t="e">
        <f ca="1"/>
        <v>#NAME?</v>
      </c>
      <c r="Y130" s="1344" t="e">
        <f ca="1"/>
        <v>#NAME?</v>
      </c>
      <c r="Z130" s="1247"/>
      <c r="AB130" s="1239"/>
      <c r="AC130" s="1239"/>
      <c r="AD130" s="1239"/>
      <c r="AE130" s="1239"/>
    </row>
    <row r="131" spans="1:31" x14ac:dyDescent="0.2">
      <c r="A131" s="1338"/>
      <c r="B131" s="1339"/>
      <c r="C131" s="1340"/>
      <c r="D131" s="1341"/>
      <c r="E131" s="1338"/>
      <c r="F131" s="1339"/>
      <c r="G131" s="1340"/>
      <c r="H131" s="1341"/>
      <c r="I131" s="1338"/>
      <c r="J131" s="1339"/>
      <c r="K131" s="1340"/>
      <c r="L131" s="1341"/>
      <c r="M131" s="1338"/>
      <c r="N131" s="1339"/>
      <c r="O131" s="1340"/>
      <c r="P131" s="1341"/>
      <c r="Q131" s="1239"/>
      <c r="X131" s="1343" t="e">
        <f ca="1"/>
        <v>#NAME?</v>
      </c>
      <c r="Y131" s="1344" t="e">
        <f ca="1"/>
        <v>#NAME?</v>
      </c>
      <c r="Z131" s="1247"/>
      <c r="AB131" s="1239"/>
      <c r="AC131" s="1239"/>
      <c r="AD131" s="1239"/>
      <c r="AE131" s="1239"/>
    </row>
    <row r="132" spans="1:31" x14ac:dyDescent="0.2">
      <c r="A132" s="1338"/>
      <c r="B132" s="1339"/>
      <c r="C132" s="1340"/>
      <c r="D132" s="1341"/>
      <c r="E132" s="1338"/>
      <c r="F132" s="1339"/>
      <c r="G132" s="1340"/>
      <c r="H132" s="1341"/>
      <c r="I132" s="1338"/>
      <c r="J132" s="1339"/>
      <c r="K132" s="1340"/>
      <c r="L132" s="1341"/>
      <c r="M132" s="1338"/>
      <c r="N132" s="1339"/>
      <c r="O132" s="1340"/>
      <c r="P132" s="1341"/>
      <c r="Q132" s="1239"/>
      <c r="X132" s="1343" t="e">
        <f ca="1"/>
        <v>#NAME?</v>
      </c>
      <c r="Y132" s="1344" t="e">
        <f ca="1"/>
        <v>#NAME?</v>
      </c>
      <c r="Z132" s="1247"/>
      <c r="AB132" s="1239"/>
      <c r="AC132" s="1239"/>
      <c r="AD132" s="1239"/>
      <c r="AE132" s="1239"/>
    </row>
    <row r="133" spans="1:31" x14ac:dyDescent="0.2">
      <c r="A133" s="1338"/>
      <c r="B133" s="1339"/>
      <c r="C133" s="1340"/>
      <c r="D133" s="1341"/>
      <c r="E133" s="1338"/>
      <c r="F133" s="1339"/>
      <c r="G133" s="1340"/>
      <c r="H133" s="1341"/>
      <c r="I133" s="1338"/>
      <c r="J133" s="1339"/>
      <c r="K133" s="1340"/>
      <c r="L133" s="1341"/>
      <c r="M133" s="1338"/>
      <c r="N133" s="1339"/>
      <c r="O133" s="1340"/>
      <c r="P133" s="1341"/>
      <c r="Q133" s="1239"/>
      <c r="X133" s="1343" t="e">
        <f ca="1"/>
        <v>#NAME?</v>
      </c>
      <c r="Y133" s="1344" t="e">
        <f ca="1"/>
        <v>#NAME?</v>
      </c>
      <c r="Z133" s="1247"/>
      <c r="AB133" s="1239"/>
      <c r="AC133" s="1239"/>
      <c r="AD133" s="1239"/>
      <c r="AE133" s="1239"/>
    </row>
    <row r="134" spans="1:31" x14ac:dyDescent="0.2">
      <c r="A134" s="1338"/>
      <c r="B134" s="1339"/>
      <c r="C134" s="1340"/>
      <c r="D134" s="1341"/>
      <c r="E134" s="1338"/>
      <c r="F134" s="1339"/>
      <c r="G134" s="1340"/>
      <c r="H134" s="1341"/>
      <c r="I134" s="1338"/>
      <c r="J134" s="1339"/>
      <c r="K134" s="1340"/>
      <c r="L134" s="1341"/>
      <c r="M134" s="1338"/>
      <c r="N134" s="1339"/>
      <c r="O134" s="1340"/>
      <c r="P134" s="1341"/>
      <c r="Q134" s="1239"/>
      <c r="X134" s="1343" t="e">
        <f ca="1"/>
        <v>#NAME?</v>
      </c>
      <c r="Y134" s="1344" t="e">
        <f ca="1"/>
        <v>#NAME?</v>
      </c>
      <c r="Z134" s="1247"/>
      <c r="AB134" s="1239"/>
      <c r="AC134" s="1239"/>
      <c r="AD134" s="1239"/>
      <c r="AE134" s="1239"/>
    </row>
    <row r="135" spans="1:31" x14ac:dyDescent="0.2">
      <c r="A135" s="1338"/>
      <c r="B135" s="1339"/>
      <c r="C135" s="1340"/>
      <c r="D135" s="1341"/>
      <c r="E135" s="1338"/>
      <c r="F135" s="1339"/>
      <c r="G135" s="1340"/>
      <c r="H135" s="1341"/>
      <c r="I135" s="1338"/>
      <c r="J135" s="1339"/>
      <c r="K135" s="1340"/>
      <c r="L135" s="1341"/>
      <c r="M135" s="1338"/>
      <c r="N135" s="1339"/>
      <c r="O135" s="1340"/>
      <c r="P135" s="1341"/>
      <c r="Q135" s="1239"/>
      <c r="X135" s="1343" t="e">
        <f ca="1"/>
        <v>#NAME?</v>
      </c>
      <c r="Y135" s="1344" t="e">
        <f ca="1"/>
        <v>#NAME?</v>
      </c>
      <c r="Z135" s="1247"/>
      <c r="AB135" s="1239"/>
      <c r="AC135" s="1239"/>
      <c r="AD135" s="1239"/>
      <c r="AE135" s="1239"/>
    </row>
    <row r="136" spans="1:31" x14ac:dyDescent="0.2">
      <c r="A136" s="1338"/>
      <c r="B136" s="1339"/>
      <c r="C136" s="1340"/>
      <c r="D136" s="1341"/>
      <c r="E136" s="1338"/>
      <c r="F136" s="1339"/>
      <c r="G136" s="1340"/>
      <c r="H136" s="1341"/>
      <c r="I136" s="1338"/>
      <c r="J136" s="1339"/>
      <c r="K136" s="1340"/>
      <c r="L136" s="1341"/>
      <c r="M136" s="1338"/>
      <c r="N136" s="1339"/>
      <c r="O136" s="1340"/>
      <c r="P136" s="1341"/>
      <c r="Q136" s="1239"/>
      <c r="X136" s="1343" t="e">
        <f ca="1"/>
        <v>#NAME?</v>
      </c>
      <c r="Y136" s="1344" t="e">
        <f ca="1"/>
        <v>#NAME?</v>
      </c>
      <c r="Z136" s="1247"/>
      <c r="AB136" s="1239"/>
      <c r="AC136" s="1239"/>
      <c r="AD136" s="1239"/>
      <c r="AE136" s="1239"/>
    </row>
    <row r="137" spans="1:31" x14ac:dyDescent="0.2">
      <c r="A137" s="1338"/>
      <c r="B137" s="1339"/>
      <c r="C137" s="1340"/>
      <c r="D137" s="1341"/>
      <c r="E137" s="1338"/>
      <c r="F137" s="1339"/>
      <c r="G137" s="1340"/>
      <c r="H137" s="1341"/>
      <c r="I137" s="1338"/>
      <c r="J137" s="1339"/>
      <c r="K137" s="1340"/>
      <c r="L137" s="1341"/>
      <c r="M137" s="1338"/>
      <c r="N137" s="1339"/>
      <c r="O137" s="1340"/>
      <c r="P137" s="1341"/>
      <c r="Q137" s="1239"/>
      <c r="X137" s="1343" t="e">
        <f ca="1"/>
        <v>#NAME?</v>
      </c>
      <c r="Y137" s="1344" t="e">
        <f ca="1"/>
        <v>#NAME?</v>
      </c>
      <c r="Z137" s="1247"/>
      <c r="AB137" s="1239"/>
      <c r="AC137" s="1239"/>
      <c r="AD137" s="1239"/>
      <c r="AE137" s="1239"/>
    </row>
    <row r="138" spans="1:31" x14ac:dyDescent="0.2">
      <c r="A138" s="1338"/>
      <c r="B138" s="1339"/>
      <c r="C138" s="1340"/>
      <c r="D138" s="1341"/>
      <c r="E138" s="1338"/>
      <c r="F138" s="1339"/>
      <c r="G138" s="1340"/>
      <c r="H138" s="1341"/>
      <c r="I138" s="1338"/>
      <c r="J138" s="1339"/>
      <c r="K138" s="1340"/>
      <c r="L138" s="1341"/>
      <c r="M138" s="1338"/>
      <c r="N138" s="1339"/>
      <c r="O138" s="1340"/>
      <c r="P138" s="1341"/>
      <c r="Q138" s="1239"/>
      <c r="X138" s="1343" t="e">
        <f ca="1"/>
        <v>#NAME?</v>
      </c>
      <c r="Y138" s="1344" t="e">
        <f ca="1"/>
        <v>#NAME?</v>
      </c>
      <c r="Z138" s="1247"/>
      <c r="AB138" s="1239"/>
      <c r="AC138" s="1239"/>
      <c r="AD138" s="1239"/>
      <c r="AE138" s="1239"/>
    </row>
    <row r="139" spans="1:31" x14ac:dyDescent="0.2">
      <c r="A139" s="1338"/>
      <c r="B139" s="1339"/>
      <c r="C139" s="1340"/>
      <c r="D139" s="1341"/>
      <c r="E139" s="1338"/>
      <c r="F139" s="1339"/>
      <c r="G139" s="1340"/>
      <c r="H139" s="1341"/>
      <c r="I139" s="1338"/>
      <c r="J139" s="1339"/>
      <c r="K139" s="1340"/>
      <c r="L139" s="1341"/>
      <c r="M139" s="1338"/>
      <c r="N139" s="1339"/>
      <c r="O139" s="1340"/>
      <c r="P139" s="1341"/>
      <c r="Q139" s="1239"/>
      <c r="X139" s="1343" t="e">
        <f ca="1"/>
        <v>#NAME?</v>
      </c>
      <c r="Y139" s="1344" t="e">
        <f ca="1"/>
        <v>#NAME?</v>
      </c>
      <c r="Z139" s="1247"/>
      <c r="AB139" s="1239"/>
      <c r="AC139" s="1239"/>
      <c r="AD139" s="1239"/>
      <c r="AE139" s="1239"/>
    </row>
    <row r="140" spans="1:31" x14ac:dyDescent="0.2">
      <c r="A140" s="1338"/>
      <c r="B140" s="1339"/>
      <c r="C140" s="1340"/>
      <c r="D140" s="1341"/>
      <c r="E140" s="1338"/>
      <c r="F140" s="1339"/>
      <c r="G140" s="1340"/>
      <c r="H140" s="1341"/>
      <c r="I140" s="1338"/>
      <c r="J140" s="1339"/>
      <c r="K140" s="1340"/>
      <c r="L140" s="1341"/>
      <c r="M140" s="1338"/>
      <c r="N140" s="1339"/>
      <c r="O140" s="1340"/>
      <c r="P140" s="1341"/>
      <c r="Q140" s="1239"/>
      <c r="X140" s="1343" t="e">
        <f ca="1"/>
        <v>#NAME?</v>
      </c>
      <c r="Y140" s="1344" t="e">
        <f ca="1"/>
        <v>#NAME?</v>
      </c>
      <c r="Z140" s="1247"/>
      <c r="AB140" s="1239"/>
      <c r="AC140" s="1239"/>
      <c r="AD140" s="1239"/>
      <c r="AE140" s="1239"/>
    </row>
    <row r="141" spans="1:31" x14ac:dyDescent="0.2">
      <c r="A141" s="1338"/>
      <c r="B141" s="1339"/>
      <c r="C141" s="1340"/>
      <c r="D141" s="1341"/>
      <c r="E141" s="1338"/>
      <c r="F141" s="1339"/>
      <c r="G141" s="1340"/>
      <c r="H141" s="1341"/>
      <c r="I141" s="1338"/>
      <c r="J141" s="1339"/>
      <c r="K141" s="1340"/>
      <c r="L141" s="1341"/>
      <c r="M141" s="1338"/>
      <c r="N141" s="1339"/>
      <c r="O141" s="1340"/>
      <c r="P141" s="1341"/>
      <c r="Q141" s="1239"/>
      <c r="X141" s="1343" t="e">
        <f ca="1"/>
        <v>#NAME?</v>
      </c>
      <c r="Y141" s="1344" t="e">
        <f ca="1"/>
        <v>#NAME?</v>
      </c>
      <c r="Z141" s="1247"/>
      <c r="AB141" s="1239"/>
      <c r="AC141" s="1239"/>
      <c r="AD141" s="1239"/>
      <c r="AE141" s="1239"/>
    </row>
    <row r="142" spans="1:31" x14ac:dyDescent="0.2">
      <c r="A142" s="1338"/>
      <c r="B142" s="1339"/>
      <c r="C142" s="1340"/>
      <c r="D142" s="1341"/>
      <c r="E142" s="1338"/>
      <c r="F142" s="1339"/>
      <c r="G142" s="1340"/>
      <c r="H142" s="1341"/>
      <c r="I142" s="1338"/>
      <c r="J142" s="1339"/>
      <c r="K142" s="1340"/>
      <c r="L142" s="1341"/>
      <c r="M142" s="1338"/>
      <c r="N142" s="1339"/>
      <c r="O142" s="1340"/>
      <c r="P142" s="1341"/>
      <c r="Q142" s="1239"/>
      <c r="X142" s="1343" t="e">
        <f ca="1"/>
        <v>#NAME?</v>
      </c>
      <c r="Y142" s="1344" t="e">
        <f ca="1"/>
        <v>#NAME?</v>
      </c>
      <c r="Z142" s="1247"/>
      <c r="AB142" s="1239"/>
      <c r="AC142" s="1239"/>
      <c r="AD142" s="1239"/>
      <c r="AE142" s="1239"/>
    </row>
    <row r="143" spans="1:31" x14ac:dyDescent="0.2">
      <c r="A143" s="1338"/>
      <c r="B143" s="1339"/>
      <c r="C143" s="1340"/>
      <c r="D143" s="1341"/>
      <c r="E143" s="1338"/>
      <c r="F143" s="1339"/>
      <c r="G143" s="1340"/>
      <c r="H143" s="1341"/>
      <c r="I143" s="1338"/>
      <c r="J143" s="1339"/>
      <c r="K143" s="1340"/>
      <c r="L143" s="1341"/>
      <c r="M143" s="1338"/>
      <c r="N143" s="1339"/>
      <c r="O143" s="1340"/>
      <c r="P143" s="1341"/>
      <c r="Q143" s="1239"/>
      <c r="X143" s="1343" t="e">
        <f ca="1"/>
        <v>#NAME?</v>
      </c>
      <c r="Y143" s="1344" t="e">
        <f ca="1"/>
        <v>#NAME?</v>
      </c>
      <c r="Z143" s="1247"/>
      <c r="AB143" s="1239"/>
      <c r="AC143" s="1239"/>
      <c r="AD143" s="1239"/>
      <c r="AE143" s="1239"/>
    </row>
    <row r="144" spans="1:31" x14ac:dyDescent="0.2">
      <c r="A144" s="1338"/>
      <c r="B144" s="1339"/>
      <c r="C144" s="1340"/>
      <c r="D144" s="1341"/>
      <c r="E144" s="1338"/>
      <c r="F144" s="1339"/>
      <c r="G144" s="1340"/>
      <c r="H144" s="1341"/>
      <c r="I144" s="1338"/>
      <c r="J144" s="1339"/>
      <c r="K144" s="1340"/>
      <c r="L144" s="1341"/>
      <c r="M144" s="1338"/>
      <c r="N144" s="1339"/>
      <c r="O144" s="1340"/>
      <c r="P144" s="1341"/>
      <c r="Q144" s="1239"/>
      <c r="X144" s="1343" t="e">
        <f ca="1"/>
        <v>#NAME?</v>
      </c>
      <c r="Y144" s="1344" t="e">
        <f ca="1"/>
        <v>#NAME?</v>
      </c>
      <c r="Z144" s="1247"/>
      <c r="AB144" s="1239"/>
      <c r="AC144" s="1239"/>
      <c r="AD144" s="1239"/>
      <c r="AE144" s="1239"/>
    </row>
    <row r="145" spans="1:31" x14ac:dyDescent="0.2">
      <c r="A145" s="1338"/>
      <c r="B145" s="1339"/>
      <c r="C145" s="1340"/>
      <c r="D145" s="1341"/>
      <c r="E145" s="1338"/>
      <c r="F145" s="1339"/>
      <c r="G145" s="1340"/>
      <c r="H145" s="1341"/>
      <c r="I145" s="1338"/>
      <c r="J145" s="1339"/>
      <c r="K145" s="1340"/>
      <c r="L145" s="1341"/>
      <c r="M145" s="1338"/>
      <c r="N145" s="1339"/>
      <c r="O145" s="1340"/>
      <c r="P145" s="1341"/>
      <c r="Q145" s="1239"/>
      <c r="X145" s="1343" t="e">
        <f ca="1"/>
        <v>#NAME?</v>
      </c>
      <c r="Y145" s="1344" t="e">
        <f ca="1"/>
        <v>#NAME?</v>
      </c>
      <c r="Z145" s="1247"/>
      <c r="AB145" s="1239"/>
      <c r="AC145" s="1239"/>
      <c r="AD145" s="1239"/>
      <c r="AE145" s="1239"/>
    </row>
    <row r="146" spans="1:31" x14ac:dyDescent="0.2">
      <c r="A146" s="1338"/>
      <c r="B146" s="1339"/>
      <c r="C146" s="1340"/>
      <c r="D146" s="1341"/>
      <c r="E146" s="1338"/>
      <c r="F146" s="1339"/>
      <c r="G146" s="1340"/>
      <c r="H146" s="1341"/>
      <c r="I146" s="1338"/>
      <c r="J146" s="1339"/>
      <c r="K146" s="1340"/>
      <c r="L146" s="1341"/>
      <c r="M146" s="1338"/>
      <c r="N146" s="1339"/>
      <c r="O146" s="1340"/>
      <c r="P146" s="1341"/>
      <c r="Q146" s="1239"/>
      <c r="X146" s="1343" t="e">
        <f ca="1"/>
        <v>#NAME?</v>
      </c>
      <c r="Y146" s="1344" t="e">
        <f ca="1"/>
        <v>#NAME?</v>
      </c>
      <c r="Z146" s="1247"/>
      <c r="AB146" s="1239"/>
      <c r="AC146" s="1239"/>
      <c r="AD146" s="1239"/>
      <c r="AE146" s="1239"/>
    </row>
    <row r="147" spans="1:31" x14ac:dyDescent="0.2">
      <c r="A147" s="1338"/>
      <c r="B147" s="1339"/>
      <c r="C147" s="1340"/>
      <c r="D147" s="1341"/>
      <c r="E147" s="1338"/>
      <c r="F147" s="1339"/>
      <c r="G147" s="1340"/>
      <c r="H147" s="1341"/>
      <c r="I147" s="1338"/>
      <c r="J147" s="1339"/>
      <c r="K147" s="1340"/>
      <c r="L147" s="1341"/>
      <c r="M147" s="1338"/>
      <c r="N147" s="1339"/>
      <c r="O147" s="1340"/>
      <c r="P147" s="1341"/>
      <c r="Q147" s="1239"/>
      <c r="X147" s="1343" t="e">
        <f ca="1"/>
        <v>#NAME?</v>
      </c>
      <c r="Y147" s="1344" t="e">
        <f ca="1"/>
        <v>#NAME?</v>
      </c>
      <c r="Z147" s="1247"/>
      <c r="AB147" s="1239"/>
      <c r="AC147" s="1239"/>
      <c r="AD147" s="1239"/>
      <c r="AE147" s="1239"/>
    </row>
    <row r="148" spans="1:31" x14ac:dyDescent="0.2">
      <c r="A148" s="1338"/>
      <c r="B148" s="1339"/>
      <c r="C148" s="1340"/>
      <c r="D148" s="1341"/>
      <c r="E148" s="1338"/>
      <c r="F148" s="1339"/>
      <c r="G148" s="1340"/>
      <c r="H148" s="1341"/>
      <c r="I148" s="1338"/>
      <c r="J148" s="1339"/>
      <c r="K148" s="1340"/>
      <c r="L148" s="1341"/>
      <c r="M148" s="1338"/>
      <c r="N148" s="1339"/>
      <c r="O148" s="1340"/>
      <c r="P148" s="1341"/>
      <c r="Q148" s="1239"/>
      <c r="X148" s="1343" t="e">
        <f ca="1"/>
        <v>#NAME?</v>
      </c>
      <c r="Y148" s="1344" t="e">
        <f ca="1"/>
        <v>#NAME?</v>
      </c>
      <c r="Z148" s="1247"/>
      <c r="AB148" s="1239"/>
      <c r="AC148" s="1239"/>
      <c r="AD148" s="1239"/>
      <c r="AE148" s="1239"/>
    </row>
    <row r="149" spans="1:31" x14ac:dyDescent="0.2">
      <c r="A149" s="1338"/>
      <c r="B149" s="1339"/>
      <c r="C149" s="1340"/>
      <c r="D149" s="1341"/>
      <c r="E149" s="1338"/>
      <c r="F149" s="1339"/>
      <c r="G149" s="1340"/>
      <c r="H149" s="1341"/>
      <c r="I149" s="1338"/>
      <c r="J149" s="1339"/>
      <c r="K149" s="1340"/>
      <c r="L149" s="1341"/>
      <c r="M149" s="1338"/>
      <c r="N149" s="1339"/>
      <c r="O149" s="1340"/>
      <c r="P149" s="1341"/>
      <c r="Q149" s="1239"/>
      <c r="X149" s="1343" t="e">
        <f ca="1"/>
        <v>#NAME?</v>
      </c>
      <c r="Y149" s="1344" t="e">
        <f ca="1"/>
        <v>#NAME?</v>
      </c>
      <c r="Z149" s="1247"/>
      <c r="AB149" s="1239"/>
      <c r="AC149" s="1239"/>
      <c r="AD149" s="1239"/>
      <c r="AE149" s="1239"/>
    </row>
    <row r="150" spans="1:31" x14ac:dyDescent="0.2">
      <c r="A150" s="1338"/>
      <c r="B150" s="1339"/>
      <c r="C150" s="1340"/>
      <c r="D150" s="1341"/>
      <c r="E150" s="1338"/>
      <c r="F150" s="1339"/>
      <c r="G150" s="1340"/>
      <c r="H150" s="1341"/>
      <c r="I150" s="1338"/>
      <c r="J150" s="1339"/>
      <c r="K150" s="1340"/>
      <c r="L150" s="1341"/>
      <c r="M150" s="1338"/>
      <c r="N150" s="1339"/>
      <c r="O150" s="1340"/>
      <c r="P150" s="1341"/>
      <c r="Q150" s="1239"/>
      <c r="X150" s="1343" t="e">
        <f ca="1"/>
        <v>#NAME?</v>
      </c>
      <c r="Y150" s="1344" t="e">
        <f ca="1"/>
        <v>#NAME?</v>
      </c>
      <c r="Z150" s="1247"/>
      <c r="AB150" s="1239"/>
      <c r="AC150" s="1239"/>
      <c r="AD150" s="1239"/>
      <c r="AE150" s="1239"/>
    </row>
    <row r="151" spans="1:31" x14ac:dyDescent="0.2">
      <c r="A151" s="1338"/>
      <c r="B151" s="1339"/>
      <c r="C151" s="1340"/>
      <c r="D151" s="1341"/>
      <c r="E151" s="1338"/>
      <c r="F151" s="1339"/>
      <c r="G151" s="1340"/>
      <c r="H151" s="1341"/>
      <c r="I151" s="1338"/>
      <c r="J151" s="1339"/>
      <c r="K151" s="1340"/>
      <c r="L151" s="1341"/>
      <c r="M151" s="1338"/>
      <c r="N151" s="1339"/>
      <c r="O151" s="1340"/>
      <c r="P151" s="1341"/>
      <c r="Q151" s="1239"/>
      <c r="X151" s="1343" t="e">
        <f ca="1"/>
        <v>#NAME?</v>
      </c>
      <c r="Y151" s="1344" t="e">
        <f ca="1"/>
        <v>#NAME?</v>
      </c>
      <c r="Z151" s="1247"/>
      <c r="AB151" s="1239"/>
      <c r="AC151" s="1239"/>
      <c r="AD151" s="1239"/>
      <c r="AE151" s="1239"/>
    </row>
    <row r="152" spans="1:31" x14ac:dyDescent="0.2">
      <c r="A152" s="1338"/>
      <c r="B152" s="1339"/>
      <c r="C152" s="1340"/>
      <c r="D152" s="1341"/>
      <c r="E152" s="1338"/>
      <c r="F152" s="1339"/>
      <c r="G152" s="1340"/>
      <c r="H152" s="1341"/>
      <c r="I152" s="1338"/>
      <c r="J152" s="1339"/>
      <c r="K152" s="1340"/>
      <c r="L152" s="1341"/>
      <c r="M152" s="1338"/>
      <c r="N152" s="1339"/>
      <c r="O152" s="1340"/>
      <c r="P152" s="1341"/>
      <c r="Q152" s="1239"/>
      <c r="X152" s="1343" t="e">
        <f ca="1"/>
        <v>#NAME?</v>
      </c>
      <c r="Y152" s="1344" t="e">
        <f ca="1"/>
        <v>#NAME?</v>
      </c>
      <c r="Z152" s="1247"/>
      <c r="AB152" s="1239"/>
      <c r="AC152" s="1239"/>
      <c r="AD152" s="1239"/>
      <c r="AE152" s="1239"/>
    </row>
    <row r="153" spans="1:31" x14ac:dyDescent="0.2">
      <c r="A153" s="1338"/>
      <c r="B153" s="1339"/>
      <c r="C153" s="1340"/>
      <c r="D153" s="1341"/>
      <c r="E153" s="1338"/>
      <c r="F153" s="1339"/>
      <c r="G153" s="1340"/>
      <c r="H153" s="1341"/>
      <c r="I153" s="1338"/>
      <c r="J153" s="1339"/>
      <c r="K153" s="1340"/>
      <c r="L153" s="1341"/>
      <c r="M153" s="1338"/>
      <c r="N153" s="1339"/>
      <c r="O153" s="1340"/>
      <c r="P153" s="1341"/>
      <c r="Q153" s="1239"/>
      <c r="X153" s="1343" t="e">
        <f ca="1"/>
        <v>#NAME?</v>
      </c>
      <c r="Y153" s="1344" t="e">
        <f ca="1"/>
        <v>#NAME?</v>
      </c>
      <c r="Z153" s="1247"/>
      <c r="AB153" s="1239"/>
      <c r="AC153" s="1239"/>
      <c r="AD153" s="1239"/>
      <c r="AE153" s="1239"/>
    </row>
    <row r="154" spans="1:31" x14ac:dyDescent="0.2">
      <c r="A154" s="1338"/>
      <c r="B154" s="1339"/>
      <c r="C154" s="1340"/>
      <c r="D154" s="1341"/>
      <c r="E154" s="1338"/>
      <c r="F154" s="1339"/>
      <c r="G154" s="1340"/>
      <c r="H154" s="1341"/>
      <c r="I154" s="1338"/>
      <c r="J154" s="1339"/>
      <c r="K154" s="1340"/>
      <c r="L154" s="1341"/>
      <c r="M154" s="1338"/>
      <c r="N154" s="1339"/>
      <c r="O154" s="1340"/>
      <c r="P154" s="1341"/>
      <c r="Q154" s="1239"/>
      <c r="X154" s="1343" t="e">
        <f ca="1"/>
        <v>#NAME?</v>
      </c>
      <c r="Y154" s="1344" t="e">
        <f ca="1"/>
        <v>#NAME?</v>
      </c>
      <c r="Z154" s="1247"/>
      <c r="AB154" s="1239"/>
      <c r="AC154" s="1239"/>
      <c r="AD154" s="1239"/>
      <c r="AE154" s="1239"/>
    </row>
    <row r="155" spans="1:31" x14ac:dyDescent="0.2">
      <c r="A155" s="1338"/>
      <c r="B155" s="1339"/>
      <c r="C155" s="1340"/>
      <c r="D155" s="1341"/>
      <c r="E155" s="1338"/>
      <c r="F155" s="1339"/>
      <c r="G155" s="1340"/>
      <c r="H155" s="1341"/>
      <c r="I155" s="1338"/>
      <c r="J155" s="1339"/>
      <c r="K155" s="1340"/>
      <c r="L155" s="1341"/>
      <c r="M155" s="1338"/>
      <c r="N155" s="1339"/>
      <c r="O155" s="1340"/>
      <c r="P155" s="1341"/>
      <c r="Q155" s="1239"/>
      <c r="X155" s="1343" t="e">
        <f ca="1"/>
        <v>#NAME?</v>
      </c>
      <c r="Y155" s="1344" t="e">
        <f ca="1"/>
        <v>#NAME?</v>
      </c>
      <c r="Z155" s="1247"/>
      <c r="AB155" s="1239"/>
      <c r="AC155" s="1239"/>
      <c r="AD155" s="1239"/>
      <c r="AE155" s="1239"/>
    </row>
    <row r="156" spans="1:31" x14ac:dyDescent="0.2">
      <c r="A156" s="1338"/>
      <c r="B156" s="1339"/>
      <c r="C156" s="1340"/>
      <c r="D156" s="1341"/>
      <c r="E156" s="1338"/>
      <c r="F156" s="1339"/>
      <c r="G156" s="1340"/>
      <c r="H156" s="1341"/>
      <c r="I156" s="1338"/>
      <c r="J156" s="1339"/>
      <c r="K156" s="1340"/>
      <c r="L156" s="1341"/>
      <c r="M156" s="1338"/>
      <c r="N156" s="1339"/>
      <c r="O156" s="1340"/>
      <c r="P156" s="1341"/>
      <c r="Q156" s="1239"/>
      <c r="X156" s="1343" t="e">
        <f ca="1"/>
        <v>#NAME?</v>
      </c>
      <c r="Y156" s="1344" t="e">
        <f ca="1"/>
        <v>#NAME?</v>
      </c>
      <c r="Z156" s="1247"/>
      <c r="AB156" s="1239"/>
      <c r="AC156" s="1239"/>
      <c r="AD156" s="1239"/>
      <c r="AE156" s="1239"/>
    </row>
    <row r="157" spans="1:31" x14ac:dyDescent="0.2">
      <c r="A157" s="1338"/>
      <c r="B157" s="1339"/>
      <c r="C157" s="1340"/>
      <c r="D157" s="1341"/>
      <c r="E157" s="1338"/>
      <c r="F157" s="1339"/>
      <c r="G157" s="1340"/>
      <c r="H157" s="1341"/>
      <c r="I157" s="1338"/>
      <c r="J157" s="1339"/>
      <c r="K157" s="1340"/>
      <c r="L157" s="1341"/>
      <c r="M157" s="1338"/>
      <c r="N157" s="1339"/>
      <c r="O157" s="1340"/>
      <c r="P157" s="1341"/>
      <c r="Q157" s="1239"/>
      <c r="X157" s="1343" t="e">
        <f ca="1"/>
        <v>#NAME?</v>
      </c>
      <c r="Y157" s="1344" t="e">
        <f ca="1"/>
        <v>#NAME?</v>
      </c>
      <c r="Z157" s="1247"/>
      <c r="AB157" s="1239"/>
      <c r="AC157" s="1239"/>
      <c r="AD157" s="1239"/>
      <c r="AE157" s="1239"/>
    </row>
    <row r="158" spans="1:31" x14ac:dyDescent="0.2">
      <c r="A158" s="1338"/>
      <c r="B158" s="1339"/>
      <c r="C158" s="1340"/>
      <c r="D158" s="1341"/>
      <c r="E158" s="1338"/>
      <c r="F158" s="1339"/>
      <c r="G158" s="1340"/>
      <c r="H158" s="1341"/>
      <c r="I158" s="1338"/>
      <c r="J158" s="1339"/>
      <c r="K158" s="1340"/>
      <c r="L158" s="1341"/>
      <c r="M158" s="1338"/>
      <c r="N158" s="1339"/>
      <c r="O158" s="1340"/>
      <c r="P158" s="1341"/>
      <c r="Q158" s="1239"/>
      <c r="X158" s="1343" t="e">
        <f ca="1"/>
        <v>#NAME?</v>
      </c>
      <c r="Y158" s="1344" t="e">
        <f ca="1"/>
        <v>#NAME?</v>
      </c>
      <c r="Z158" s="1247"/>
      <c r="AB158" s="1239"/>
      <c r="AC158" s="1239"/>
      <c r="AD158" s="1239"/>
      <c r="AE158" s="1239"/>
    </row>
    <row r="159" spans="1:31" x14ac:dyDescent="0.2">
      <c r="A159" s="1338"/>
      <c r="B159" s="1339"/>
      <c r="C159" s="1340"/>
      <c r="D159" s="1341"/>
      <c r="E159" s="1338"/>
      <c r="F159" s="1339"/>
      <c r="G159" s="1340"/>
      <c r="H159" s="1341"/>
      <c r="I159" s="1338"/>
      <c r="J159" s="1339"/>
      <c r="K159" s="1340"/>
      <c r="L159" s="1341"/>
      <c r="M159" s="1338"/>
      <c r="N159" s="1339"/>
      <c r="O159" s="1340"/>
      <c r="P159" s="1341"/>
      <c r="Q159" s="1239"/>
      <c r="X159" s="1343" t="e">
        <f ca="1"/>
        <v>#NAME?</v>
      </c>
      <c r="Y159" s="1344" t="e">
        <f ca="1"/>
        <v>#NAME?</v>
      </c>
      <c r="Z159" s="1247"/>
      <c r="AB159" s="1239"/>
      <c r="AC159" s="1239"/>
      <c r="AD159" s="1239"/>
      <c r="AE159" s="1239"/>
    </row>
    <row r="160" spans="1:31" x14ac:dyDescent="0.2">
      <c r="A160" s="1338"/>
      <c r="B160" s="1339"/>
      <c r="C160" s="1340"/>
      <c r="D160" s="1341"/>
      <c r="E160" s="1338"/>
      <c r="F160" s="1339"/>
      <c r="G160" s="1340"/>
      <c r="H160" s="1341"/>
      <c r="I160" s="1338"/>
      <c r="J160" s="1339"/>
      <c r="K160" s="1340"/>
      <c r="L160" s="1341"/>
      <c r="M160" s="1338"/>
      <c r="N160" s="1339"/>
      <c r="O160" s="1340"/>
      <c r="P160" s="1341"/>
      <c r="Q160" s="1239"/>
      <c r="X160" s="1343" t="e">
        <f ca="1"/>
        <v>#NAME?</v>
      </c>
      <c r="Y160" s="1344" t="e">
        <f ca="1"/>
        <v>#NAME?</v>
      </c>
      <c r="Z160" s="1247"/>
      <c r="AB160" s="1239"/>
      <c r="AC160" s="1239"/>
      <c r="AD160" s="1239"/>
      <c r="AE160" s="1239"/>
    </row>
    <row r="161" spans="1:31" x14ac:dyDescent="0.2">
      <c r="A161" s="1338"/>
      <c r="B161" s="1339"/>
      <c r="C161" s="1340"/>
      <c r="D161" s="1341"/>
      <c r="E161" s="1338"/>
      <c r="F161" s="1339"/>
      <c r="G161" s="1340"/>
      <c r="H161" s="1341"/>
      <c r="I161" s="1338"/>
      <c r="J161" s="1339"/>
      <c r="K161" s="1340"/>
      <c r="L161" s="1341"/>
      <c r="M161" s="1338"/>
      <c r="N161" s="1339"/>
      <c r="O161" s="1340"/>
      <c r="P161" s="1341"/>
      <c r="Q161" s="1239"/>
      <c r="X161" s="1343" t="e">
        <f ca="1"/>
        <v>#NAME?</v>
      </c>
      <c r="Y161" s="1344" t="e">
        <f ca="1"/>
        <v>#NAME?</v>
      </c>
      <c r="Z161" s="1247"/>
      <c r="AB161" s="1239"/>
      <c r="AC161" s="1239"/>
      <c r="AD161" s="1239"/>
      <c r="AE161" s="1239"/>
    </row>
    <row r="162" spans="1:31" x14ac:dyDescent="0.2">
      <c r="A162" s="1338"/>
      <c r="B162" s="1339"/>
      <c r="C162" s="1340"/>
      <c r="D162" s="1341"/>
      <c r="E162" s="1338"/>
      <c r="F162" s="1339"/>
      <c r="G162" s="1340"/>
      <c r="H162" s="1341"/>
      <c r="I162" s="1338"/>
      <c r="J162" s="1339"/>
      <c r="K162" s="1340"/>
      <c r="L162" s="1341"/>
      <c r="M162" s="1338"/>
      <c r="N162" s="1339"/>
      <c r="O162" s="1340"/>
      <c r="P162" s="1341"/>
      <c r="Q162" s="1239"/>
      <c r="X162" s="1343" t="e">
        <f ca="1"/>
        <v>#NAME?</v>
      </c>
      <c r="Y162" s="1344" t="e">
        <f ca="1"/>
        <v>#NAME?</v>
      </c>
      <c r="Z162" s="1247"/>
      <c r="AB162" s="1239"/>
      <c r="AC162" s="1239"/>
      <c r="AD162" s="1239"/>
      <c r="AE162" s="1239"/>
    </row>
    <row r="163" spans="1:31" x14ac:dyDescent="0.2">
      <c r="A163" s="1338"/>
      <c r="B163" s="1339"/>
      <c r="C163" s="1340"/>
      <c r="D163" s="1341"/>
      <c r="E163" s="1338"/>
      <c r="F163" s="1339"/>
      <c r="G163" s="1340"/>
      <c r="H163" s="1341"/>
      <c r="I163" s="1338"/>
      <c r="J163" s="1339"/>
      <c r="K163" s="1340"/>
      <c r="L163" s="1341"/>
      <c r="M163" s="1338"/>
      <c r="N163" s="1339"/>
      <c r="O163" s="1340"/>
      <c r="P163" s="1341"/>
      <c r="Q163" s="1239"/>
      <c r="X163" s="1343" t="e">
        <f ca="1"/>
        <v>#NAME?</v>
      </c>
      <c r="Y163" s="1344" t="e">
        <f ca="1"/>
        <v>#NAME?</v>
      </c>
      <c r="Z163" s="1247"/>
      <c r="AB163" s="1239"/>
      <c r="AC163" s="1239"/>
      <c r="AD163" s="1239"/>
      <c r="AE163" s="1239"/>
    </row>
    <row r="164" spans="1:31" x14ac:dyDescent="0.2">
      <c r="A164" s="1338"/>
      <c r="B164" s="1339"/>
      <c r="C164" s="1340"/>
      <c r="D164" s="1341"/>
      <c r="E164" s="1338"/>
      <c r="F164" s="1339"/>
      <c r="G164" s="1340"/>
      <c r="H164" s="1341"/>
      <c r="I164" s="1338"/>
      <c r="J164" s="1339"/>
      <c r="K164" s="1340"/>
      <c r="L164" s="1341"/>
      <c r="M164" s="1338"/>
      <c r="N164" s="1339"/>
      <c r="O164" s="1340"/>
      <c r="P164" s="1341"/>
      <c r="Q164" s="1239"/>
      <c r="X164" s="1343" t="e">
        <f ca="1"/>
        <v>#NAME?</v>
      </c>
      <c r="Y164" s="1344" t="e">
        <f ca="1"/>
        <v>#NAME?</v>
      </c>
      <c r="Z164" s="1247"/>
      <c r="AB164" s="1239"/>
      <c r="AC164" s="1239"/>
      <c r="AD164" s="1239"/>
      <c r="AE164" s="1239"/>
    </row>
    <row r="165" spans="1:31" x14ac:dyDescent="0.2">
      <c r="A165" s="1338"/>
      <c r="B165" s="1339"/>
      <c r="C165" s="1340"/>
      <c r="D165" s="1341"/>
      <c r="E165" s="1338"/>
      <c r="F165" s="1339"/>
      <c r="G165" s="1340"/>
      <c r="H165" s="1341"/>
      <c r="I165" s="1338"/>
      <c r="J165" s="1339"/>
      <c r="K165" s="1340"/>
      <c r="L165" s="1341"/>
      <c r="M165" s="1338"/>
      <c r="N165" s="1339"/>
      <c r="O165" s="1340"/>
      <c r="P165" s="1341"/>
      <c r="Q165" s="1239"/>
      <c r="X165" s="1343" t="e">
        <f ca="1"/>
        <v>#NAME?</v>
      </c>
      <c r="Y165" s="1344" t="e">
        <f ca="1"/>
        <v>#NAME?</v>
      </c>
      <c r="Z165" s="1247"/>
      <c r="AB165" s="1239"/>
      <c r="AC165" s="1239"/>
      <c r="AD165" s="1239"/>
      <c r="AE165" s="1239"/>
    </row>
    <row r="166" spans="1:31" x14ac:dyDescent="0.2">
      <c r="A166" s="1338"/>
      <c r="B166" s="1339"/>
      <c r="C166" s="1340"/>
      <c r="D166" s="1341"/>
      <c r="E166" s="1338"/>
      <c r="F166" s="1339"/>
      <c r="G166" s="1340"/>
      <c r="H166" s="1341"/>
      <c r="I166" s="1338"/>
      <c r="J166" s="1339"/>
      <c r="K166" s="1340"/>
      <c r="L166" s="1341"/>
      <c r="M166" s="1338"/>
      <c r="N166" s="1339"/>
      <c r="O166" s="1340"/>
      <c r="P166" s="1341"/>
      <c r="Q166" s="1239"/>
      <c r="X166" s="1343" t="e">
        <f ca="1"/>
        <v>#NAME?</v>
      </c>
      <c r="Y166" s="1344" t="e">
        <f ca="1"/>
        <v>#NAME?</v>
      </c>
      <c r="Z166" s="1247"/>
      <c r="AB166" s="1239"/>
      <c r="AC166" s="1239"/>
      <c r="AD166" s="1239"/>
      <c r="AE166" s="1239"/>
    </row>
    <row r="167" spans="1:31" x14ac:dyDescent="0.2">
      <c r="A167" s="1338"/>
      <c r="B167" s="1339"/>
      <c r="C167" s="1340"/>
      <c r="D167" s="1341"/>
      <c r="E167" s="1338"/>
      <c r="F167" s="1339"/>
      <c r="G167" s="1340"/>
      <c r="H167" s="1341"/>
      <c r="I167" s="1338"/>
      <c r="J167" s="1339"/>
      <c r="K167" s="1340"/>
      <c r="L167" s="1341"/>
      <c r="M167" s="1338"/>
      <c r="N167" s="1339"/>
      <c r="O167" s="1340"/>
      <c r="P167" s="1341"/>
      <c r="Q167" s="1239"/>
      <c r="X167" s="1343" t="e">
        <f ca="1"/>
        <v>#NAME?</v>
      </c>
      <c r="Y167" s="1344" t="e">
        <f ca="1"/>
        <v>#NAME?</v>
      </c>
      <c r="Z167" s="1247"/>
      <c r="AB167" s="1239"/>
      <c r="AC167" s="1239"/>
      <c r="AD167" s="1239"/>
      <c r="AE167" s="1239"/>
    </row>
    <row r="168" spans="1:31" x14ac:dyDescent="0.2">
      <c r="A168" s="1338"/>
      <c r="B168" s="1339"/>
      <c r="C168" s="1340"/>
      <c r="D168" s="1341"/>
      <c r="E168" s="1338"/>
      <c r="F168" s="1339"/>
      <c r="G168" s="1340"/>
      <c r="H168" s="1341"/>
      <c r="I168" s="1338"/>
      <c r="J168" s="1339"/>
      <c r="K168" s="1340"/>
      <c r="L168" s="1341"/>
      <c r="M168" s="1338"/>
      <c r="N168" s="1339"/>
      <c r="O168" s="1340"/>
      <c r="P168" s="1341"/>
      <c r="Q168" s="1239"/>
      <c r="X168" s="1343" t="e">
        <f ca="1"/>
        <v>#NAME?</v>
      </c>
      <c r="Y168" s="1344" t="e">
        <f ca="1"/>
        <v>#NAME?</v>
      </c>
      <c r="Z168" s="1247"/>
      <c r="AB168" s="1239"/>
      <c r="AC168" s="1239"/>
      <c r="AD168" s="1239"/>
      <c r="AE168" s="1239"/>
    </row>
    <row r="169" spans="1:31" x14ac:dyDescent="0.2">
      <c r="A169" s="1338"/>
      <c r="B169" s="1339"/>
      <c r="C169" s="1340"/>
      <c r="D169" s="1341"/>
      <c r="E169" s="1338"/>
      <c r="F169" s="1339"/>
      <c r="G169" s="1340"/>
      <c r="H169" s="1341"/>
      <c r="I169" s="1338"/>
      <c r="J169" s="1339"/>
      <c r="K169" s="1340"/>
      <c r="L169" s="1341"/>
      <c r="M169" s="1338"/>
      <c r="N169" s="1339"/>
      <c r="O169" s="1340"/>
      <c r="P169" s="1341"/>
      <c r="Q169" s="1239"/>
      <c r="X169" s="1343" t="e">
        <f ca="1"/>
        <v>#NAME?</v>
      </c>
      <c r="Y169" s="1344" t="e">
        <f ca="1"/>
        <v>#NAME?</v>
      </c>
      <c r="Z169" s="1247"/>
      <c r="AB169" s="1239"/>
      <c r="AC169" s="1239"/>
      <c r="AD169" s="1239"/>
      <c r="AE169" s="1239"/>
    </row>
    <row r="170" spans="1:31" x14ac:dyDescent="0.2">
      <c r="A170" s="1338"/>
      <c r="B170" s="1339"/>
      <c r="C170" s="1340"/>
      <c r="D170" s="1341"/>
      <c r="E170" s="1338"/>
      <c r="F170" s="1339"/>
      <c r="G170" s="1340"/>
      <c r="H170" s="1341"/>
      <c r="I170" s="1338"/>
      <c r="J170" s="1339"/>
      <c r="K170" s="1340"/>
      <c r="L170" s="1341"/>
      <c r="M170" s="1338"/>
      <c r="N170" s="1339"/>
      <c r="O170" s="1340"/>
      <c r="P170" s="1341"/>
      <c r="Q170" s="1239"/>
      <c r="X170" s="1343" t="e">
        <f ca="1"/>
        <v>#NAME?</v>
      </c>
      <c r="Y170" s="1344" t="e">
        <f ca="1"/>
        <v>#NAME?</v>
      </c>
      <c r="Z170" s="1247"/>
      <c r="AB170" s="1239"/>
      <c r="AC170" s="1239"/>
      <c r="AD170" s="1239"/>
      <c r="AE170" s="1239"/>
    </row>
    <row r="171" spans="1:31" x14ac:dyDescent="0.2">
      <c r="A171" s="1338"/>
      <c r="B171" s="1339"/>
      <c r="C171" s="1340"/>
      <c r="D171" s="1341"/>
      <c r="E171" s="1338"/>
      <c r="F171" s="1339"/>
      <c r="G171" s="1340"/>
      <c r="H171" s="1341"/>
      <c r="I171" s="1338"/>
      <c r="J171" s="1339"/>
      <c r="K171" s="1340"/>
      <c r="L171" s="1341"/>
      <c r="M171" s="1338"/>
      <c r="N171" s="1339"/>
      <c r="O171" s="1340"/>
      <c r="P171" s="1341"/>
      <c r="Q171" s="1239"/>
      <c r="X171" s="1343" t="e">
        <f ca="1"/>
        <v>#NAME?</v>
      </c>
      <c r="Y171" s="1344" t="e">
        <f ca="1"/>
        <v>#NAME?</v>
      </c>
      <c r="Z171" s="1247"/>
      <c r="AB171" s="1239"/>
      <c r="AC171" s="1239"/>
      <c r="AD171" s="1239"/>
      <c r="AE171" s="1239"/>
    </row>
    <row r="172" spans="1:31" x14ac:dyDescent="0.2">
      <c r="A172" s="1338"/>
      <c r="B172" s="1339"/>
      <c r="C172" s="1340"/>
      <c r="D172" s="1341"/>
      <c r="E172" s="1338"/>
      <c r="F172" s="1339"/>
      <c r="G172" s="1340"/>
      <c r="H172" s="1341"/>
      <c r="I172" s="1338"/>
      <c r="J172" s="1339"/>
      <c r="K172" s="1340"/>
      <c r="L172" s="1341"/>
      <c r="M172" s="1338"/>
      <c r="N172" s="1339"/>
      <c r="O172" s="1340"/>
      <c r="P172" s="1341"/>
      <c r="Q172" s="1239"/>
      <c r="X172" s="1343" t="e">
        <f ca="1"/>
        <v>#NAME?</v>
      </c>
      <c r="Y172" s="1344" t="e">
        <f ca="1"/>
        <v>#NAME?</v>
      </c>
      <c r="Z172" s="1247"/>
      <c r="AB172" s="1239"/>
      <c r="AC172" s="1239"/>
      <c r="AD172" s="1239"/>
      <c r="AE172" s="1239"/>
    </row>
    <row r="173" spans="1:31" x14ac:dyDescent="0.2">
      <c r="A173" s="1338"/>
      <c r="B173" s="1339"/>
      <c r="C173" s="1340"/>
      <c r="D173" s="1341"/>
      <c r="E173" s="1338"/>
      <c r="F173" s="1339"/>
      <c r="G173" s="1340"/>
      <c r="H173" s="1341"/>
      <c r="I173" s="1338"/>
      <c r="J173" s="1339"/>
      <c r="K173" s="1340"/>
      <c r="L173" s="1341"/>
      <c r="M173" s="1338"/>
      <c r="N173" s="1339"/>
      <c r="O173" s="1340"/>
      <c r="P173" s="1341"/>
      <c r="Q173" s="1239"/>
      <c r="X173" s="1343" t="e">
        <f ca="1"/>
        <v>#NAME?</v>
      </c>
      <c r="Y173" s="1344" t="e">
        <f ca="1"/>
        <v>#NAME?</v>
      </c>
      <c r="Z173" s="1247"/>
      <c r="AB173" s="1239"/>
      <c r="AC173" s="1239"/>
      <c r="AD173" s="1239"/>
      <c r="AE173" s="1239"/>
    </row>
    <row r="174" spans="1:31" x14ac:dyDescent="0.2">
      <c r="A174" s="1338"/>
      <c r="B174" s="1339"/>
      <c r="C174" s="1340"/>
      <c r="D174" s="1341"/>
      <c r="E174" s="1338"/>
      <c r="F174" s="1339"/>
      <c r="G174" s="1340"/>
      <c r="H174" s="1341"/>
      <c r="I174" s="1338"/>
      <c r="J174" s="1339"/>
      <c r="K174" s="1340"/>
      <c r="L174" s="1341"/>
      <c r="M174" s="1338"/>
      <c r="N174" s="1339"/>
      <c r="O174" s="1340"/>
      <c r="P174" s="1341"/>
      <c r="Q174" s="1239"/>
      <c r="X174" s="1343" t="e">
        <f ca="1"/>
        <v>#NAME?</v>
      </c>
      <c r="Y174" s="1344" t="e">
        <f ca="1"/>
        <v>#NAME?</v>
      </c>
      <c r="Z174" s="1247"/>
      <c r="AB174" s="1239"/>
      <c r="AC174" s="1239"/>
      <c r="AD174" s="1239"/>
      <c r="AE174" s="1239"/>
    </row>
    <row r="175" spans="1:31" x14ac:dyDescent="0.2">
      <c r="A175" s="1338"/>
      <c r="B175" s="1339"/>
      <c r="C175" s="1340"/>
      <c r="D175" s="1341"/>
      <c r="E175" s="1338"/>
      <c r="F175" s="1339"/>
      <c r="G175" s="1340"/>
      <c r="H175" s="1341"/>
      <c r="I175" s="1338"/>
      <c r="J175" s="1339"/>
      <c r="K175" s="1340"/>
      <c r="L175" s="1341"/>
      <c r="M175" s="1338"/>
      <c r="N175" s="1339"/>
      <c r="O175" s="1340"/>
      <c r="P175" s="1341"/>
      <c r="Q175" s="1239"/>
      <c r="X175" s="1343" t="e">
        <f ca="1"/>
        <v>#NAME?</v>
      </c>
      <c r="Y175" s="1344" t="e">
        <f ca="1"/>
        <v>#NAME?</v>
      </c>
      <c r="Z175" s="1247"/>
      <c r="AB175" s="1239"/>
      <c r="AC175" s="1239"/>
      <c r="AD175" s="1239"/>
      <c r="AE175" s="1239"/>
    </row>
    <row r="176" spans="1:31" x14ac:dyDescent="0.2">
      <c r="A176" s="1338"/>
      <c r="B176" s="1339"/>
      <c r="C176" s="1340"/>
      <c r="D176" s="1341"/>
      <c r="E176" s="1338"/>
      <c r="F176" s="1339"/>
      <c r="G176" s="1340"/>
      <c r="H176" s="1341"/>
      <c r="I176" s="1338"/>
      <c r="J176" s="1339"/>
      <c r="K176" s="1340"/>
      <c r="L176" s="1341"/>
      <c r="M176" s="1338"/>
      <c r="N176" s="1339"/>
      <c r="O176" s="1340"/>
      <c r="P176" s="1341"/>
      <c r="Q176" s="1239"/>
      <c r="X176" s="1343" t="e">
        <f ca="1"/>
        <v>#NAME?</v>
      </c>
      <c r="Y176" s="1344" t="e">
        <f ca="1"/>
        <v>#NAME?</v>
      </c>
      <c r="Z176" s="1247"/>
      <c r="AB176" s="1239"/>
      <c r="AC176" s="1239"/>
      <c r="AD176" s="1239"/>
      <c r="AE176" s="1239"/>
    </row>
    <row r="177" spans="1:31" x14ac:dyDescent="0.2">
      <c r="A177" s="1338"/>
      <c r="B177" s="1339"/>
      <c r="C177" s="1340"/>
      <c r="D177" s="1341"/>
      <c r="E177" s="1338"/>
      <c r="F177" s="1339"/>
      <c r="G177" s="1340"/>
      <c r="H177" s="1341"/>
      <c r="I177" s="1338"/>
      <c r="J177" s="1339"/>
      <c r="K177" s="1340"/>
      <c r="L177" s="1341"/>
      <c r="M177" s="1338"/>
      <c r="N177" s="1339"/>
      <c r="O177" s="1340"/>
      <c r="P177" s="1341"/>
      <c r="Q177" s="1239"/>
      <c r="X177" s="1343" t="e">
        <f ca="1"/>
        <v>#NAME?</v>
      </c>
      <c r="Y177" s="1344" t="e">
        <f ca="1"/>
        <v>#NAME?</v>
      </c>
      <c r="Z177" s="1247"/>
      <c r="AB177" s="1239"/>
      <c r="AC177" s="1239"/>
      <c r="AD177" s="1239"/>
      <c r="AE177" s="1239"/>
    </row>
    <row r="178" spans="1:31" x14ac:dyDescent="0.2">
      <c r="A178" s="1338"/>
      <c r="B178" s="1339"/>
      <c r="C178" s="1340"/>
      <c r="D178" s="1341"/>
      <c r="E178" s="1338"/>
      <c r="F178" s="1339"/>
      <c r="G178" s="1340"/>
      <c r="H178" s="1341"/>
      <c r="I178" s="1338"/>
      <c r="J178" s="1339"/>
      <c r="K178" s="1340"/>
      <c r="L178" s="1341"/>
      <c r="M178" s="1338"/>
      <c r="N178" s="1339"/>
      <c r="O178" s="1340"/>
      <c r="P178" s="1341"/>
      <c r="Q178" s="1239"/>
      <c r="X178" s="1343" t="e">
        <f ca="1"/>
        <v>#NAME?</v>
      </c>
      <c r="Y178" s="1344" t="e">
        <f ca="1"/>
        <v>#NAME?</v>
      </c>
      <c r="Z178" s="1247"/>
      <c r="AB178" s="1239"/>
      <c r="AC178" s="1239"/>
      <c r="AD178" s="1239"/>
      <c r="AE178" s="1239"/>
    </row>
    <row r="179" spans="1:31" x14ac:dyDescent="0.2">
      <c r="A179" s="1338"/>
      <c r="B179" s="1339"/>
      <c r="C179" s="1340"/>
      <c r="D179" s="1341"/>
      <c r="E179" s="1338"/>
      <c r="F179" s="1339"/>
      <c r="G179" s="1340"/>
      <c r="H179" s="1341"/>
      <c r="I179" s="1338"/>
      <c r="J179" s="1339"/>
      <c r="K179" s="1340"/>
      <c r="L179" s="1341"/>
      <c r="M179" s="1338"/>
      <c r="N179" s="1339"/>
      <c r="O179" s="1340"/>
      <c r="P179" s="1341"/>
      <c r="Q179" s="1239"/>
      <c r="X179" s="1343" t="e">
        <f ca="1"/>
        <v>#NAME?</v>
      </c>
      <c r="Y179" s="1344" t="e">
        <f ca="1"/>
        <v>#NAME?</v>
      </c>
      <c r="Z179" s="1247"/>
      <c r="AB179" s="1239"/>
      <c r="AC179" s="1239"/>
      <c r="AD179" s="1239"/>
      <c r="AE179" s="1239"/>
    </row>
    <row r="180" spans="1:31" x14ac:dyDescent="0.2">
      <c r="A180" s="1338"/>
      <c r="B180" s="1339"/>
      <c r="C180" s="1340"/>
      <c r="D180" s="1341"/>
      <c r="E180" s="1338"/>
      <c r="F180" s="1339"/>
      <c r="G180" s="1340"/>
      <c r="H180" s="1341"/>
      <c r="I180" s="1338"/>
      <c r="J180" s="1339"/>
      <c r="K180" s="1340"/>
      <c r="L180" s="1341"/>
      <c r="M180" s="1338"/>
      <c r="N180" s="1339"/>
      <c r="O180" s="1340"/>
      <c r="P180" s="1341"/>
      <c r="Q180" s="1239"/>
      <c r="X180" s="1343" t="e">
        <f ca="1"/>
        <v>#NAME?</v>
      </c>
      <c r="Y180" s="1344" t="e">
        <f ca="1"/>
        <v>#NAME?</v>
      </c>
      <c r="Z180" s="1247"/>
      <c r="AB180" s="1239"/>
      <c r="AC180" s="1239"/>
      <c r="AD180" s="1239"/>
      <c r="AE180" s="1239"/>
    </row>
    <row r="181" spans="1:31" x14ac:dyDescent="0.2">
      <c r="A181" s="1338"/>
      <c r="B181" s="1339"/>
      <c r="C181" s="1340"/>
      <c r="D181" s="1341"/>
      <c r="E181" s="1338"/>
      <c r="F181" s="1339"/>
      <c r="G181" s="1340"/>
      <c r="H181" s="1341"/>
      <c r="I181" s="1338"/>
      <c r="J181" s="1339"/>
      <c r="K181" s="1340"/>
      <c r="L181" s="1341"/>
      <c r="M181" s="1338"/>
      <c r="N181" s="1339"/>
      <c r="O181" s="1340"/>
      <c r="P181" s="1341"/>
      <c r="Q181" s="1239"/>
      <c r="X181" s="1343" t="e">
        <f ca="1"/>
        <v>#NAME?</v>
      </c>
      <c r="Y181" s="1344" t="e">
        <f ca="1"/>
        <v>#NAME?</v>
      </c>
      <c r="Z181" s="1247"/>
      <c r="AB181" s="1239"/>
      <c r="AC181" s="1239"/>
      <c r="AD181" s="1239"/>
      <c r="AE181" s="1239"/>
    </row>
    <row r="182" spans="1:31" x14ac:dyDescent="0.2">
      <c r="A182" s="1338"/>
      <c r="B182" s="1339"/>
      <c r="C182" s="1340"/>
      <c r="D182" s="1341"/>
      <c r="E182" s="1338"/>
      <c r="F182" s="1339"/>
      <c r="G182" s="1340"/>
      <c r="H182" s="1341"/>
      <c r="I182" s="1338"/>
      <c r="J182" s="1339"/>
      <c r="K182" s="1340"/>
      <c r="L182" s="1341"/>
      <c r="M182" s="1338"/>
      <c r="N182" s="1339"/>
      <c r="O182" s="1340"/>
      <c r="P182" s="1341"/>
      <c r="Q182" s="1239"/>
      <c r="X182" s="1343" t="e">
        <f ca="1"/>
        <v>#NAME?</v>
      </c>
      <c r="Y182" s="1344" t="e">
        <f ca="1"/>
        <v>#NAME?</v>
      </c>
      <c r="Z182" s="1247"/>
      <c r="AB182" s="1239"/>
      <c r="AC182" s="1239"/>
      <c r="AD182" s="1239"/>
      <c r="AE182" s="1239"/>
    </row>
    <row r="183" spans="1:31" x14ac:dyDescent="0.2">
      <c r="A183" s="1338"/>
      <c r="B183" s="1339"/>
      <c r="C183" s="1340"/>
      <c r="D183" s="1341"/>
      <c r="E183" s="1338"/>
      <c r="F183" s="1339"/>
      <c r="G183" s="1340"/>
      <c r="H183" s="1341"/>
      <c r="I183" s="1338"/>
      <c r="J183" s="1339"/>
      <c r="K183" s="1340"/>
      <c r="L183" s="1341"/>
      <c r="M183" s="1338"/>
      <c r="N183" s="1339"/>
      <c r="O183" s="1340"/>
      <c r="P183" s="1341"/>
      <c r="Q183" s="1239"/>
      <c r="X183" s="1343" t="e">
        <f ca="1"/>
        <v>#NAME?</v>
      </c>
      <c r="Y183" s="1344" t="e">
        <f ca="1"/>
        <v>#NAME?</v>
      </c>
      <c r="Z183" s="1247"/>
      <c r="AB183" s="1239"/>
      <c r="AC183" s="1239"/>
      <c r="AD183" s="1239"/>
      <c r="AE183" s="1239"/>
    </row>
    <row r="184" spans="1:31" x14ac:dyDescent="0.2">
      <c r="A184" s="1338"/>
      <c r="B184" s="1339"/>
      <c r="C184" s="1340"/>
      <c r="D184" s="1341"/>
      <c r="E184" s="1338"/>
      <c r="F184" s="1339"/>
      <c r="G184" s="1340"/>
      <c r="H184" s="1341"/>
      <c r="I184" s="1338"/>
      <c r="J184" s="1339"/>
      <c r="K184" s="1340"/>
      <c r="L184" s="1341"/>
      <c r="M184" s="1338"/>
      <c r="N184" s="1339"/>
      <c r="O184" s="1340"/>
      <c r="P184" s="1341"/>
      <c r="Q184" s="1239"/>
      <c r="X184" s="1343" t="e">
        <f ca="1"/>
        <v>#NAME?</v>
      </c>
      <c r="Y184" s="1344" t="e">
        <f ca="1"/>
        <v>#NAME?</v>
      </c>
      <c r="Z184" s="1247"/>
      <c r="AB184" s="1239"/>
      <c r="AC184" s="1239"/>
      <c r="AD184" s="1239"/>
      <c r="AE184" s="1239"/>
    </row>
    <row r="185" spans="1:31" x14ac:dyDescent="0.2">
      <c r="A185" s="1338"/>
      <c r="B185" s="1339"/>
      <c r="C185" s="1340"/>
      <c r="D185" s="1341"/>
      <c r="E185" s="1338"/>
      <c r="F185" s="1339"/>
      <c r="G185" s="1340"/>
      <c r="H185" s="1341"/>
      <c r="I185" s="1338"/>
      <c r="J185" s="1339"/>
      <c r="K185" s="1340"/>
      <c r="L185" s="1341"/>
      <c r="M185" s="1338"/>
      <c r="N185" s="1339"/>
      <c r="O185" s="1340"/>
      <c r="P185" s="1341"/>
      <c r="Q185" s="1239"/>
      <c r="X185" s="1343" t="e">
        <f ca="1"/>
        <v>#NAME?</v>
      </c>
      <c r="Y185" s="1344" t="e">
        <f ca="1"/>
        <v>#NAME?</v>
      </c>
      <c r="Z185" s="1247"/>
      <c r="AB185" s="1239"/>
      <c r="AC185" s="1239"/>
      <c r="AD185" s="1239"/>
      <c r="AE185" s="1239"/>
    </row>
    <row r="186" spans="1:31" x14ac:dyDescent="0.2">
      <c r="A186" s="1338"/>
      <c r="B186" s="1339"/>
      <c r="C186" s="1340"/>
      <c r="D186" s="1341"/>
      <c r="E186" s="1338"/>
      <c r="F186" s="1339"/>
      <c r="G186" s="1340"/>
      <c r="H186" s="1341"/>
      <c r="I186" s="1338"/>
      <c r="J186" s="1339"/>
      <c r="K186" s="1340"/>
      <c r="L186" s="1341"/>
      <c r="M186" s="1338"/>
      <c r="N186" s="1339"/>
      <c r="O186" s="1340"/>
      <c r="P186" s="1341"/>
      <c r="Q186" s="1239"/>
      <c r="X186" s="1343" t="e">
        <f ca="1"/>
        <v>#NAME?</v>
      </c>
      <c r="Y186" s="1344" t="e">
        <f ca="1"/>
        <v>#NAME?</v>
      </c>
      <c r="Z186" s="1247"/>
      <c r="AB186" s="1239"/>
      <c r="AC186" s="1239"/>
      <c r="AD186" s="1239"/>
      <c r="AE186" s="1239"/>
    </row>
    <row r="187" spans="1:31" x14ac:dyDescent="0.2">
      <c r="A187" s="1338"/>
      <c r="B187" s="1339"/>
      <c r="C187" s="1340"/>
      <c r="D187" s="1341"/>
      <c r="E187" s="1338"/>
      <c r="F187" s="1339"/>
      <c r="G187" s="1340"/>
      <c r="H187" s="1341"/>
      <c r="I187" s="1338"/>
      <c r="J187" s="1339"/>
      <c r="K187" s="1340"/>
      <c r="L187" s="1341"/>
      <c r="M187" s="1338"/>
      <c r="N187" s="1339"/>
      <c r="O187" s="1340"/>
      <c r="P187" s="1341"/>
      <c r="Q187" s="1239"/>
      <c r="X187" s="1343" t="e">
        <f ca="1"/>
        <v>#NAME?</v>
      </c>
      <c r="Y187" s="1344" t="e">
        <f ca="1"/>
        <v>#NAME?</v>
      </c>
      <c r="Z187" s="1247"/>
      <c r="AB187" s="1239"/>
      <c r="AC187" s="1239"/>
      <c r="AD187" s="1239"/>
      <c r="AE187" s="1239"/>
    </row>
    <row r="188" spans="1:31" x14ac:dyDescent="0.2">
      <c r="A188" s="1338"/>
      <c r="B188" s="1339"/>
      <c r="C188" s="1340"/>
      <c r="D188" s="1341"/>
      <c r="E188" s="1338"/>
      <c r="F188" s="1339"/>
      <c r="G188" s="1340"/>
      <c r="H188" s="1341"/>
      <c r="I188" s="1338"/>
      <c r="J188" s="1339"/>
      <c r="K188" s="1340"/>
      <c r="L188" s="1341"/>
      <c r="M188" s="1338"/>
      <c r="N188" s="1339"/>
      <c r="O188" s="1340"/>
      <c r="P188" s="1341"/>
      <c r="Q188" s="1239"/>
      <c r="X188" s="1343" t="e">
        <f ca="1"/>
        <v>#NAME?</v>
      </c>
      <c r="Y188" s="1344" t="e">
        <f ca="1"/>
        <v>#NAME?</v>
      </c>
      <c r="Z188" s="1247"/>
      <c r="AB188" s="1239"/>
      <c r="AC188" s="1239"/>
      <c r="AD188" s="1239"/>
      <c r="AE188" s="1239"/>
    </row>
    <row r="189" spans="1:31" x14ac:dyDescent="0.2">
      <c r="A189" s="1338"/>
      <c r="B189" s="1339"/>
      <c r="C189" s="1340"/>
      <c r="D189" s="1341"/>
      <c r="E189" s="1338"/>
      <c r="F189" s="1339"/>
      <c r="G189" s="1340"/>
      <c r="H189" s="1341"/>
      <c r="I189" s="1338"/>
      <c r="J189" s="1339"/>
      <c r="K189" s="1340"/>
      <c r="L189" s="1341"/>
      <c r="M189" s="1338"/>
      <c r="N189" s="1339"/>
      <c r="O189" s="1340"/>
      <c r="P189" s="1341"/>
      <c r="Q189" s="1239"/>
      <c r="X189" s="1343" t="e">
        <f ca="1"/>
        <v>#NAME?</v>
      </c>
      <c r="Y189" s="1344" t="e">
        <f ca="1"/>
        <v>#NAME?</v>
      </c>
      <c r="Z189" s="1247"/>
      <c r="AB189" s="1239"/>
      <c r="AC189" s="1239"/>
      <c r="AD189" s="1239"/>
      <c r="AE189" s="1239"/>
    </row>
    <row r="190" spans="1:31" x14ac:dyDescent="0.2">
      <c r="A190" s="1338"/>
      <c r="B190" s="1339"/>
      <c r="C190" s="1340"/>
      <c r="D190" s="1341"/>
      <c r="E190" s="1338"/>
      <c r="F190" s="1339"/>
      <c r="G190" s="1340"/>
      <c r="H190" s="1341"/>
      <c r="I190" s="1338"/>
      <c r="J190" s="1339"/>
      <c r="K190" s="1340"/>
      <c r="L190" s="1341"/>
      <c r="M190" s="1338"/>
      <c r="N190" s="1339"/>
      <c r="O190" s="1340"/>
      <c r="P190" s="1341"/>
      <c r="Q190" s="1239"/>
      <c r="X190" s="1343" t="e">
        <f ca="1"/>
        <v>#NAME?</v>
      </c>
      <c r="Y190" s="1344" t="e">
        <f ca="1"/>
        <v>#NAME?</v>
      </c>
      <c r="Z190" s="1247"/>
      <c r="AB190" s="1239"/>
      <c r="AC190" s="1239"/>
      <c r="AD190" s="1239"/>
      <c r="AE190" s="1239"/>
    </row>
    <row r="191" spans="1:31" x14ac:dyDescent="0.2">
      <c r="A191" s="1338"/>
      <c r="B191" s="1339"/>
      <c r="C191" s="1340"/>
      <c r="D191" s="1341"/>
      <c r="E191" s="1338"/>
      <c r="F191" s="1339"/>
      <c r="G191" s="1340"/>
      <c r="H191" s="1341"/>
      <c r="I191" s="1338"/>
      <c r="J191" s="1339"/>
      <c r="K191" s="1340"/>
      <c r="L191" s="1341"/>
      <c r="M191" s="1338"/>
      <c r="N191" s="1339"/>
      <c r="O191" s="1340"/>
      <c r="P191" s="1341"/>
      <c r="Q191" s="1239"/>
      <c r="X191" s="1343" t="e">
        <f ca="1"/>
        <v>#NAME?</v>
      </c>
      <c r="Y191" s="1344" t="e">
        <f ca="1"/>
        <v>#NAME?</v>
      </c>
      <c r="Z191" s="1247"/>
      <c r="AB191" s="1239"/>
      <c r="AC191" s="1239"/>
      <c r="AD191" s="1239"/>
      <c r="AE191" s="1239"/>
    </row>
    <row r="192" spans="1:31" x14ac:dyDescent="0.2">
      <c r="A192" s="1338"/>
      <c r="B192" s="1339"/>
      <c r="C192" s="1340"/>
      <c r="D192" s="1341"/>
      <c r="E192" s="1338"/>
      <c r="F192" s="1339"/>
      <c r="G192" s="1340"/>
      <c r="H192" s="1341"/>
      <c r="I192" s="1338"/>
      <c r="J192" s="1339"/>
      <c r="K192" s="1340"/>
      <c r="L192" s="1341"/>
      <c r="M192" s="1338"/>
      <c r="N192" s="1339"/>
      <c r="O192" s="1340"/>
      <c r="P192" s="1341"/>
      <c r="Q192" s="1239"/>
      <c r="X192" s="1343" t="e">
        <f ca="1"/>
        <v>#NAME?</v>
      </c>
      <c r="Y192" s="1344" t="e">
        <f ca="1"/>
        <v>#NAME?</v>
      </c>
      <c r="Z192" s="1247"/>
      <c r="AB192" s="1239"/>
      <c r="AC192" s="1239"/>
      <c r="AD192" s="1239"/>
      <c r="AE192" s="1239"/>
    </row>
    <row r="193" spans="1:31" x14ac:dyDescent="0.2">
      <c r="A193" s="1338"/>
      <c r="B193" s="1339"/>
      <c r="C193" s="1340"/>
      <c r="D193" s="1341"/>
      <c r="E193" s="1338"/>
      <c r="F193" s="1339"/>
      <c r="G193" s="1340"/>
      <c r="H193" s="1341"/>
      <c r="I193" s="1338"/>
      <c r="J193" s="1339"/>
      <c r="K193" s="1340"/>
      <c r="L193" s="1341"/>
      <c r="M193" s="1338"/>
      <c r="N193" s="1339"/>
      <c r="O193" s="1340"/>
      <c r="P193" s="1341"/>
      <c r="Q193" s="1239"/>
      <c r="X193" s="1343" t="e">
        <f ca="1"/>
        <v>#NAME?</v>
      </c>
      <c r="Y193" s="1344" t="e">
        <f ca="1"/>
        <v>#NAME?</v>
      </c>
      <c r="Z193" s="1247"/>
      <c r="AB193" s="1239"/>
      <c r="AC193" s="1239"/>
      <c r="AD193" s="1239"/>
      <c r="AE193" s="1239"/>
    </row>
    <row r="194" spans="1:31" x14ac:dyDescent="0.2">
      <c r="A194" s="1338"/>
      <c r="B194" s="1339"/>
      <c r="C194" s="1340"/>
      <c r="D194" s="1341"/>
      <c r="E194" s="1338"/>
      <c r="F194" s="1339"/>
      <c r="G194" s="1340"/>
      <c r="H194" s="1341"/>
      <c r="I194" s="1338"/>
      <c r="J194" s="1339"/>
      <c r="K194" s="1340"/>
      <c r="L194" s="1341"/>
      <c r="M194" s="1338"/>
      <c r="N194" s="1339"/>
      <c r="O194" s="1340"/>
      <c r="P194" s="1341"/>
      <c r="Q194" s="1239"/>
      <c r="X194" s="1343" t="e">
        <f ca="1"/>
        <v>#NAME?</v>
      </c>
      <c r="Y194" s="1344" t="e">
        <f ca="1"/>
        <v>#NAME?</v>
      </c>
      <c r="Z194" s="1247"/>
      <c r="AB194" s="1239"/>
      <c r="AC194" s="1239"/>
      <c r="AD194" s="1239"/>
      <c r="AE194" s="1239"/>
    </row>
    <row r="195" spans="1:31" x14ac:dyDescent="0.2">
      <c r="A195" s="1338"/>
      <c r="B195" s="1339"/>
      <c r="C195" s="1340"/>
      <c r="D195" s="1341"/>
      <c r="E195" s="1338"/>
      <c r="F195" s="1339"/>
      <c r="G195" s="1340"/>
      <c r="H195" s="1341"/>
      <c r="I195" s="1338"/>
      <c r="J195" s="1339"/>
      <c r="K195" s="1340"/>
      <c r="L195" s="1341"/>
      <c r="M195" s="1338"/>
      <c r="N195" s="1339"/>
      <c r="O195" s="1340"/>
      <c r="P195" s="1341"/>
      <c r="Q195" s="1239"/>
      <c r="X195" s="1343" t="e">
        <f ca="1"/>
        <v>#NAME?</v>
      </c>
      <c r="Y195" s="1344" t="e">
        <f ca="1"/>
        <v>#NAME?</v>
      </c>
      <c r="Z195" s="1247"/>
      <c r="AB195" s="1239"/>
      <c r="AC195" s="1239"/>
      <c r="AD195" s="1239"/>
      <c r="AE195" s="1239"/>
    </row>
    <row r="196" spans="1:31" x14ac:dyDescent="0.2">
      <c r="A196" s="1338"/>
      <c r="B196" s="1339"/>
      <c r="C196" s="1340"/>
      <c r="D196" s="1341"/>
      <c r="E196" s="1338"/>
      <c r="F196" s="1339"/>
      <c r="G196" s="1340"/>
      <c r="H196" s="1341"/>
      <c r="I196" s="1338"/>
      <c r="J196" s="1339"/>
      <c r="K196" s="1340"/>
      <c r="L196" s="1341"/>
      <c r="M196" s="1338"/>
      <c r="N196" s="1339"/>
      <c r="O196" s="1340"/>
      <c r="P196" s="1341"/>
      <c r="Q196" s="1239"/>
      <c r="X196" s="1343" t="e">
        <f ca="1"/>
        <v>#NAME?</v>
      </c>
      <c r="Y196" s="1344" t="e">
        <f ca="1"/>
        <v>#NAME?</v>
      </c>
      <c r="Z196" s="1247"/>
      <c r="AB196" s="1239"/>
      <c r="AC196" s="1239"/>
      <c r="AD196" s="1239"/>
      <c r="AE196" s="1239"/>
    </row>
    <row r="197" spans="1:31" x14ac:dyDescent="0.2">
      <c r="A197" s="1338"/>
      <c r="B197" s="1339"/>
      <c r="C197" s="1340"/>
      <c r="D197" s="1341"/>
      <c r="E197" s="1338"/>
      <c r="F197" s="1339"/>
      <c r="G197" s="1340"/>
      <c r="H197" s="1341"/>
      <c r="I197" s="1338"/>
      <c r="J197" s="1339"/>
      <c r="K197" s="1340"/>
      <c r="L197" s="1341"/>
      <c r="M197" s="1338"/>
      <c r="N197" s="1339"/>
      <c r="O197" s="1340"/>
      <c r="P197" s="1341"/>
      <c r="Q197" s="1239"/>
      <c r="X197" s="1343" t="e">
        <f ca="1"/>
        <v>#NAME?</v>
      </c>
      <c r="Y197" s="1344" t="e">
        <f ca="1"/>
        <v>#NAME?</v>
      </c>
      <c r="Z197" s="1247"/>
      <c r="AB197" s="1239"/>
      <c r="AC197" s="1239"/>
      <c r="AD197" s="1239"/>
      <c r="AE197" s="1239"/>
    </row>
    <row r="198" spans="1:31" x14ac:dyDescent="0.2">
      <c r="A198" s="1338"/>
      <c r="B198" s="1339"/>
      <c r="C198" s="1340"/>
      <c r="D198" s="1341"/>
      <c r="E198" s="1338"/>
      <c r="F198" s="1339"/>
      <c r="G198" s="1340"/>
      <c r="H198" s="1341"/>
      <c r="I198" s="1338"/>
      <c r="J198" s="1339"/>
      <c r="K198" s="1340"/>
      <c r="L198" s="1341"/>
      <c r="M198" s="1338"/>
      <c r="N198" s="1339"/>
      <c r="O198" s="1340"/>
      <c r="P198" s="1341"/>
      <c r="Q198" s="1239"/>
      <c r="X198" s="1343" t="e">
        <f ca="1"/>
        <v>#NAME?</v>
      </c>
      <c r="Y198" s="1344" t="e">
        <f ca="1"/>
        <v>#NAME?</v>
      </c>
      <c r="Z198" s="1247"/>
      <c r="AB198" s="1239"/>
      <c r="AC198" s="1239"/>
      <c r="AD198" s="1239"/>
      <c r="AE198" s="1239"/>
    </row>
    <row r="199" spans="1:31" x14ac:dyDescent="0.2">
      <c r="A199" s="1338"/>
      <c r="B199" s="1339"/>
      <c r="C199" s="1340"/>
      <c r="D199" s="1341"/>
      <c r="E199" s="1338"/>
      <c r="F199" s="1339"/>
      <c r="G199" s="1340"/>
      <c r="H199" s="1341"/>
      <c r="I199" s="1338"/>
      <c r="J199" s="1339"/>
      <c r="K199" s="1340"/>
      <c r="L199" s="1341"/>
      <c r="M199" s="1338"/>
      <c r="N199" s="1339"/>
      <c r="O199" s="1340"/>
      <c r="P199" s="1341"/>
      <c r="Q199" s="1239"/>
      <c r="X199" s="1343" t="e">
        <f ca="1"/>
        <v>#NAME?</v>
      </c>
      <c r="Y199" s="1344" t="e">
        <f ca="1"/>
        <v>#NAME?</v>
      </c>
      <c r="Z199" s="1247"/>
      <c r="AB199" s="1239"/>
      <c r="AC199" s="1239"/>
      <c r="AD199" s="1239"/>
      <c r="AE199" s="1239"/>
    </row>
    <row r="200" spans="1:31" x14ac:dyDescent="0.2">
      <c r="A200" s="1338"/>
      <c r="B200" s="1339"/>
      <c r="C200" s="1340"/>
      <c r="D200" s="1341"/>
      <c r="E200" s="1338"/>
      <c r="F200" s="1339"/>
      <c r="G200" s="1340"/>
      <c r="H200" s="1341"/>
      <c r="I200" s="1338"/>
      <c r="J200" s="1339"/>
      <c r="K200" s="1340"/>
      <c r="L200" s="1341"/>
      <c r="M200" s="1338"/>
      <c r="N200" s="1339"/>
      <c r="O200" s="1340"/>
      <c r="P200" s="1341"/>
      <c r="Q200" s="1239"/>
      <c r="X200" s="1343" t="e">
        <f ca="1"/>
        <v>#NAME?</v>
      </c>
      <c r="Y200" s="1344" t="e">
        <f ca="1"/>
        <v>#NAME?</v>
      </c>
      <c r="Z200" s="1247"/>
      <c r="AB200" s="1239"/>
      <c r="AC200" s="1239"/>
      <c r="AD200" s="1239"/>
      <c r="AE200" s="1239"/>
    </row>
    <row r="201" spans="1:31" x14ac:dyDescent="0.2">
      <c r="A201" s="1338"/>
      <c r="B201" s="1339"/>
      <c r="C201" s="1340"/>
      <c r="D201" s="1341"/>
      <c r="E201" s="1338"/>
      <c r="F201" s="1339"/>
      <c r="G201" s="1340"/>
      <c r="H201" s="1341"/>
      <c r="I201" s="1338"/>
      <c r="J201" s="1339"/>
      <c r="K201" s="1340"/>
      <c r="L201" s="1341"/>
      <c r="M201" s="1338"/>
      <c r="N201" s="1339"/>
      <c r="O201" s="1340"/>
      <c r="P201" s="1341"/>
      <c r="Q201" s="1239"/>
      <c r="X201" s="1343" t="e">
        <f ca="1"/>
        <v>#NAME?</v>
      </c>
      <c r="Y201" s="1344" t="e">
        <f ca="1"/>
        <v>#NAME?</v>
      </c>
      <c r="Z201" s="1247"/>
      <c r="AB201" s="1239"/>
      <c r="AC201" s="1239"/>
      <c r="AD201" s="1239"/>
      <c r="AE201" s="1239"/>
    </row>
    <row r="202" spans="1:31" x14ac:dyDescent="0.2">
      <c r="A202" s="1338"/>
      <c r="B202" s="1339"/>
      <c r="C202" s="1340"/>
      <c r="D202" s="1341"/>
      <c r="E202" s="1338"/>
      <c r="F202" s="1339"/>
      <c r="G202" s="1340"/>
      <c r="H202" s="1341"/>
      <c r="I202" s="1338"/>
      <c r="J202" s="1339"/>
      <c r="K202" s="1340"/>
      <c r="L202" s="1341"/>
      <c r="M202" s="1338"/>
      <c r="N202" s="1339"/>
      <c r="O202" s="1340"/>
      <c r="P202" s="1341"/>
      <c r="Q202" s="1239"/>
      <c r="X202" s="1343" t="e">
        <f ca="1"/>
        <v>#NAME?</v>
      </c>
      <c r="Y202" s="1344" t="e">
        <f ca="1"/>
        <v>#NAME?</v>
      </c>
      <c r="Z202" s="1247"/>
      <c r="AB202" s="1239"/>
      <c r="AC202" s="1239"/>
      <c r="AD202" s="1239"/>
      <c r="AE202" s="1239"/>
    </row>
    <row r="203" spans="1:31" x14ac:dyDescent="0.2">
      <c r="A203" s="1338"/>
      <c r="B203" s="1339"/>
      <c r="C203" s="1340"/>
      <c r="D203" s="1341"/>
      <c r="E203" s="1338"/>
      <c r="F203" s="1339"/>
      <c r="G203" s="1340"/>
      <c r="H203" s="1341"/>
      <c r="I203" s="1338"/>
      <c r="J203" s="1339"/>
      <c r="K203" s="1340"/>
      <c r="L203" s="1341"/>
      <c r="M203" s="1338"/>
      <c r="N203" s="1339"/>
      <c r="O203" s="1340"/>
      <c r="P203" s="1341"/>
      <c r="Q203" s="1239"/>
      <c r="X203" s="1343" t="e">
        <f ca="1"/>
        <v>#NAME?</v>
      </c>
      <c r="Y203" s="1344" t="e">
        <f ca="1"/>
        <v>#NAME?</v>
      </c>
      <c r="Z203" s="1247"/>
      <c r="AB203" s="1239"/>
      <c r="AC203" s="1239"/>
      <c r="AD203" s="1239"/>
      <c r="AE203" s="1239"/>
    </row>
    <row r="204" spans="1:31" x14ac:dyDescent="0.2">
      <c r="A204" s="1338"/>
      <c r="B204" s="1339"/>
      <c r="C204" s="1340"/>
      <c r="D204" s="1341"/>
      <c r="E204" s="1338"/>
      <c r="F204" s="1339"/>
      <c r="G204" s="1340"/>
      <c r="H204" s="1341"/>
      <c r="I204" s="1338"/>
      <c r="J204" s="1339"/>
      <c r="K204" s="1340"/>
      <c r="L204" s="1341"/>
      <c r="M204" s="1338"/>
      <c r="N204" s="1339"/>
      <c r="O204" s="1340"/>
      <c r="P204" s="1341"/>
      <c r="Q204" s="1239"/>
      <c r="X204" s="1343" t="e">
        <f ca="1"/>
        <v>#NAME?</v>
      </c>
      <c r="Y204" s="1344" t="e">
        <f ca="1"/>
        <v>#NAME?</v>
      </c>
      <c r="Z204" s="1247"/>
      <c r="AB204" s="1239"/>
      <c r="AC204" s="1239"/>
      <c r="AD204" s="1239"/>
      <c r="AE204" s="1239"/>
    </row>
    <row r="205" spans="1:31" x14ac:dyDescent="0.2">
      <c r="A205" s="1338"/>
      <c r="B205" s="1339"/>
      <c r="C205" s="1340"/>
      <c r="D205" s="1341"/>
      <c r="E205" s="1338"/>
      <c r="F205" s="1339"/>
      <c r="G205" s="1340"/>
      <c r="H205" s="1341"/>
      <c r="I205" s="1338"/>
      <c r="J205" s="1339"/>
      <c r="K205" s="1340"/>
      <c r="L205" s="1341"/>
      <c r="M205" s="1338"/>
      <c r="N205" s="1339"/>
      <c r="O205" s="1340"/>
      <c r="P205" s="1341"/>
      <c r="Q205" s="1239"/>
      <c r="X205" s="1343" t="e">
        <f ca="1"/>
        <v>#NAME?</v>
      </c>
      <c r="Y205" s="1344" t="e">
        <f ca="1"/>
        <v>#NAME?</v>
      </c>
      <c r="Z205" s="1247"/>
      <c r="AB205" s="1239"/>
      <c r="AC205" s="1239"/>
      <c r="AD205" s="1239"/>
      <c r="AE205" s="1239"/>
    </row>
    <row r="206" spans="1:31" x14ac:dyDescent="0.2">
      <c r="A206" s="1338"/>
      <c r="B206" s="1339"/>
      <c r="C206" s="1340"/>
      <c r="D206" s="1341"/>
      <c r="E206" s="1338"/>
      <c r="F206" s="1339"/>
      <c r="G206" s="1340"/>
      <c r="H206" s="1341"/>
      <c r="I206" s="1338"/>
      <c r="J206" s="1339"/>
      <c r="K206" s="1340"/>
      <c r="L206" s="1341"/>
      <c r="M206" s="1338"/>
      <c r="N206" s="1339"/>
      <c r="O206" s="1340"/>
      <c r="P206" s="1341"/>
      <c r="Q206" s="1239"/>
      <c r="X206" s="1343" t="e">
        <f ca="1"/>
        <v>#NAME?</v>
      </c>
      <c r="Y206" s="1344" t="e">
        <f ca="1"/>
        <v>#NAME?</v>
      </c>
      <c r="Z206" s="1247"/>
      <c r="AB206" s="1239"/>
      <c r="AC206" s="1239"/>
      <c r="AD206" s="1239"/>
      <c r="AE206" s="1239"/>
    </row>
    <row r="207" spans="1:31" x14ac:dyDescent="0.2">
      <c r="A207" s="1338"/>
      <c r="B207" s="1339"/>
      <c r="C207" s="1340"/>
      <c r="D207" s="1341"/>
      <c r="E207" s="1338"/>
      <c r="F207" s="1339"/>
      <c r="G207" s="1340"/>
      <c r="H207" s="1341"/>
      <c r="I207" s="1338"/>
      <c r="J207" s="1339"/>
      <c r="K207" s="1340"/>
      <c r="L207" s="1341"/>
      <c r="M207" s="1338"/>
      <c r="N207" s="1339"/>
      <c r="O207" s="1340"/>
      <c r="P207" s="1341"/>
      <c r="Q207" s="1239"/>
      <c r="X207" s="1343" t="e">
        <f ca="1"/>
        <v>#NAME?</v>
      </c>
      <c r="Y207" s="1344" t="e">
        <f ca="1"/>
        <v>#NAME?</v>
      </c>
      <c r="Z207" s="1247"/>
      <c r="AB207" s="1239"/>
      <c r="AC207" s="1239"/>
      <c r="AD207" s="1239"/>
      <c r="AE207" s="1239"/>
    </row>
    <row r="208" spans="1:31" x14ac:dyDescent="0.2">
      <c r="A208" s="1338"/>
      <c r="B208" s="1339"/>
      <c r="C208" s="1340"/>
      <c r="D208" s="1341"/>
      <c r="E208" s="1338"/>
      <c r="F208" s="1339"/>
      <c r="G208" s="1340"/>
      <c r="H208" s="1341"/>
      <c r="I208" s="1338"/>
      <c r="J208" s="1339"/>
      <c r="K208" s="1340"/>
      <c r="L208" s="1341"/>
      <c r="M208" s="1338"/>
      <c r="N208" s="1339"/>
      <c r="O208" s="1340"/>
      <c r="P208" s="1341"/>
      <c r="Q208" s="1239"/>
      <c r="X208" s="1343" t="e">
        <f ca="1"/>
        <v>#NAME?</v>
      </c>
      <c r="Y208" s="1344" t="e">
        <f ca="1"/>
        <v>#NAME?</v>
      </c>
      <c r="Z208" s="1247"/>
      <c r="AB208" s="1239"/>
      <c r="AC208" s="1239"/>
      <c r="AD208" s="1239"/>
      <c r="AE208" s="1239"/>
    </row>
    <row r="209" spans="1:31" x14ac:dyDescent="0.2">
      <c r="A209" s="1338"/>
      <c r="B209" s="1339"/>
      <c r="C209" s="1340"/>
      <c r="D209" s="1341"/>
      <c r="E209" s="1338"/>
      <c r="F209" s="1339"/>
      <c r="G209" s="1340"/>
      <c r="H209" s="1341"/>
      <c r="I209" s="1338"/>
      <c r="J209" s="1339"/>
      <c r="K209" s="1340"/>
      <c r="L209" s="1341"/>
      <c r="M209" s="1338"/>
      <c r="N209" s="1339"/>
      <c r="O209" s="1340"/>
      <c r="P209" s="1341"/>
      <c r="Q209" s="1239"/>
      <c r="X209" s="1343" t="e">
        <f ca="1"/>
        <v>#NAME?</v>
      </c>
      <c r="Y209" s="1344" t="e">
        <f ca="1"/>
        <v>#NAME?</v>
      </c>
      <c r="Z209" s="1247"/>
      <c r="AB209" s="1239"/>
      <c r="AC209" s="1239"/>
      <c r="AD209" s="1239"/>
      <c r="AE209" s="1239"/>
    </row>
    <row r="210" spans="1:31" x14ac:dyDescent="0.2">
      <c r="A210" s="1338"/>
      <c r="B210" s="1339"/>
      <c r="C210" s="1340"/>
      <c r="D210" s="1341"/>
      <c r="E210" s="1338"/>
      <c r="F210" s="1339"/>
      <c r="G210" s="1340"/>
      <c r="H210" s="1341"/>
      <c r="I210" s="1338"/>
      <c r="J210" s="1339"/>
      <c r="K210" s="1340"/>
      <c r="L210" s="1341"/>
      <c r="M210" s="1338"/>
      <c r="N210" s="1339"/>
      <c r="O210" s="1340"/>
      <c r="P210" s="1341"/>
      <c r="Q210" s="1239"/>
      <c r="X210" s="1343" t="e">
        <f ca="1"/>
        <v>#NAME?</v>
      </c>
      <c r="Y210" s="1344" t="e">
        <f ca="1"/>
        <v>#NAME?</v>
      </c>
      <c r="Z210" s="1247"/>
      <c r="AB210" s="1239"/>
      <c r="AC210" s="1239"/>
      <c r="AD210" s="1239"/>
      <c r="AE210" s="1239"/>
    </row>
    <row r="211" spans="1:31" x14ac:dyDescent="0.2">
      <c r="A211" s="1338"/>
      <c r="B211" s="1339"/>
      <c r="C211" s="1340"/>
      <c r="D211" s="1341"/>
      <c r="E211" s="1338"/>
      <c r="F211" s="1339"/>
      <c r="G211" s="1340"/>
      <c r="H211" s="1341"/>
      <c r="I211" s="1338"/>
      <c r="J211" s="1339"/>
      <c r="K211" s="1340"/>
      <c r="L211" s="1341"/>
      <c r="M211" s="1338"/>
      <c r="N211" s="1339"/>
      <c r="O211" s="1340"/>
      <c r="P211" s="1341"/>
      <c r="Q211" s="1239"/>
      <c r="X211" s="1343" t="e">
        <f ca="1"/>
        <v>#NAME?</v>
      </c>
      <c r="Y211" s="1344" t="e">
        <f ca="1"/>
        <v>#NAME?</v>
      </c>
      <c r="Z211" s="1247"/>
      <c r="AB211" s="1239"/>
      <c r="AC211" s="1239"/>
      <c r="AD211" s="1239"/>
      <c r="AE211" s="1239"/>
    </row>
    <row r="212" spans="1:31" x14ac:dyDescent="0.2">
      <c r="A212" s="1338"/>
      <c r="B212" s="1339"/>
      <c r="C212" s="1340"/>
      <c r="D212" s="1341"/>
      <c r="E212" s="1338"/>
      <c r="F212" s="1339"/>
      <c r="G212" s="1340"/>
      <c r="H212" s="1341"/>
      <c r="I212" s="1338"/>
      <c r="J212" s="1339"/>
      <c r="K212" s="1340"/>
      <c r="L212" s="1341"/>
      <c r="M212" s="1338"/>
      <c r="N212" s="1339"/>
      <c r="O212" s="1340"/>
      <c r="P212" s="1341"/>
      <c r="Q212" s="1239"/>
      <c r="X212" s="1343" t="e">
        <f ca="1"/>
        <v>#NAME?</v>
      </c>
      <c r="Y212" s="1344" t="e">
        <f ca="1"/>
        <v>#NAME?</v>
      </c>
      <c r="Z212" s="1247"/>
      <c r="AB212" s="1239"/>
      <c r="AC212" s="1239"/>
      <c r="AD212" s="1239"/>
      <c r="AE212" s="1239"/>
    </row>
    <row r="213" spans="1:31" x14ac:dyDescent="0.2">
      <c r="A213" s="1338"/>
      <c r="B213" s="1339"/>
      <c r="C213" s="1340"/>
      <c r="D213" s="1341"/>
      <c r="E213" s="1338"/>
      <c r="F213" s="1339"/>
      <c r="G213" s="1340"/>
      <c r="H213" s="1341"/>
      <c r="I213" s="1338"/>
      <c r="J213" s="1339"/>
      <c r="K213" s="1340"/>
      <c r="L213" s="1341"/>
      <c r="M213" s="1338"/>
      <c r="N213" s="1339"/>
      <c r="O213" s="1340"/>
      <c r="P213" s="1341"/>
      <c r="Q213" s="1239"/>
      <c r="X213" s="1343" t="e">
        <f ca="1"/>
        <v>#NAME?</v>
      </c>
      <c r="Y213" s="1344" t="e">
        <f ca="1"/>
        <v>#NAME?</v>
      </c>
      <c r="Z213" s="1247"/>
      <c r="AB213" s="1239"/>
      <c r="AC213" s="1239"/>
      <c r="AD213" s="1239"/>
      <c r="AE213" s="1239"/>
    </row>
    <row r="214" spans="1:31" x14ac:dyDescent="0.2">
      <c r="A214" s="1338"/>
      <c r="B214" s="1339"/>
      <c r="C214" s="1340"/>
      <c r="D214" s="1341"/>
      <c r="E214" s="1338"/>
      <c r="F214" s="1339"/>
      <c r="G214" s="1340"/>
      <c r="H214" s="1341"/>
      <c r="I214" s="1338"/>
      <c r="J214" s="1339"/>
      <c r="K214" s="1340"/>
      <c r="L214" s="1341"/>
      <c r="M214" s="1338"/>
      <c r="N214" s="1339"/>
      <c r="O214" s="1340"/>
      <c r="P214" s="1341"/>
      <c r="Q214" s="1239"/>
      <c r="X214" s="1343" t="e">
        <f ca="1"/>
        <v>#NAME?</v>
      </c>
      <c r="Y214" s="1344" t="e">
        <f ca="1"/>
        <v>#NAME?</v>
      </c>
      <c r="Z214" s="1247"/>
      <c r="AB214" s="1239"/>
      <c r="AC214" s="1239"/>
      <c r="AD214" s="1239"/>
      <c r="AE214" s="1239"/>
    </row>
    <row r="215" spans="1:31" x14ac:dyDescent="0.2">
      <c r="A215" s="1338"/>
      <c r="B215" s="1339"/>
      <c r="C215" s="1340"/>
      <c r="D215" s="1341"/>
      <c r="E215" s="1338"/>
      <c r="F215" s="1339"/>
      <c r="G215" s="1340"/>
      <c r="H215" s="1341"/>
      <c r="I215" s="1338"/>
      <c r="J215" s="1339"/>
      <c r="K215" s="1340"/>
      <c r="L215" s="1341"/>
      <c r="M215" s="1338"/>
      <c r="N215" s="1339"/>
      <c r="O215" s="1340"/>
      <c r="P215" s="1341"/>
      <c r="Q215" s="1239"/>
      <c r="X215" s="1343" t="e">
        <f ca="1"/>
        <v>#NAME?</v>
      </c>
      <c r="Y215" s="1344" t="e">
        <f ca="1"/>
        <v>#NAME?</v>
      </c>
      <c r="Z215" s="1247"/>
      <c r="AB215" s="1239"/>
      <c r="AC215" s="1239"/>
      <c r="AD215" s="1239"/>
      <c r="AE215" s="1239"/>
    </row>
    <row r="216" spans="1:31" x14ac:dyDescent="0.2">
      <c r="A216" s="1338"/>
      <c r="B216" s="1339"/>
      <c r="C216" s="1340"/>
      <c r="D216" s="1341"/>
      <c r="E216" s="1338"/>
      <c r="F216" s="1339"/>
      <c r="G216" s="1340"/>
      <c r="H216" s="1341"/>
      <c r="I216" s="1338"/>
      <c r="J216" s="1339"/>
      <c r="K216" s="1340"/>
      <c r="L216" s="1341"/>
      <c r="M216" s="1338"/>
      <c r="N216" s="1339"/>
      <c r="O216" s="1340"/>
      <c r="P216" s="1341"/>
      <c r="Q216" s="1239"/>
      <c r="X216" s="1343" t="e">
        <f ca="1"/>
        <v>#NAME?</v>
      </c>
      <c r="Y216" s="1344" t="e">
        <f ca="1"/>
        <v>#NAME?</v>
      </c>
      <c r="Z216" s="1247"/>
      <c r="AB216" s="1239"/>
      <c r="AC216" s="1239"/>
      <c r="AD216" s="1239"/>
      <c r="AE216" s="1239"/>
    </row>
    <row r="217" spans="1:31" x14ac:dyDescent="0.2">
      <c r="A217" s="1338"/>
      <c r="B217" s="1339"/>
      <c r="C217" s="1340"/>
      <c r="D217" s="1341"/>
      <c r="E217" s="1338"/>
      <c r="F217" s="1339"/>
      <c r="G217" s="1340"/>
      <c r="H217" s="1341"/>
      <c r="I217" s="1338"/>
      <c r="J217" s="1339"/>
      <c r="K217" s="1340"/>
      <c r="L217" s="1341"/>
      <c r="M217" s="1338"/>
      <c r="N217" s="1339"/>
      <c r="O217" s="1340"/>
      <c r="P217" s="1341"/>
      <c r="Q217" s="1239"/>
      <c r="X217" s="1343" t="e">
        <f ca="1"/>
        <v>#NAME?</v>
      </c>
      <c r="Y217" s="1344" t="e">
        <f ca="1"/>
        <v>#NAME?</v>
      </c>
      <c r="Z217" s="1247"/>
      <c r="AB217" s="1239"/>
      <c r="AC217" s="1239"/>
      <c r="AD217" s="1239"/>
      <c r="AE217" s="1239"/>
    </row>
    <row r="218" spans="1:31" x14ac:dyDescent="0.2">
      <c r="A218" s="1338"/>
      <c r="B218" s="1339"/>
      <c r="C218" s="1340"/>
      <c r="D218" s="1341"/>
      <c r="E218" s="1338"/>
      <c r="F218" s="1339"/>
      <c r="G218" s="1340"/>
      <c r="H218" s="1341"/>
      <c r="I218" s="1338"/>
      <c r="J218" s="1339"/>
      <c r="K218" s="1340"/>
      <c r="L218" s="1341"/>
      <c r="M218" s="1338"/>
      <c r="N218" s="1339"/>
      <c r="O218" s="1340"/>
      <c r="P218" s="1341"/>
      <c r="Q218" s="1239"/>
      <c r="X218" s="1343" t="e">
        <f ca="1"/>
        <v>#NAME?</v>
      </c>
      <c r="Y218" s="1344" t="e">
        <f ca="1"/>
        <v>#NAME?</v>
      </c>
      <c r="Z218" s="1247"/>
      <c r="AB218" s="1239"/>
      <c r="AC218" s="1239"/>
      <c r="AD218" s="1239"/>
      <c r="AE218" s="1239"/>
    </row>
    <row r="219" spans="1:31" x14ac:dyDescent="0.2">
      <c r="A219" s="1338"/>
      <c r="B219" s="1339"/>
      <c r="C219" s="1340"/>
      <c r="D219" s="1341"/>
      <c r="E219" s="1338"/>
      <c r="F219" s="1339"/>
      <c r="G219" s="1340"/>
      <c r="H219" s="1341"/>
      <c r="I219" s="1338"/>
      <c r="J219" s="1339"/>
      <c r="K219" s="1340"/>
      <c r="L219" s="1341"/>
      <c r="M219" s="1338"/>
      <c r="N219" s="1339"/>
      <c r="O219" s="1340"/>
      <c r="P219" s="1341"/>
      <c r="Q219" s="1239"/>
      <c r="X219" s="1343" t="e">
        <f ca="1"/>
        <v>#NAME?</v>
      </c>
      <c r="Y219" s="1344" t="e">
        <f ca="1"/>
        <v>#NAME?</v>
      </c>
      <c r="Z219" s="1247"/>
      <c r="AB219" s="1239"/>
      <c r="AC219" s="1239"/>
      <c r="AD219" s="1239"/>
      <c r="AE219" s="1239"/>
    </row>
    <row r="220" spans="1:31" x14ac:dyDescent="0.2">
      <c r="A220" s="1338"/>
      <c r="B220" s="1339"/>
      <c r="C220" s="1340"/>
      <c r="D220" s="1341"/>
      <c r="E220" s="1338"/>
      <c r="F220" s="1339"/>
      <c r="G220" s="1340"/>
      <c r="H220" s="1341"/>
      <c r="I220" s="1338"/>
      <c r="J220" s="1339"/>
      <c r="K220" s="1340"/>
      <c r="L220" s="1341"/>
      <c r="M220" s="1338"/>
      <c r="N220" s="1339"/>
      <c r="O220" s="1340"/>
      <c r="P220" s="1341"/>
      <c r="Q220" s="1239"/>
      <c r="X220" s="1343" t="e">
        <f ca="1"/>
        <v>#NAME?</v>
      </c>
      <c r="Y220" s="1344" t="e">
        <f ca="1"/>
        <v>#NAME?</v>
      </c>
      <c r="Z220" s="1247"/>
      <c r="AB220" s="1239"/>
      <c r="AC220" s="1239"/>
      <c r="AD220" s="1239"/>
      <c r="AE220" s="1239"/>
    </row>
    <row r="221" spans="1:31" x14ac:dyDescent="0.2">
      <c r="A221" s="1338"/>
      <c r="B221" s="1339"/>
      <c r="C221" s="1340"/>
      <c r="D221" s="1341"/>
      <c r="E221" s="1338"/>
      <c r="F221" s="1339"/>
      <c r="G221" s="1340"/>
      <c r="H221" s="1341"/>
      <c r="I221" s="1338"/>
      <c r="J221" s="1339"/>
      <c r="K221" s="1340"/>
      <c r="L221" s="1341"/>
      <c r="M221" s="1338"/>
      <c r="N221" s="1339"/>
      <c r="O221" s="1340"/>
      <c r="P221" s="1341"/>
      <c r="Q221" s="1239"/>
      <c r="X221" s="1343" t="e">
        <f ca="1"/>
        <v>#NAME?</v>
      </c>
      <c r="Y221" s="1344" t="e">
        <f ca="1"/>
        <v>#NAME?</v>
      </c>
      <c r="Z221" s="1247"/>
      <c r="AB221" s="1239"/>
      <c r="AC221" s="1239"/>
      <c r="AD221" s="1239"/>
      <c r="AE221" s="1239"/>
    </row>
    <row r="222" spans="1:31" x14ac:dyDescent="0.2">
      <c r="A222" s="1338"/>
      <c r="B222" s="1339"/>
      <c r="C222" s="1340"/>
      <c r="D222" s="1341"/>
      <c r="E222" s="1338"/>
      <c r="F222" s="1339"/>
      <c r="G222" s="1340"/>
      <c r="H222" s="1341"/>
      <c r="I222" s="1338"/>
      <c r="J222" s="1339"/>
      <c r="K222" s="1340"/>
      <c r="L222" s="1341"/>
      <c r="M222" s="1338"/>
      <c r="N222" s="1339"/>
      <c r="O222" s="1340"/>
      <c r="P222" s="1341"/>
      <c r="Q222" s="1239"/>
      <c r="X222" s="1343" t="e">
        <f ca="1"/>
        <v>#NAME?</v>
      </c>
      <c r="Y222" s="1344" t="e">
        <f ca="1"/>
        <v>#NAME?</v>
      </c>
      <c r="Z222" s="1247"/>
      <c r="AB222" s="1239"/>
      <c r="AC222" s="1239"/>
      <c r="AD222" s="1239"/>
      <c r="AE222" s="1239"/>
    </row>
    <row r="223" spans="1:31" x14ac:dyDescent="0.2">
      <c r="A223" s="1338"/>
      <c r="B223" s="1339"/>
      <c r="C223" s="1340"/>
      <c r="D223" s="1341"/>
      <c r="E223" s="1338"/>
      <c r="F223" s="1339"/>
      <c r="G223" s="1340"/>
      <c r="H223" s="1341"/>
      <c r="I223" s="1338"/>
      <c r="J223" s="1339"/>
      <c r="K223" s="1340"/>
      <c r="L223" s="1341"/>
      <c r="M223" s="1338"/>
      <c r="N223" s="1339"/>
      <c r="O223" s="1340"/>
      <c r="P223" s="1341"/>
      <c r="Q223" s="1239"/>
      <c r="X223" s="1343" t="e">
        <f ca="1"/>
        <v>#NAME?</v>
      </c>
      <c r="Y223" s="1344" t="e">
        <f ca="1"/>
        <v>#NAME?</v>
      </c>
      <c r="Z223" s="1247"/>
      <c r="AB223" s="1239"/>
      <c r="AC223" s="1239"/>
      <c r="AD223" s="1239"/>
      <c r="AE223" s="1239"/>
    </row>
    <row r="224" spans="1:31" x14ac:dyDescent="0.2">
      <c r="A224" s="1338"/>
      <c r="B224" s="1339"/>
      <c r="C224" s="1340"/>
      <c r="D224" s="1341"/>
      <c r="E224" s="1338"/>
      <c r="F224" s="1339"/>
      <c r="G224" s="1340"/>
      <c r="H224" s="1341"/>
      <c r="I224" s="1338"/>
      <c r="J224" s="1339"/>
      <c r="K224" s="1340"/>
      <c r="L224" s="1341"/>
      <c r="M224" s="1338"/>
      <c r="N224" s="1339"/>
      <c r="O224" s="1340"/>
      <c r="P224" s="1341"/>
      <c r="Q224" s="1239"/>
      <c r="X224" s="1343" t="e">
        <f ca="1"/>
        <v>#NAME?</v>
      </c>
      <c r="Y224" s="1344" t="e">
        <f ca="1"/>
        <v>#NAME?</v>
      </c>
      <c r="Z224" s="1247"/>
      <c r="AB224" s="1239"/>
      <c r="AC224" s="1239"/>
      <c r="AD224" s="1239"/>
      <c r="AE224" s="1239"/>
    </row>
    <row r="225" spans="1:31" x14ac:dyDescent="0.2">
      <c r="A225" s="1338"/>
      <c r="B225" s="1339"/>
      <c r="C225" s="1340"/>
      <c r="D225" s="1341"/>
      <c r="E225" s="1338"/>
      <c r="F225" s="1339"/>
      <c r="G225" s="1340"/>
      <c r="H225" s="1341"/>
      <c r="I225" s="1338"/>
      <c r="J225" s="1339"/>
      <c r="K225" s="1340"/>
      <c r="L225" s="1341"/>
      <c r="M225" s="1338"/>
      <c r="N225" s="1339"/>
      <c r="O225" s="1340"/>
      <c r="P225" s="1341"/>
      <c r="Q225" s="1239"/>
      <c r="X225" s="1343" t="e">
        <f ca="1"/>
        <v>#NAME?</v>
      </c>
      <c r="Y225" s="1344" t="e">
        <f ca="1"/>
        <v>#NAME?</v>
      </c>
      <c r="Z225" s="1247"/>
      <c r="AB225" s="1239"/>
      <c r="AC225" s="1239"/>
      <c r="AD225" s="1239"/>
      <c r="AE225" s="1239"/>
    </row>
    <row r="226" spans="1:31" x14ac:dyDescent="0.2">
      <c r="A226" s="1338"/>
      <c r="B226" s="1339"/>
      <c r="C226" s="1340"/>
      <c r="D226" s="1341"/>
      <c r="E226" s="1338"/>
      <c r="F226" s="1339"/>
      <c r="G226" s="1340"/>
      <c r="H226" s="1341"/>
      <c r="I226" s="1338"/>
      <c r="J226" s="1339"/>
      <c r="K226" s="1340"/>
      <c r="L226" s="1341"/>
      <c r="M226" s="1338"/>
      <c r="N226" s="1339"/>
      <c r="O226" s="1340"/>
      <c r="P226" s="1341"/>
      <c r="Q226" s="1239"/>
      <c r="X226" s="1343" t="e">
        <f ca="1"/>
        <v>#NAME?</v>
      </c>
      <c r="Y226" s="1344" t="e">
        <f ca="1"/>
        <v>#NAME?</v>
      </c>
      <c r="Z226" s="1247"/>
      <c r="AB226" s="1239"/>
      <c r="AC226" s="1239"/>
      <c r="AD226" s="1239"/>
      <c r="AE226" s="1239"/>
    </row>
    <row r="227" spans="1:31" x14ac:dyDescent="0.2">
      <c r="A227" s="1338"/>
      <c r="B227" s="1339"/>
      <c r="C227" s="1340"/>
      <c r="D227" s="1341"/>
      <c r="E227" s="1338"/>
      <c r="F227" s="1339"/>
      <c r="G227" s="1340"/>
      <c r="H227" s="1341"/>
      <c r="I227" s="1338"/>
      <c r="J227" s="1339"/>
      <c r="K227" s="1340"/>
      <c r="L227" s="1341"/>
      <c r="M227" s="1338"/>
      <c r="N227" s="1339"/>
      <c r="O227" s="1340"/>
      <c r="P227" s="1341"/>
      <c r="Q227" s="1239"/>
      <c r="X227" s="1343" t="e">
        <f ca="1"/>
        <v>#NAME?</v>
      </c>
      <c r="Y227" s="1344" t="e">
        <f ca="1"/>
        <v>#NAME?</v>
      </c>
      <c r="Z227" s="1247"/>
      <c r="AB227" s="1239"/>
      <c r="AC227" s="1239"/>
      <c r="AD227" s="1239"/>
      <c r="AE227" s="1239"/>
    </row>
    <row r="228" spans="1:31" x14ac:dyDescent="0.2">
      <c r="A228" s="1338"/>
      <c r="B228" s="1339"/>
      <c r="C228" s="1340"/>
      <c r="D228" s="1341"/>
      <c r="E228" s="1338"/>
      <c r="F228" s="1339"/>
      <c r="G228" s="1340"/>
      <c r="H228" s="1341"/>
      <c r="I228" s="1338"/>
      <c r="J228" s="1339"/>
      <c r="K228" s="1340"/>
      <c r="L228" s="1341"/>
      <c r="M228" s="1338"/>
      <c r="N228" s="1339"/>
      <c r="O228" s="1340"/>
      <c r="P228" s="1341"/>
      <c r="Q228" s="1239"/>
      <c r="X228" s="1343" t="e">
        <f ca="1"/>
        <v>#NAME?</v>
      </c>
      <c r="Y228" s="1344" t="e">
        <f ca="1"/>
        <v>#NAME?</v>
      </c>
      <c r="Z228" s="1247"/>
      <c r="AB228" s="1239"/>
      <c r="AC228" s="1239"/>
      <c r="AD228" s="1239"/>
      <c r="AE228" s="1239"/>
    </row>
    <row r="229" spans="1:31" x14ac:dyDescent="0.2">
      <c r="A229" s="1338"/>
      <c r="B229" s="1339"/>
      <c r="C229" s="1340"/>
      <c r="D229" s="1341"/>
      <c r="E229" s="1338"/>
      <c r="F229" s="1339"/>
      <c r="G229" s="1340"/>
      <c r="H229" s="1341"/>
      <c r="I229" s="1338"/>
      <c r="J229" s="1339"/>
      <c r="K229" s="1340"/>
      <c r="L229" s="1341"/>
      <c r="M229" s="1338"/>
      <c r="N229" s="1339"/>
      <c r="O229" s="1340"/>
      <c r="P229" s="1341"/>
      <c r="Q229" s="1239"/>
      <c r="X229" s="1343" t="e">
        <f ca="1"/>
        <v>#NAME?</v>
      </c>
      <c r="Y229" s="1344" t="e">
        <f ca="1"/>
        <v>#NAME?</v>
      </c>
      <c r="Z229" s="1247"/>
      <c r="AB229" s="1239"/>
      <c r="AC229" s="1239"/>
      <c r="AD229" s="1239"/>
      <c r="AE229" s="1239"/>
    </row>
    <row r="230" spans="1:31" x14ac:dyDescent="0.2">
      <c r="A230" s="1338"/>
      <c r="B230" s="1339"/>
      <c r="C230" s="1340"/>
      <c r="D230" s="1341"/>
      <c r="E230" s="1338"/>
      <c r="F230" s="1339"/>
      <c r="G230" s="1340"/>
      <c r="H230" s="1341"/>
      <c r="I230" s="1338"/>
      <c r="J230" s="1339"/>
      <c r="K230" s="1340"/>
      <c r="L230" s="1341"/>
      <c r="M230" s="1338"/>
      <c r="N230" s="1339"/>
      <c r="O230" s="1340"/>
      <c r="P230" s="1341"/>
      <c r="Q230" s="1239"/>
      <c r="X230" s="1343" t="e">
        <f ca="1"/>
        <v>#NAME?</v>
      </c>
      <c r="Y230" s="1344" t="e">
        <f ca="1"/>
        <v>#NAME?</v>
      </c>
      <c r="Z230" s="1247"/>
      <c r="AB230" s="1239"/>
      <c r="AC230" s="1239"/>
      <c r="AD230" s="1239"/>
      <c r="AE230" s="1239"/>
    </row>
    <row r="231" spans="1:31" x14ac:dyDescent="0.2">
      <c r="A231" s="1338"/>
      <c r="B231" s="1339"/>
      <c r="C231" s="1340"/>
      <c r="D231" s="1341"/>
      <c r="E231" s="1338"/>
      <c r="F231" s="1339"/>
      <c r="G231" s="1340"/>
      <c r="H231" s="1341"/>
      <c r="I231" s="1338"/>
      <c r="J231" s="1339"/>
      <c r="K231" s="1340"/>
      <c r="L231" s="1341"/>
      <c r="M231" s="1338"/>
      <c r="N231" s="1339"/>
      <c r="O231" s="1340"/>
      <c r="P231" s="1341"/>
      <c r="Q231" s="1239"/>
      <c r="X231" s="1343" t="e">
        <f ca="1"/>
        <v>#NAME?</v>
      </c>
      <c r="Y231" s="1344" t="e">
        <f ca="1"/>
        <v>#NAME?</v>
      </c>
      <c r="Z231" s="1247"/>
      <c r="AB231" s="1239"/>
      <c r="AC231" s="1239"/>
      <c r="AD231" s="1239"/>
      <c r="AE231" s="1239"/>
    </row>
    <row r="232" spans="1:31" x14ac:dyDescent="0.2">
      <c r="A232" s="1338"/>
      <c r="B232" s="1339"/>
      <c r="C232" s="1340"/>
      <c r="D232" s="1341"/>
      <c r="E232" s="1338"/>
      <c r="F232" s="1339"/>
      <c r="G232" s="1340"/>
      <c r="H232" s="1341"/>
      <c r="I232" s="1338"/>
      <c r="J232" s="1339"/>
      <c r="K232" s="1340"/>
      <c r="L232" s="1341"/>
      <c r="M232" s="1338"/>
      <c r="N232" s="1339"/>
      <c r="O232" s="1340"/>
      <c r="P232" s="1341"/>
      <c r="Q232" s="1239"/>
      <c r="X232" s="1343" t="e">
        <f ca="1"/>
        <v>#NAME?</v>
      </c>
      <c r="Y232" s="1344" t="e">
        <f ca="1"/>
        <v>#NAME?</v>
      </c>
      <c r="Z232" s="1247"/>
      <c r="AB232" s="1239"/>
      <c r="AC232" s="1239"/>
      <c r="AD232" s="1239"/>
      <c r="AE232" s="1239"/>
    </row>
    <row r="233" spans="1:31" x14ac:dyDescent="0.2">
      <c r="A233" s="1338"/>
      <c r="B233" s="1339"/>
      <c r="C233" s="1340"/>
      <c r="D233" s="1341"/>
      <c r="E233" s="1338"/>
      <c r="F233" s="1339"/>
      <c r="G233" s="1340"/>
      <c r="H233" s="1341"/>
      <c r="I233" s="1338"/>
      <c r="J233" s="1339"/>
      <c r="K233" s="1340"/>
      <c r="L233" s="1341"/>
      <c r="M233" s="1338"/>
      <c r="N233" s="1339"/>
      <c r="O233" s="1340"/>
      <c r="P233" s="1341"/>
      <c r="Q233" s="1239"/>
      <c r="X233" s="1343" t="e">
        <f ca="1"/>
        <v>#NAME?</v>
      </c>
      <c r="Y233" s="1344" t="e">
        <f ca="1"/>
        <v>#NAME?</v>
      </c>
      <c r="Z233" s="1247"/>
      <c r="AB233" s="1239"/>
      <c r="AC233" s="1239"/>
      <c r="AD233" s="1239"/>
      <c r="AE233" s="1239"/>
    </row>
    <row r="234" spans="1:31" x14ac:dyDescent="0.2">
      <c r="A234" s="1338"/>
      <c r="B234" s="1339"/>
      <c r="C234" s="1340"/>
      <c r="D234" s="1341"/>
      <c r="E234" s="1338"/>
      <c r="F234" s="1339"/>
      <c r="G234" s="1340"/>
      <c r="H234" s="1341"/>
      <c r="I234" s="1338"/>
      <c r="J234" s="1339"/>
      <c r="K234" s="1340"/>
      <c r="L234" s="1341"/>
      <c r="M234" s="1338"/>
      <c r="N234" s="1339"/>
      <c r="O234" s="1340"/>
      <c r="P234" s="1341"/>
      <c r="Q234" s="1239"/>
      <c r="X234" s="1343" t="e">
        <f ca="1"/>
        <v>#NAME?</v>
      </c>
      <c r="Y234" s="1344" t="e">
        <f ca="1"/>
        <v>#NAME?</v>
      </c>
      <c r="Z234" s="1247"/>
      <c r="AB234" s="1239"/>
      <c r="AC234" s="1239"/>
      <c r="AD234" s="1239"/>
      <c r="AE234" s="1239"/>
    </row>
    <row r="235" spans="1:31" x14ac:dyDescent="0.2">
      <c r="A235" s="1338"/>
      <c r="B235" s="1339"/>
      <c r="C235" s="1340"/>
      <c r="D235" s="1341"/>
      <c r="E235" s="1338"/>
      <c r="F235" s="1339"/>
      <c r="G235" s="1340"/>
      <c r="H235" s="1341"/>
      <c r="I235" s="1338"/>
      <c r="J235" s="1339"/>
      <c r="K235" s="1340"/>
      <c r="L235" s="1341"/>
      <c r="M235" s="1338"/>
      <c r="N235" s="1339"/>
      <c r="O235" s="1340"/>
      <c r="P235" s="1341"/>
      <c r="Q235" s="1239"/>
      <c r="X235" s="1343" t="e">
        <f ca="1"/>
        <v>#NAME?</v>
      </c>
      <c r="Y235" s="1344" t="e">
        <f ca="1"/>
        <v>#NAME?</v>
      </c>
      <c r="Z235" s="1247"/>
      <c r="AB235" s="1239"/>
      <c r="AC235" s="1239"/>
      <c r="AD235" s="1239"/>
      <c r="AE235" s="1239"/>
    </row>
    <row r="236" spans="1:31" x14ac:dyDescent="0.2">
      <c r="A236" s="1338"/>
      <c r="B236" s="1339"/>
      <c r="C236" s="1340"/>
      <c r="D236" s="1341"/>
      <c r="E236" s="1338"/>
      <c r="F236" s="1339"/>
      <c r="G236" s="1340"/>
      <c r="H236" s="1341"/>
      <c r="I236" s="1338"/>
      <c r="J236" s="1339"/>
      <c r="K236" s="1340"/>
      <c r="L236" s="1341"/>
      <c r="M236" s="1338"/>
      <c r="N236" s="1339"/>
      <c r="O236" s="1340"/>
      <c r="P236" s="1341"/>
      <c r="Q236" s="1239"/>
      <c r="X236" s="1343" t="e">
        <f ca="1"/>
        <v>#NAME?</v>
      </c>
      <c r="Y236" s="1344" t="e">
        <f ca="1"/>
        <v>#NAME?</v>
      </c>
      <c r="Z236" s="1247"/>
      <c r="AB236" s="1239"/>
      <c r="AC236" s="1239"/>
      <c r="AD236" s="1239"/>
      <c r="AE236" s="1239"/>
    </row>
    <row r="237" spans="1:31" x14ac:dyDescent="0.2">
      <c r="A237" s="1338"/>
      <c r="B237" s="1339"/>
      <c r="C237" s="1340"/>
      <c r="D237" s="1341"/>
      <c r="E237" s="1338"/>
      <c r="F237" s="1339"/>
      <c r="G237" s="1340"/>
      <c r="H237" s="1341"/>
      <c r="I237" s="1338"/>
      <c r="J237" s="1339"/>
      <c r="K237" s="1340"/>
      <c r="L237" s="1341"/>
      <c r="M237" s="1338"/>
      <c r="N237" s="1339"/>
      <c r="O237" s="1340"/>
      <c r="P237" s="1341"/>
      <c r="Q237" s="1239"/>
      <c r="X237" s="1343" t="e">
        <f ca="1"/>
        <v>#NAME?</v>
      </c>
      <c r="Y237" s="1344" t="e">
        <f ca="1"/>
        <v>#NAME?</v>
      </c>
      <c r="Z237" s="1247"/>
      <c r="AB237" s="1239"/>
      <c r="AC237" s="1239"/>
      <c r="AD237" s="1239"/>
      <c r="AE237" s="1239"/>
    </row>
    <row r="238" spans="1:31" x14ac:dyDescent="0.2">
      <c r="A238" s="1338"/>
      <c r="B238" s="1339"/>
      <c r="C238" s="1340"/>
      <c r="D238" s="1341"/>
      <c r="E238" s="1338"/>
      <c r="F238" s="1339"/>
      <c r="G238" s="1340"/>
      <c r="H238" s="1341"/>
      <c r="I238" s="1338"/>
      <c r="J238" s="1339"/>
      <c r="K238" s="1340"/>
      <c r="L238" s="1341"/>
      <c r="M238" s="1338"/>
      <c r="N238" s="1339"/>
      <c r="O238" s="1340"/>
      <c r="P238" s="1341"/>
      <c r="Q238" s="1239"/>
      <c r="X238" s="1343" t="e">
        <f ca="1"/>
        <v>#NAME?</v>
      </c>
      <c r="Y238" s="1344" t="e">
        <f ca="1"/>
        <v>#NAME?</v>
      </c>
      <c r="Z238" s="1247"/>
      <c r="AB238" s="1239"/>
      <c r="AC238" s="1239"/>
      <c r="AD238" s="1239"/>
      <c r="AE238" s="1239"/>
    </row>
    <row r="239" spans="1:31" x14ac:dyDescent="0.2">
      <c r="A239" s="1338"/>
      <c r="B239" s="1339"/>
      <c r="C239" s="1340"/>
      <c r="D239" s="1341"/>
      <c r="E239" s="1338"/>
      <c r="F239" s="1339"/>
      <c r="G239" s="1340"/>
      <c r="H239" s="1341"/>
      <c r="I239" s="1338"/>
      <c r="J239" s="1339"/>
      <c r="K239" s="1340"/>
      <c r="L239" s="1341"/>
      <c r="M239" s="1338"/>
      <c r="N239" s="1339"/>
      <c r="O239" s="1340"/>
      <c r="P239" s="1341"/>
      <c r="Q239" s="1239"/>
      <c r="X239" s="1343" t="e">
        <f ca="1"/>
        <v>#NAME?</v>
      </c>
      <c r="Y239" s="1344" t="e">
        <f ca="1"/>
        <v>#NAME?</v>
      </c>
      <c r="Z239" s="1247"/>
      <c r="AB239" s="1239"/>
      <c r="AC239" s="1239"/>
      <c r="AD239" s="1239"/>
      <c r="AE239" s="1239"/>
    </row>
    <row r="240" spans="1:31" x14ac:dyDescent="0.2">
      <c r="A240" s="1338"/>
      <c r="B240" s="1339"/>
      <c r="C240" s="1340"/>
      <c r="D240" s="1341"/>
      <c r="E240" s="1338"/>
      <c r="F240" s="1339"/>
      <c r="G240" s="1340"/>
      <c r="H240" s="1341"/>
      <c r="I240" s="1338"/>
      <c r="J240" s="1339"/>
      <c r="K240" s="1340"/>
      <c r="L240" s="1341"/>
      <c r="M240" s="1338"/>
      <c r="N240" s="1339"/>
      <c r="O240" s="1340"/>
      <c r="P240" s="1341"/>
      <c r="Q240" s="1239"/>
      <c r="X240" s="1343" t="e">
        <f ca="1"/>
        <v>#NAME?</v>
      </c>
      <c r="Y240" s="1344" t="e">
        <f ca="1"/>
        <v>#NAME?</v>
      </c>
      <c r="Z240" s="1247"/>
      <c r="AB240" s="1239"/>
      <c r="AC240" s="1239"/>
      <c r="AD240" s="1239"/>
      <c r="AE240" s="1239"/>
    </row>
    <row r="241" spans="1:31" x14ac:dyDescent="0.2">
      <c r="A241" s="1338"/>
      <c r="B241" s="1339"/>
      <c r="C241" s="1340"/>
      <c r="D241" s="1341"/>
      <c r="E241" s="1338"/>
      <c r="F241" s="1339"/>
      <c r="G241" s="1340"/>
      <c r="H241" s="1341"/>
      <c r="I241" s="1338"/>
      <c r="J241" s="1339"/>
      <c r="K241" s="1340"/>
      <c r="L241" s="1341"/>
      <c r="M241" s="1338"/>
      <c r="N241" s="1339"/>
      <c r="O241" s="1340"/>
      <c r="P241" s="1341"/>
      <c r="Q241" s="1239"/>
      <c r="X241" s="1343" t="e">
        <f ca="1"/>
        <v>#NAME?</v>
      </c>
      <c r="Y241" s="1344" t="e">
        <f ca="1"/>
        <v>#NAME?</v>
      </c>
      <c r="Z241" s="1247"/>
      <c r="AB241" s="1239"/>
      <c r="AC241" s="1239"/>
      <c r="AD241" s="1239"/>
      <c r="AE241" s="1239"/>
    </row>
    <row r="242" spans="1:31" x14ac:dyDescent="0.2">
      <c r="A242" s="1338"/>
      <c r="B242" s="1339"/>
      <c r="C242" s="1340"/>
      <c r="D242" s="1341"/>
      <c r="E242" s="1338"/>
      <c r="F242" s="1339"/>
      <c r="G242" s="1340"/>
      <c r="H242" s="1341"/>
      <c r="I242" s="1338"/>
      <c r="J242" s="1339"/>
      <c r="K242" s="1340"/>
      <c r="L242" s="1341"/>
      <c r="M242" s="1338"/>
      <c r="N242" s="1339"/>
      <c r="O242" s="1340"/>
      <c r="P242" s="1341"/>
      <c r="Q242" s="1239"/>
      <c r="X242" s="1343" t="e">
        <f ca="1"/>
        <v>#NAME?</v>
      </c>
      <c r="Y242" s="1344" t="e">
        <f ca="1"/>
        <v>#NAME?</v>
      </c>
      <c r="Z242" s="1247"/>
      <c r="AB242" s="1239"/>
      <c r="AC242" s="1239"/>
      <c r="AD242" s="1239"/>
      <c r="AE242" s="1239"/>
    </row>
    <row r="243" spans="1:31" x14ac:dyDescent="0.2">
      <c r="A243" s="1338"/>
      <c r="B243" s="1339"/>
      <c r="C243" s="1340"/>
      <c r="D243" s="1341"/>
      <c r="E243" s="1338"/>
      <c r="F243" s="1339"/>
      <c r="G243" s="1340"/>
      <c r="H243" s="1341"/>
      <c r="I243" s="1338"/>
      <c r="J243" s="1339"/>
      <c r="K243" s="1340"/>
      <c r="L243" s="1341"/>
      <c r="M243" s="1338"/>
      <c r="N243" s="1339"/>
      <c r="O243" s="1340"/>
      <c r="P243" s="1341"/>
      <c r="Q243" s="1239"/>
      <c r="X243" s="1343" t="e">
        <f ca="1"/>
        <v>#NAME?</v>
      </c>
      <c r="Y243" s="1344" t="e">
        <f ca="1"/>
        <v>#NAME?</v>
      </c>
      <c r="Z243" s="1247"/>
      <c r="AB243" s="1239"/>
      <c r="AC243" s="1239"/>
      <c r="AD243" s="1239"/>
      <c r="AE243" s="1239"/>
    </row>
    <row r="244" spans="1:31" x14ac:dyDescent="0.2">
      <c r="A244" s="1338"/>
      <c r="B244" s="1339"/>
      <c r="C244" s="1340"/>
      <c r="D244" s="1341"/>
      <c r="E244" s="1338"/>
      <c r="F244" s="1339"/>
      <c r="G244" s="1340"/>
      <c r="H244" s="1341"/>
      <c r="I244" s="1338"/>
      <c r="J244" s="1339"/>
      <c r="K244" s="1340"/>
      <c r="L244" s="1341"/>
      <c r="M244" s="1338"/>
      <c r="N244" s="1339"/>
      <c r="O244" s="1340"/>
      <c r="P244" s="1341"/>
      <c r="Q244" s="1239"/>
      <c r="X244" s="1343" t="e">
        <f ca="1"/>
        <v>#NAME?</v>
      </c>
      <c r="Y244" s="1344" t="e">
        <f ca="1"/>
        <v>#NAME?</v>
      </c>
      <c r="Z244" s="1247"/>
      <c r="AB244" s="1239"/>
      <c r="AC244" s="1239"/>
      <c r="AD244" s="1239"/>
      <c r="AE244" s="1239"/>
    </row>
    <row r="245" spans="1:31" x14ac:dyDescent="0.2">
      <c r="A245" s="1338"/>
      <c r="B245" s="1339"/>
      <c r="C245" s="1340"/>
      <c r="D245" s="1341"/>
      <c r="E245" s="1338"/>
      <c r="F245" s="1339"/>
      <c r="G245" s="1340"/>
      <c r="H245" s="1341"/>
      <c r="I245" s="1338"/>
      <c r="J245" s="1339"/>
      <c r="K245" s="1340"/>
      <c r="L245" s="1341"/>
      <c r="M245" s="1338"/>
      <c r="N245" s="1339"/>
      <c r="O245" s="1340"/>
      <c r="P245" s="1341"/>
      <c r="Q245" s="1239"/>
      <c r="X245" s="1343" t="e">
        <f ca="1"/>
        <v>#NAME?</v>
      </c>
      <c r="Y245" s="1344" t="e">
        <f ca="1"/>
        <v>#NAME?</v>
      </c>
      <c r="Z245" s="1247"/>
      <c r="AB245" s="1239"/>
      <c r="AC245" s="1239"/>
      <c r="AD245" s="1239"/>
      <c r="AE245" s="1239"/>
    </row>
    <row r="246" spans="1:31" x14ac:dyDescent="0.2">
      <c r="A246" s="1338"/>
      <c r="B246" s="1339"/>
      <c r="C246" s="1340"/>
      <c r="D246" s="1341"/>
      <c r="E246" s="1338"/>
      <c r="F246" s="1339"/>
      <c r="G246" s="1340"/>
      <c r="H246" s="1341"/>
      <c r="I246" s="1338"/>
      <c r="J246" s="1339"/>
      <c r="K246" s="1340"/>
      <c r="L246" s="1341"/>
      <c r="M246" s="1338"/>
      <c r="N246" s="1339"/>
      <c r="O246" s="1340"/>
      <c r="P246" s="1341"/>
      <c r="Q246" s="1239"/>
      <c r="X246" s="1343" t="e">
        <f ca="1"/>
        <v>#NAME?</v>
      </c>
      <c r="Y246" s="1344" t="e">
        <f ca="1"/>
        <v>#NAME?</v>
      </c>
      <c r="Z246" s="1247"/>
      <c r="AB246" s="1239"/>
      <c r="AC246" s="1239"/>
      <c r="AD246" s="1239"/>
      <c r="AE246" s="1239"/>
    </row>
    <row r="247" spans="1:31" x14ac:dyDescent="0.2">
      <c r="A247" s="1338"/>
      <c r="B247" s="1339"/>
      <c r="C247" s="1340"/>
      <c r="D247" s="1341"/>
      <c r="E247" s="1338"/>
      <c r="F247" s="1339"/>
      <c r="G247" s="1340"/>
      <c r="H247" s="1341"/>
      <c r="I247" s="1338"/>
      <c r="J247" s="1339"/>
      <c r="K247" s="1340"/>
      <c r="L247" s="1341"/>
      <c r="M247" s="1338"/>
      <c r="N247" s="1339"/>
      <c r="O247" s="1340"/>
      <c r="P247" s="1341"/>
      <c r="Q247" s="1239"/>
      <c r="X247" s="1343" t="e">
        <f ca="1"/>
        <v>#NAME?</v>
      </c>
      <c r="Y247" s="1344" t="e">
        <f ca="1"/>
        <v>#NAME?</v>
      </c>
      <c r="Z247" s="1247"/>
      <c r="AB247" s="1239"/>
      <c r="AC247" s="1239"/>
      <c r="AD247" s="1239"/>
      <c r="AE247" s="1239"/>
    </row>
    <row r="248" spans="1:31" x14ac:dyDescent="0.2">
      <c r="A248" s="1338"/>
      <c r="B248" s="1339"/>
      <c r="C248" s="1340"/>
      <c r="D248" s="1341"/>
      <c r="E248" s="1338"/>
      <c r="F248" s="1339"/>
      <c r="G248" s="1340"/>
      <c r="H248" s="1341"/>
      <c r="I248" s="1338"/>
      <c r="J248" s="1339"/>
      <c r="K248" s="1340"/>
      <c r="L248" s="1341"/>
      <c r="M248" s="1338"/>
      <c r="N248" s="1339"/>
      <c r="O248" s="1340"/>
      <c r="P248" s="1341"/>
      <c r="Q248" s="1239"/>
      <c r="X248" s="1343" t="e">
        <f ca="1"/>
        <v>#NAME?</v>
      </c>
      <c r="Y248" s="1344" t="e">
        <f ca="1"/>
        <v>#NAME?</v>
      </c>
      <c r="Z248" s="1247"/>
      <c r="AB248" s="1239"/>
      <c r="AC248" s="1239"/>
      <c r="AD248" s="1239"/>
      <c r="AE248" s="1239"/>
    </row>
    <row r="249" spans="1:31" x14ac:dyDescent="0.2">
      <c r="A249" s="1338"/>
      <c r="B249" s="1339"/>
      <c r="C249" s="1340"/>
      <c r="D249" s="1341"/>
      <c r="E249" s="1338"/>
      <c r="F249" s="1339"/>
      <c r="G249" s="1340"/>
      <c r="H249" s="1341"/>
      <c r="I249" s="1338"/>
      <c r="J249" s="1339"/>
      <c r="K249" s="1340"/>
      <c r="L249" s="1341"/>
      <c r="M249" s="1338"/>
      <c r="N249" s="1339"/>
      <c r="O249" s="1340"/>
      <c r="P249" s="1341"/>
      <c r="Q249" s="1239"/>
      <c r="X249" s="1343" t="e">
        <f ca="1"/>
        <v>#NAME?</v>
      </c>
      <c r="Y249" s="1344" t="e">
        <f ca="1"/>
        <v>#NAME?</v>
      </c>
      <c r="Z249" s="1247"/>
      <c r="AB249" s="1239"/>
      <c r="AC249" s="1239"/>
      <c r="AD249" s="1239"/>
      <c r="AE249" s="1239"/>
    </row>
    <row r="250" spans="1:31" x14ac:dyDescent="0.2">
      <c r="A250" s="1338"/>
      <c r="B250" s="1339"/>
      <c r="C250" s="1340"/>
      <c r="D250" s="1341"/>
      <c r="E250" s="1338"/>
      <c r="F250" s="1339"/>
      <c r="G250" s="1340"/>
      <c r="H250" s="1341"/>
      <c r="I250" s="1338"/>
      <c r="J250" s="1339"/>
      <c r="K250" s="1340"/>
      <c r="L250" s="1341"/>
      <c r="M250" s="1338"/>
      <c r="N250" s="1339"/>
      <c r="O250" s="1340"/>
      <c r="P250" s="1341"/>
      <c r="Q250" s="1239"/>
      <c r="X250" s="1343" t="e">
        <f ca="1"/>
        <v>#NAME?</v>
      </c>
      <c r="Y250" s="1344" t="e">
        <f ca="1"/>
        <v>#NAME?</v>
      </c>
      <c r="Z250" s="1247"/>
      <c r="AB250" s="1239"/>
      <c r="AC250" s="1239"/>
      <c r="AD250" s="1239"/>
      <c r="AE250" s="1239"/>
    </row>
    <row r="251" spans="1:31" x14ac:dyDescent="0.2">
      <c r="A251" s="1338"/>
      <c r="B251" s="1339"/>
      <c r="C251" s="1340"/>
      <c r="D251" s="1341"/>
      <c r="E251" s="1338"/>
      <c r="F251" s="1339"/>
      <c r="G251" s="1340"/>
      <c r="H251" s="1341"/>
      <c r="I251" s="1338"/>
      <c r="J251" s="1339"/>
      <c r="K251" s="1340"/>
      <c r="L251" s="1341"/>
      <c r="M251" s="1338"/>
      <c r="N251" s="1339"/>
      <c r="O251" s="1340"/>
      <c r="P251" s="1341"/>
      <c r="Q251" s="1239"/>
      <c r="X251" s="1343" t="e">
        <f ca="1"/>
        <v>#NAME?</v>
      </c>
      <c r="Y251" s="1344" t="e">
        <f ca="1"/>
        <v>#NAME?</v>
      </c>
      <c r="Z251" s="1247"/>
      <c r="AB251" s="1239"/>
      <c r="AC251" s="1239"/>
      <c r="AD251" s="1239"/>
      <c r="AE251" s="1239"/>
    </row>
    <row r="252" spans="1:31" x14ac:dyDescent="0.2">
      <c r="A252" s="1338"/>
      <c r="B252" s="1339"/>
      <c r="C252" s="1340"/>
      <c r="D252" s="1341"/>
      <c r="E252" s="1338"/>
      <c r="F252" s="1339"/>
      <c r="G252" s="1340"/>
      <c r="H252" s="1341"/>
      <c r="I252" s="1338"/>
      <c r="J252" s="1339"/>
      <c r="K252" s="1340"/>
      <c r="L252" s="1341"/>
      <c r="M252" s="1338"/>
      <c r="N252" s="1339"/>
      <c r="O252" s="1340"/>
      <c r="P252" s="1341"/>
      <c r="Q252" s="1239"/>
      <c r="X252" s="1343" t="e">
        <f ca="1"/>
        <v>#NAME?</v>
      </c>
      <c r="Y252" s="1344" t="e">
        <f ca="1"/>
        <v>#NAME?</v>
      </c>
      <c r="Z252" s="1247"/>
      <c r="AB252" s="1239"/>
      <c r="AC252" s="1239"/>
      <c r="AD252" s="1239"/>
      <c r="AE252" s="1239"/>
    </row>
    <row r="253" spans="1:31" x14ac:dyDescent="0.2">
      <c r="A253" s="1338"/>
      <c r="B253" s="1339"/>
      <c r="C253" s="1340"/>
      <c r="D253" s="1341"/>
      <c r="E253" s="1338"/>
      <c r="F253" s="1339"/>
      <c r="G253" s="1340"/>
      <c r="H253" s="1341"/>
      <c r="I253" s="1338"/>
      <c r="J253" s="1339"/>
      <c r="K253" s="1340"/>
      <c r="L253" s="1341"/>
      <c r="M253" s="1338"/>
      <c r="N253" s="1339"/>
      <c r="O253" s="1340"/>
      <c r="P253" s="1341"/>
      <c r="Q253" s="1239"/>
      <c r="X253" s="1343" t="e">
        <f ca="1"/>
        <v>#NAME?</v>
      </c>
      <c r="Y253" s="1344" t="e">
        <f ca="1"/>
        <v>#NAME?</v>
      </c>
      <c r="Z253" s="1247"/>
      <c r="AB253" s="1239"/>
      <c r="AC253" s="1239"/>
      <c r="AD253" s="1239"/>
      <c r="AE253" s="1239"/>
    </row>
    <row r="254" spans="1:31" x14ac:dyDescent="0.2">
      <c r="A254" s="1338"/>
      <c r="B254" s="1339"/>
      <c r="C254" s="1340"/>
      <c r="D254" s="1341"/>
      <c r="E254" s="1338"/>
      <c r="F254" s="1339"/>
      <c r="G254" s="1340"/>
      <c r="H254" s="1341"/>
      <c r="I254" s="1338"/>
      <c r="J254" s="1339"/>
      <c r="K254" s="1340"/>
      <c r="L254" s="1341"/>
      <c r="M254" s="1338"/>
      <c r="N254" s="1339"/>
      <c r="O254" s="1340"/>
      <c r="P254" s="1341"/>
      <c r="Q254" s="1239"/>
      <c r="X254" s="1343" t="e">
        <f ca="1"/>
        <v>#NAME?</v>
      </c>
      <c r="Y254" s="1344" t="e">
        <f ca="1"/>
        <v>#NAME?</v>
      </c>
      <c r="Z254" s="1247"/>
      <c r="AB254" s="1239"/>
      <c r="AC254" s="1239"/>
      <c r="AD254" s="1239"/>
      <c r="AE254" s="1239"/>
    </row>
    <row r="255" spans="1:31" x14ac:dyDescent="0.2">
      <c r="A255" s="1338"/>
      <c r="B255" s="1339"/>
      <c r="C255" s="1340"/>
      <c r="D255" s="1341"/>
      <c r="E255" s="1338"/>
      <c r="F255" s="1339"/>
      <c r="G255" s="1340"/>
      <c r="H255" s="1341"/>
      <c r="I255" s="1338"/>
      <c r="J255" s="1339"/>
      <c r="K255" s="1340"/>
      <c r="L255" s="1341"/>
      <c r="M255" s="1338"/>
      <c r="N255" s="1339"/>
      <c r="O255" s="1340"/>
      <c r="P255" s="1341"/>
      <c r="Q255" s="1239"/>
      <c r="X255" s="1343" t="e">
        <f ca="1"/>
        <v>#NAME?</v>
      </c>
      <c r="Y255" s="1344" t="e">
        <f ca="1"/>
        <v>#NAME?</v>
      </c>
      <c r="Z255" s="1247"/>
      <c r="AB255" s="1239"/>
      <c r="AC255" s="1239"/>
      <c r="AD255" s="1239"/>
      <c r="AE255" s="1239"/>
    </row>
    <row r="256" spans="1:31" x14ac:dyDescent="0.2">
      <c r="A256" s="1338"/>
      <c r="B256" s="1339"/>
      <c r="C256" s="1340"/>
      <c r="D256" s="1341"/>
      <c r="E256" s="1338"/>
      <c r="F256" s="1339"/>
      <c r="G256" s="1340"/>
      <c r="H256" s="1341"/>
      <c r="I256" s="1338"/>
      <c r="J256" s="1339"/>
      <c r="K256" s="1340"/>
      <c r="L256" s="1341"/>
      <c r="M256" s="1338"/>
      <c r="N256" s="1339"/>
      <c r="O256" s="1340"/>
      <c r="P256" s="1341"/>
      <c r="Q256" s="1239"/>
      <c r="X256" s="1343" t="e">
        <f ca="1"/>
        <v>#NAME?</v>
      </c>
      <c r="Y256" s="1344" t="e">
        <f ca="1"/>
        <v>#NAME?</v>
      </c>
      <c r="Z256" s="1247"/>
      <c r="AB256" s="1239"/>
      <c r="AC256" s="1239"/>
      <c r="AD256" s="1239"/>
      <c r="AE256" s="1239"/>
    </row>
    <row r="257" spans="1:31" x14ac:dyDescent="0.2">
      <c r="A257" s="1338"/>
      <c r="B257" s="1339"/>
      <c r="C257" s="1340"/>
      <c r="D257" s="1341"/>
      <c r="E257" s="1338"/>
      <c r="F257" s="1339"/>
      <c r="G257" s="1340"/>
      <c r="H257" s="1341"/>
      <c r="I257" s="1338"/>
      <c r="J257" s="1339"/>
      <c r="K257" s="1340"/>
      <c r="L257" s="1341"/>
      <c r="M257" s="1338"/>
      <c r="N257" s="1339"/>
      <c r="O257" s="1340"/>
      <c r="P257" s="1341"/>
      <c r="Q257" s="1239"/>
      <c r="X257" s="1343" t="e">
        <f ca="1"/>
        <v>#NAME?</v>
      </c>
      <c r="Y257" s="1344" t="e">
        <f ca="1"/>
        <v>#NAME?</v>
      </c>
      <c r="Z257" s="1247"/>
      <c r="AB257" s="1239"/>
      <c r="AC257" s="1239"/>
      <c r="AD257" s="1239"/>
      <c r="AE257" s="1239"/>
    </row>
    <row r="258" spans="1:31" x14ac:dyDescent="0.2">
      <c r="A258" s="1338"/>
      <c r="B258" s="1339"/>
      <c r="C258" s="1340"/>
      <c r="D258" s="1341"/>
      <c r="E258" s="1338"/>
      <c r="F258" s="1339"/>
      <c r="G258" s="1340"/>
      <c r="H258" s="1341"/>
      <c r="I258" s="1338"/>
      <c r="J258" s="1339"/>
      <c r="K258" s="1340"/>
      <c r="L258" s="1341"/>
      <c r="M258" s="1338"/>
      <c r="N258" s="1339"/>
      <c r="O258" s="1340"/>
      <c r="P258" s="1341"/>
      <c r="Q258" s="1239"/>
      <c r="X258" s="1343" t="e">
        <f ca="1"/>
        <v>#NAME?</v>
      </c>
      <c r="Y258" s="1344" t="e">
        <f ca="1"/>
        <v>#NAME?</v>
      </c>
      <c r="Z258" s="1247"/>
      <c r="AB258" s="1239"/>
      <c r="AC258" s="1239"/>
      <c r="AD258" s="1239"/>
      <c r="AE258" s="1239"/>
    </row>
    <row r="259" spans="1:31" x14ac:dyDescent="0.2">
      <c r="A259" s="1338"/>
      <c r="B259" s="1339"/>
      <c r="C259" s="1340"/>
      <c r="D259" s="1341"/>
      <c r="E259" s="1338"/>
      <c r="F259" s="1339"/>
      <c r="G259" s="1340"/>
      <c r="H259" s="1341"/>
      <c r="I259" s="1338"/>
      <c r="J259" s="1339"/>
      <c r="K259" s="1340"/>
      <c r="L259" s="1341"/>
      <c r="M259" s="1338"/>
      <c r="N259" s="1339"/>
      <c r="O259" s="1340"/>
      <c r="P259" s="1341"/>
      <c r="Q259" s="1239"/>
      <c r="X259" s="1343" t="e">
        <f ca="1"/>
        <v>#NAME?</v>
      </c>
      <c r="Y259" s="1344" t="e">
        <f ca="1"/>
        <v>#NAME?</v>
      </c>
      <c r="Z259" s="1247"/>
      <c r="AB259" s="1239"/>
      <c r="AC259" s="1239"/>
      <c r="AD259" s="1239"/>
      <c r="AE259" s="1239"/>
    </row>
    <row r="260" spans="1:31" x14ac:dyDescent="0.2">
      <c r="A260" s="1338"/>
      <c r="B260" s="1339"/>
      <c r="C260" s="1340"/>
      <c r="D260" s="1341"/>
      <c r="E260" s="1338"/>
      <c r="F260" s="1339"/>
      <c r="G260" s="1340"/>
      <c r="H260" s="1341"/>
      <c r="I260" s="1338"/>
      <c r="J260" s="1339"/>
      <c r="K260" s="1340"/>
      <c r="L260" s="1341"/>
      <c r="M260" s="1338"/>
      <c r="N260" s="1339"/>
      <c r="O260" s="1340"/>
      <c r="P260" s="1341"/>
      <c r="Q260" s="1239"/>
      <c r="X260" s="1343" t="e">
        <f ca="1"/>
        <v>#NAME?</v>
      </c>
      <c r="Y260" s="1344" t="e">
        <f ca="1"/>
        <v>#NAME?</v>
      </c>
      <c r="Z260" s="1247"/>
      <c r="AB260" s="1239"/>
      <c r="AC260" s="1239"/>
      <c r="AD260" s="1239"/>
      <c r="AE260" s="1239"/>
    </row>
    <row r="261" spans="1:31" x14ac:dyDescent="0.2">
      <c r="A261" s="1338"/>
      <c r="B261" s="1339"/>
      <c r="C261" s="1340"/>
      <c r="D261" s="1341"/>
      <c r="E261" s="1338"/>
      <c r="F261" s="1339"/>
      <c r="G261" s="1340"/>
      <c r="H261" s="1341"/>
      <c r="I261" s="1338"/>
      <c r="J261" s="1339"/>
      <c r="K261" s="1340"/>
      <c r="L261" s="1341"/>
      <c r="M261" s="1338"/>
      <c r="N261" s="1339"/>
      <c r="O261" s="1340"/>
      <c r="P261" s="1341"/>
      <c r="Q261" s="1239"/>
      <c r="X261" s="1343" t="e">
        <f ca="1"/>
        <v>#NAME?</v>
      </c>
      <c r="Y261" s="1344" t="e">
        <f ca="1"/>
        <v>#NAME?</v>
      </c>
      <c r="Z261" s="1247"/>
      <c r="AB261" s="1239"/>
      <c r="AC261" s="1239"/>
      <c r="AD261" s="1239"/>
      <c r="AE261" s="1239"/>
    </row>
    <row r="262" spans="1:31" x14ac:dyDescent="0.2">
      <c r="A262" s="1338"/>
      <c r="B262" s="1339"/>
      <c r="C262" s="1340"/>
      <c r="D262" s="1341"/>
      <c r="E262" s="1338"/>
      <c r="F262" s="1339"/>
      <c r="G262" s="1340"/>
      <c r="H262" s="1341"/>
      <c r="I262" s="1338"/>
      <c r="J262" s="1339"/>
      <c r="K262" s="1340"/>
      <c r="L262" s="1341"/>
      <c r="M262" s="1338"/>
      <c r="N262" s="1339"/>
      <c r="O262" s="1340"/>
      <c r="P262" s="1341"/>
      <c r="Q262" s="1239"/>
      <c r="X262" s="1343" t="e">
        <f ca="1"/>
        <v>#NAME?</v>
      </c>
      <c r="Y262" s="1344" t="e">
        <f ca="1"/>
        <v>#NAME?</v>
      </c>
      <c r="Z262" s="1247"/>
      <c r="AB262" s="1239"/>
      <c r="AC262" s="1239"/>
      <c r="AD262" s="1239"/>
      <c r="AE262" s="1239"/>
    </row>
    <row r="263" spans="1:31" x14ac:dyDescent="0.2">
      <c r="A263" s="1338"/>
      <c r="B263" s="1339"/>
      <c r="C263" s="1340"/>
      <c r="D263" s="1341"/>
      <c r="E263" s="1338"/>
      <c r="F263" s="1339"/>
      <c r="G263" s="1340"/>
      <c r="H263" s="1341"/>
      <c r="I263" s="1338"/>
      <c r="J263" s="1339"/>
      <c r="K263" s="1340"/>
      <c r="L263" s="1341"/>
      <c r="M263" s="1338"/>
      <c r="N263" s="1339"/>
      <c r="O263" s="1340"/>
      <c r="P263" s="1341"/>
      <c r="Q263" s="1239"/>
      <c r="X263" s="1343" t="e">
        <f ca="1"/>
        <v>#NAME?</v>
      </c>
      <c r="Y263" s="1344" t="e">
        <f ca="1"/>
        <v>#NAME?</v>
      </c>
      <c r="Z263" s="1247"/>
      <c r="AB263" s="1239"/>
      <c r="AC263" s="1239"/>
      <c r="AD263" s="1239"/>
      <c r="AE263" s="1239"/>
    </row>
    <row r="264" spans="1:31" x14ac:dyDescent="0.2">
      <c r="A264" s="1338"/>
      <c r="B264" s="1339"/>
      <c r="C264" s="1340"/>
      <c r="D264" s="1341"/>
      <c r="E264" s="1338"/>
      <c r="F264" s="1339"/>
      <c r="G264" s="1340"/>
      <c r="H264" s="1341"/>
      <c r="I264" s="1338"/>
      <c r="J264" s="1339"/>
      <c r="K264" s="1340"/>
      <c r="L264" s="1341"/>
      <c r="M264" s="1338"/>
      <c r="N264" s="1339"/>
      <c r="O264" s="1340"/>
      <c r="P264" s="1341"/>
      <c r="Q264" s="1239"/>
      <c r="X264" s="1343" t="e">
        <f ca="1"/>
        <v>#NAME?</v>
      </c>
      <c r="Y264" s="1344" t="e">
        <f ca="1"/>
        <v>#NAME?</v>
      </c>
      <c r="Z264" s="1247"/>
      <c r="AB264" s="1239"/>
      <c r="AC264" s="1239"/>
      <c r="AD264" s="1239"/>
      <c r="AE264" s="1239"/>
    </row>
    <row r="265" spans="1:31" x14ac:dyDescent="0.2">
      <c r="A265" s="1338"/>
      <c r="B265" s="1339"/>
      <c r="C265" s="1340"/>
      <c r="D265" s="1341"/>
      <c r="E265" s="1338"/>
      <c r="F265" s="1339"/>
      <c r="G265" s="1340"/>
      <c r="H265" s="1341"/>
      <c r="I265" s="1338"/>
      <c r="J265" s="1339"/>
      <c r="K265" s="1340"/>
      <c r="L265" s="1341"/>
      <c r="M265" s="1338"/>
      <c r="N265" s="1339"/>
      <c r="O265" s="1340"/>
      <c r="P265" s="1341"/>
      <c r="Q265" s="1239"/>
      <c r="X265" s="1343" t="e">
        <f ca="1"/>
        <v>#NAME?</v>
      </c>
      <c r="Y265" s="1344" t="e">
        <f ca="1"/>
        <v>#NAME?</v>
      </c>
      <c r="Z265" s="1247"/>
      <c r="AB265" s="1239"/>
      <c r="AC265" s="1239"/>
      <c r="AD265" s="1239"/>
      <c r="AE265" s="1239"/>
    </row>
    <row r="266" spans="1:31" x14ac:dyDescent="0.2">
      <c r="A266" s="1338"/>
      <c r="B266" s="1339"/>
      <c r="C266" s="1340"/>
      <c r="D266" s="1341"/>
      <c r="E266" s="1338"/>
      <c r="F266" s="1339"/>
      <c r="G266" s="1340"/>
      <c r="H266" s="1341"/>
      <c r="I266" s="1338"/>
      <c r="J266" s="1339"/>
      <c r="K266" s="1340"/>
      <c r="L266" s="1341"/>
      <c r="M266" s="1338"/>
      <c r="N266" s="1339"/>
      <c r="O266" s="1340"/>
      <c r="P266" s="1341"/>
      <c r="Q266" s="1239"/>
      <c r="X266" s="1343" t="e">
        <f ca="1"/>
        <v>#NAME?</v>
      </c>
      <c r="Y266" s="1344" t="e">
        <f ca="1"/>
        <v>#NAME?</v>
      </c>
      <c r="Z266" s="1247"/>
      <c r="AB266" s="1239"/>
      <c r="AC266" s="1239"/>
      <c r="AD266" s="1239"/>
      <c r="AE266" s="1239"/>
    </row>
    <row r="267" spans="1:31" x14ac:dyDescent="0.2">
      <c r="A267" s="1338"/>
      <c r="B267" s="1339"/>
      <c r="C267" s="1340"/>
      <c r="D267" s="1341"/>
      <c r="E267" s="1338"/>
      <c r="F267" s="1339"/>
      <c r="G267" s="1340"/>
      <c r="H267" s="1341"/>
      <c r="I267" s="1338"/>
      <c r="J267" s="1339"/>
      <c r="K267" s="1340"/>
      <c r="L267" s="1341"/>
      <c r="M267" s="1338"/>
      <c r="N267" s="1339"/>
      <c r="O267" s="1340"/>
      <c r="P267" s="1341"/>
      <c r="Q267" s="1239"/>
      <c r="X267" s="1343" t="e">
        <f ca="1"/>
        <v>#NAME?</v>
      </c>
      <c r="Y267" s="1344" t="e">
        <f ca="1"/>
        <v>#NAME?</v>
      </c>
      <c r="Z267" s="1247"/>
      <c r="AB267" s="1239"/>
      <c r="AC267" s="1239"/>
      <c r="AD267" s="1239"/>
      <c r="AE267" s="1239"/>
    </row>
    <row r="268" spans="1:31" x14ac:dyDescent="0.2">
      <c r="A268" s="1338"/>
      <c r="B268" s="1339"/>
      <c r="C268" s="1340"/>
      <c r="D268" s="1341"/>
      <c r="E268" s="1338"/>
      <c r="F268" s="1339"/>
      <c r="G268" s="1340"/>
      <c r="H268" s="1341"/>
      <c r="I268" s="1338"/>
      <c r="J268" s="1339"/>
      <c r="K268" s="1340"/>
      <c r="L268" s="1341"/>
      <c r="M268" s="1338"/>
      <c r="N268" s="1339"/>
      <c r="O268" s="1340"/>
      <c r="P268" s="1341"/>
      <c r="Q268" s="1239"/>
      <c r="X268" s="1343" t="e">
        <f ca="1"/>
        <v>#NAME?</v>
      </c>
      <c r="Y268" s="1344" t="e">
        <f ca="1"/>
        <v>#NAME?</v>
      </c>
      <c r="Z268" s="1247"/>
      <c r="AB268" s="1239"/>
      <c r="AC268" s="1239"/>
      <c r="AD268" s="1239"/>
      <c r="AE268" s="1239"/>
    </row>
    <row r="269" spans="1:31" x14ac:dyDescent="0.2">
      <c r="A269" s="1338"/>
      <c r="B269" s="1339"/>
      <c r="C269" s="1340"/>
      <c r="D269" s="1341"/>
      <c r="E269" s="1338"/>
      <c r="F269" s="1339"/>
      <c r="G269" s="1340"/>
      <c r="H269" s="1341"/>
      <c r="I269" s="1338"/>
      <c r="J269" s="1339"/>
      <c r="K269" s="1340"/>
      <c r="L269" s="1341"/>
      <c r="M269" s="1338"/>
      <c r="N269" s="1339"/>
      <c r="O269" s="1340"/>
      <c r="P269" s="1341"/>
      <c r="Q269" s="1239"/>
      <c r="X269" s="1343" t="e">
        <f ca="1"/>
        <v>#NAME?</v>
      </c>
      <c r="Y269" s="1344" t="e">
        <f ca="1"/>
        <v>#NAME?</v>
      </c>
      <c r="Z269" s="1247"/>
      <c r="AB269" s="1239"/>
      <c r="AC269" s="1239"/>
      <c r="AD269" s="1239"/>
      <c r="AE269" s="1239"/>
    </row>
    <row r="270" spans="1:31" x14ac:dyDescent="0.2">
      <c r="A270" s="1338"/>
      <c r="B270" s="1339"/>
      <c r="C270" s="1340"/>
      <c r="D270" s="1341"/>
      <c r="E270" s="1338"/>
      <c r="F270" s="1339"/>
      <c r="G270" s="1340"/>
      <c r="H270" s="1341"/>
      <c r="I270" s="1338"/>
      <c r="J270" s="1339"/>
      <c r="K270" s="1340"/>
      <c r="L270" s="1341"/>
      <c r="M270" s="1338"/>
      <c r="N270" s="1339"/>
      <c r="O270" s="1340"/>
      <c r="P270" s="1341"/>
      <c r="Q270" s="1239"/>
      <c r="X270" s="1343" t="e">
        <f ca="1"/>
        <v>#NAME?</v>
      </c>
      <c r="Y270" s="1344" t="e">
        <f ca="1"/>
        <v>#NAME?</v>
      </c>
      <c r="Z270" s="1247"/>
      <c r="AB270" s="1239"/>
      <c r="AC270" s="1239"/>
      <c r="AD270" s="1239"/>
      <c r="AE270" s="1239"/>
    </row>
    <row r="271" spans="1:31" x14ac:dyDescent="0.2">
      <c r="A271" s="1338"/>
      <c r="B271" s="1339"/>
      <c r="C271" s="1340"/>
      <c r="D271" s="1341"/>
      <c r="E271" s="1338"/>
      <c r="F271" s="1339"/>
      <c r="G271" s="1340"/>
      <c r="H271" s="1341"/>
      <c r="I271" s="1338"/>
      <c r="J271" s="1339"/>
      <c r="K271" s="1340"/>
      <c r="L271" s="1341"/>
      <c r="M271" s="1338"/>
      <c r="N271" s="1339"/>
      <c r="O271" s="1340"/>
      <c r="P271" s="1341"/>
      <c r="Q271" s="1239"/>
      <c r="X271" s="1343" t="e">
        <f ca="1"/>
        <v>#NAME?</v>
      </c>
      <c r="Y271" s="1344" t="e">
        <f ca="1"/>
        <v>#NAME?</v>
      </c>
      <c r="Z271" s="1247"/>
      <c r="AB271" s="1239"/>
      <c r="AC271" s="1239"/>
      <c r="AD271" s="1239"/>
      <c r="AE271" s="1239"/>
    </row>
    <row r="272" spans="1:31" x14ac:dyDescent="0.2">
      <c r="A272" s="1338"/>
      <c r="B272" s="1339"/>
      <c r="C272" s="1340"/>
      <c r="D272" s="1341"/>
      <c r="E272" s="1338"/>
      <c r="F272" s="1339"/>
      <c r="G272" s="1340"/>
      <c r="H272" s="1341"/>
      <c r="I272" s="1338"/>
      <c r="J272" s="1339"/>
      <c r="K272" s="1340"/>
      <c r="L272" s="1341"/>
      <c r="M272" s="1338"/>
      <c r="N272" s="1339"/>
      <c r="O272" s="1340"/>
      <c r="P272" s="1341"/>
      <c r="Q272" s="1239"/>
      <c r="X272" s="1343" t="e">
        <f ca="1"/>
        <v>#NAME?</v>
      </c>
      <c r="Y272" s="1344" t="e">
        <f ca="1"/>
        <v>#NAME?</v>
      </c>
      <c r="Z272" s="1247"/>
      <c r="AB272" s="1239"/>
      <c r="AC272" s="1239"/>
      <c r="AD272" s="1239"/>
      <c r="AE272" s="1239"/>
    </row>
    <row r="273" spans="1:31" x14ac:dyDescent="0.2">
      <c r="A273" s="1338"/>
      <c r="B273" s="1339"/>
      <c r="C273" s="1340"/>
      <c r="D273" s="1341"/>
      <c r="E273" s="1338"/>
      <c r="F273" s="1339"/>
      <c r="G273" s="1340"/>
      <c r="H273" s="1341"/>
      <c r="I273" s="1338"/>
      <c r="J273" s="1339"/>
      <c r="K273" s="1340"/>
      <c r="L273" s="1341"/>
      <c r="M273" s="1338"/>
      <c r="N273" s="1339"/>
      <c r="O273" s="1340"/>
      <c r="P273" s="1341"/>
      <c r="Q273" s="1239"/>
      <c r="X273" s="1343" t="e">
        <f ca="1"/>
        <v>#NAME?</v>
      </c>
      <c r="Y273" s="1344" t="e">
        <f ca="1"/>
        <v>#NAME?</v>
      </c>
      <c r="Z273" s="1247"/>
      <c r="AB273" s="1239"/>
      <c r="AC273" s="1239"/>
      <c r="AD273" s="1239"/>
      <c r="AE273" s="1239"/>
    </row>
    <row r="274" spans="1:31" x14ac:dyDescent="0.2">
      <c r="A274" s="1338"/>
      <c r="B274" s="1339"/>
      <c r="C274" s="1340"/>
      <c r="D274" s="1341"/>
      <c r="E274" s="1338"/>
      <c r="F274" s="1339"/>
      <c r="G274" s="1340"/>
      <c r="H274" s="1341"/>
      <c r="I274" s="1338"/>
      <c r="J274" s="1339"/>
      <c r="K274" s="1340"/>
      <c r="L274" s="1341"/>
      <c r="M274" s="1338"/>
      <c r="N274" s="1339"/>
      <c r="O274" s="1340"/>
      <c r="P274" s="1341"/>
      <c r="Q274" s="1239"/>
      <c r="X274" s="1343" t="e">
        <f ca="1"/>
        <v>#NAME?</v>
      </c>
      <c r="Y274" s="1344" t="e">
        <f ca="1"/>
        <v>#NAME?</v>
      </c>
      <c r="Z274" s="1247"/>
      <c r="AB274" s="1239"/>
      <c r="AC274" s="1239"/>
      <c r="AD274" s="1239"/>
      <c r="AE274" s="1239"/>
    </row>
    <row r="275" spans="1:31" x14ac:dyDescent="0.2">
      <c r="A275" s="1338"/>
      <c r="B275" s="1339"/>
      <c r="C275" s="1340"/>
      <c r="D275" s="1341"/>
      <c r="E275" s="1338"/>
      <c r="F275" s="1339"/>
      <c r="G275" s="1340"/>
      <c r="H275" s="1341"/>
      <c r="I275" s="1338"/>
      <c r="J275" s="1339"/>
      <c r="K275" s="1340"/>
      <c r="L275" s="1341"/>
      <c r="M275" s="1338"/>
      <c r="N275" s="1339"/>
      <c r="O275" s="1340"/>
      <c r="P275" s="1341"/>
      <c r="Q275" s="1239"/>
      <c r="X275" s="1343" t="e">
        <f ca="1"/>
        <v>#NAME?</v>
      </c>
      <c r="Y275" s="1344" t="e">
        <f ca="1"/>
        <v>#NAME?</v>
      </c>
      <c r="Z275" s="1247"/>
      <c r="AB275" s="1239"/>
      <c r="AC275" s="1239"/>
      <c r="AD275" s="1239"/>
      <c r="AE275" s="1239"/>
    </row>
    <row r="276" spans="1:31" x14ac:dyDescent="0.2">
      <c r="A276" s="1338"/>
      <c r="B276" s="1339"/>
      <c r="C276" s="1340"/>
      <c r="D276" s="1341"/>
      <c r="E276" s="1338"/>
      <c r="F276" s="1339"/>
      <c r="G276" s="1340"/>
      <c r="H276" s="1341"/>
      <c r="I276" s="1338"/>
      <c r="J276" s="1339"/>
      <c r="K276" s="1340"/>
      <c r="L276" s="1341"/>
      <c r="M276" s="1338"/>
      <c r="N276" s="1339"/>
      <c r="O276" s="1340"/>
      <c r="P276" s="1341"/>
      <c r="Q276" s="1239"/>
      <c r="X276" s="1343" t="e">
        <f ca="1"/>
        <v>#NAME?</v>
      </c>
      <c r="Y276" s="1344" t="e">
        <f ca="1"/>
        <v>#NAME?</v>
      </c>
      <c r="Z276" s="1247"/>
      <c r="AB276" s="1239"/>
      <c r="AC276" s="1239"/>
      <c r="AD276" s="1239"/>
      <c r="AE276" s="1239"/>
    </row>
    <row r="277" spans="1:31" x14ac:dyDescent="0.2">
      <c r="A277" s="1338"/>
      <c r="B277" s="1339"/>
      <c r="C277" s="1340"/>
      <c r="D277" s="1341"/>
      <c r="E277" s="1338"/>
      <c r="F277" s="1339"/>
      <c r="G277" s="1340"/>
      <c r="H277" s="1341"/>
      <c r="I277" s="1338"/>
      <c r="J277" s="1339"/>
      <c r="K277" s="1340"/>
      <c r="L277" s="1341"/>
      <c r="M277" s="1338"/>
      <c r="N277" s="1339"/>
      <c r="O277" s="1340"/>
      <c r="P277" s="1341"/>
      <c r="Q277" s="1239"/>
      <c r="X277" s="1343" t="e">
        <f ca="1"/>
        <v>#NAME?</v>
      </c>
      <c r="Y277" s="1344" t="e">
        <f ca="1"/>
        <v>#NAME?</v>
      </c>
      <c r="Z277" s="1247"/>
      <c r="AB277" s="1239"/>
      <c r="AC277" s="1239"/>
      <c r="AD277" s="1239"/>
      <c r="AE277" s="1239"/>
    </row>
    <row r="278" spans="1:31" x14ac:dyDescent="0.2">
      <c r="A278" s="1338"/>
      <c r="B278" s="1339"/>
      <c r="C278" s="1340"/>
      <c r="D278" s="1341"/>
      <c r="E278" s="1338"/>
      <c r="F278" s="1339"/>
      <c r="G278" s="1340"/>
      <c r="H278" s="1341"/>
      <c r="I278" s="1338"/>
      <c r="J278" s="1339"/>
      <c r="K278" s="1340"/>
      <c r="L278" s="1341"/>
      <c r="M278" s="1338"/>
      <c r="N278" s="1339"/>
      <c r="O278" s="1340"/>
      <c r="P278" s="1341"/>
      <c r="Q278" s="1239"/>
      <c r="X278" s="1343" t="e">
        <f ca="1"/>
        <v>#NAME?</v>
      </c>
      <c r="Y278" s="1344" t="e">
        <f ca="1"/>
        <v>#NAME?</v>
      </c>
      <c r="Z278" s="1247"/>
      <c r="AB278" s="1239"/>
      <c r="AC278" s="1239"/>
      <c r="AD278" s="1239"/>
      <c r="AE278" s="1239"/>
    </row>
    <row r="279" spans="1:31" x14ac:dyDescent="0.2">
      <c r="A279" s="1338"/>
      <c r="B279" s="1339"/>
      <c r="C279" s="1340"/>
      <c r="D279" s="1341"/>
      <c r="E279" s="1338"/>
      <c r="F279" s="1339"/>
      <c r="G279" s="1340"/>
      <c r="H279" s="1341"/>
      <c r="I279" s="1338"/>
      <c r="J279" s="1339"/>
      <c r="K279" s="1340"/>
      <c r="L279" s="1341"/>
      <c r="M279" s="1338"/>
      <c r="N279" s="1339"/>
      <c r="O279" s="1340"/>
      <c r="P279" s="1341"/>
      <c r="Q279" s="1239"/>
      <c r="X279" s="1343" t="e">
        <f ca="1"/>
        <v>#NAME?</v>
      </c>
      <c r="Y279" s="1344" t="e">
        <f ca="1"/>
        <v>#NAME?</v>
      </c>
      <c r="Z279" s="1247"/>
      <c r="AB279" s="1239"/>
      <c r="AC279" s="1239"/>
      <c r="AD279" s="1239"/>
      <c r="AE279" s="1239"/>
    </row>
    <row r="280" spans="1:31" x14ac:dyDescent="0.2">
      <c r="A280" s="1338"/>
      <c r="B280" s="1339"/>
      <c r="C280" s="1340"/>
      <c r="D280" s="1341"/>
      <c r="E280" s="1338"/>
      <c r="F280" s="1339"/>
      <c r="G280" s="1340"/>
      <c r="H280" s="1341"/>
      <c r="I280" s="1338"/>
      <c r="J280" s="1339"/>
      <c r="K280" s="1340"/>
      <c r="L280" s="1341"/>
      <c r="M280" s="1338"/>
      <c r="N280" s="1339"/>
      <c r="O280" s="1340"/>
      <c r="P280" s="1341"/>
      <c r="Q280" s="1239"/>
      <c r="X280" s="1343" t="e">
        <f ca="1"/>
        <v>#NAME?</v>
      </c>
      <c r="Y280" s="1344" t="e">
        <f ca="1"/>
        <v>#NAME?</v>
      </c>
      <c r="Z280" s="1247"/>
      <c r="AB280" s="1239"/>
      <c r="AC280" s="1239"/>
      <c r="AD280" s="1239"/>
      <c r="AE280" s="1239"/>
    </row>
    <row r="281" spans="1:31" x14ac:dyDescent="0.2">
      <c r="A281" s="1338"/>
      <c r="B281" s="1339"/>
      <c r="C281" s="1340"/>
      <c r="D281" s="1341"/>
      <c r="E281" s="1338"/>
      <c r="F281" s="1339"/>
      <c r="G281" s="1340"/>
      <c r="H281" s="1341"/>
      <c r="I281" s="1338"/>
      <c r="J281" s="1339"/>
      <c r="K281" s="1340"/>
      <c r="L281" s="1341"/>
      <c r="M281" s="1338"/>
      <c r="N281" s="1339"/>
      <c r="O281" s="1340"/>
      <c r="P281" s="1341"/>
      <c r="Q281" s="1239"/>
      <c r="X281" s="1343" t="e">
        <f ca="1"/>
        <v>#NAME?</v>
      </c>
      <c r="Y281" s="1344" t="e">
        <f ca="1"/>
        <v>#NAME?</v>
      </c>
      <c r="Z281" s="1247"/>
      <c r="AB281" s="1239"/>
      <c r="AC281" s="1239"/>
      <c r="AD281" s="1239"/>
      <c r="AE281" s="1239"/>
    </row>
    <row r="282" spans="1:31" x14ac:dyDescent="0.2">
      <c r="A282" s="1338"/>
      <c r="B282" s="1339"/>
      <c r="C282" s="1340"/>
      <c r="D282" s="1341"/>
      <c r="E282" s="1338"/>
      <c r="F282" s="1339"/>
      <c r="G282" s="1340"/>
      <c r="H282" s="1341"/>
      <c r="I282" s="1338"/>
      <c r="J282" s="1339"/>
      <c r="K282" s="1340"/>
      <c r="L282" s="1341"/>
      <c r="M282" s="1338"/>
      <c r="N282" s="1339"/>
      <c r="O282" s="1340"/>
      <c r="P282" s="1341"/>
      <c r="Q282" s="1239"/>
      <c r="X282" s="1343" t="e">
        <f ca="1"/>
        <v>#NAME?</v>
      </c>
      <c r="Y282" s="1344" t="e">
        <f ca="1"/>
        <v>#NAME?</v>
      </c>
      <c r="Z282" s="1247"/>
      <c r="AB282" s="1239"/>
      <c r="AC282" s="1239"/>
      <c r="AD282" s="1239"/>
      <c r="AE282" s="1239"/>
    </row>
    <row r="283" spans="1:31" x14ac:dyDescent="0.2">
      <c r="A283" s="1338"/>
      <c r="B283" s="1339"/>
      <c r="C283" s="1340"/>
      <c r="D283" s="1341"/>
      <c r="E283" s="1338"/>
      <c r="F283" s="1339"/>
      <c r="G283" s="1340"/>
      <c r="H283" s="1341"/>
      <c r="I283" s="1338"/>
      <c r="J283" s="1339"/>
      <c r="K283" s="1340"/>
      <c r="L283" s="1341"/>
      <c r="M283" s="1338"/>
      <c r="N283" s="1339"/>
      <c r="O283" s="1340"/>
      <c r="P283" s="1341"/>
      <c r="Q283" s="1239"/>
      <c r="X283" s="1343" t="e">
        <f ca="1"/>
        <v>#NAME?</v>
      </c>
      <c r="Y283" s="1344" t="e">
        <f ca="1"/>
        <v>#NAME?</v>
      </c>
      <c r="Z283" s="1247"/>
      <c r="AB283" s="1239"/>
      <c r="AC283" s="1239"/>
      <c r="AD283" s="1239"/>
      <c r="AE283" s="1239"/>
    </row>
    <row r="284" spans="1:31" x14ac:dyDescent="0.2">
      <c r="A284" s="1338"/>
      <c r="B284" s="1339"/>
      <c r="C284" s="1340"/>
      <c r="D284" s="1341"/>
      <c r="E284" s="1338"/>
      <c r="F284" s="1339"/>
      <c r="G284" s="1340"/>
      <c r="H284" s="1341"/>
      <c r="I284" s="1338"/>
      <c r="J284" s="1339"/>
      <c r="K284" s="1340"/>
      <c r="L284" s="1341"/>
      <c r="M284" s="1338"/>
      <c r="N284" s="1339"/>
      <c r="O284" s="1340"/>
      <c r="P284" s="1341"/>
      <c r="Q284" s="1239"/>
      <c r="X284" s="1343" t="e">
        <f ca="1"/>
        <v>#NAME?</v>
      </c>
      <c r="Y284" s="1344" t="e">
        <f ca="1"/>
        <v>#NAME?</v>
      </c>
      <c r="Z284" s="1247"/>
      <c r="AB284" s="1239"/>
      <c r="AC284" s="1239"/>
      <c r="AD284" s="1239"/>
      <c r="AE284" s="1239"/>
    </row>
    <row r="285" spans="1:31" x14ac:dyDescent="0.2">
      <c r="A285" s="1338"/>
      <c r="B285" s="1339"/>
      <c r="C285" s="1340"/>
      <c r="D285" s="1341"/>
      <c r="E285" s="1338"/>
      <c r="F285" s="1339"/>
      <c r="G285" s="1340"/>
      <c r="H285" s="1341"/>
      <c r="I285" s="1338"/>
      <c r="J285" s="1339"/>
      <c r="K285" s="1340"/>
      <c r="L285" s="1341"/>
      <c r="M285" s="1338"/>
      <c r="N285" s="1339"/>
      <c r="O285" s="1340"/>
      <c r="P285" s="1341"/>
      <c r="Q285" s="1239"/>
      <c r="X285" s="1343" t="e">
        <f ca="1"/>
        <v>#NAME?</v>
      </c>
      <c r="Y285" s="1344" t="e">
        <f ca="1"/>
        <v>#NAME?</v>
      </c>
      <c r="Z285" s="1247"/>
      <c r="AB285" s="1239"/>
      <c r="AC285" s="1239"/>
      <c r="AD285" s="1239"/>
      <c r="AE285" s="1239"/>
    </row>
    <row r="286" spans="1:31" x14ac:dyDescent="0.2">
      <c r="A286" s="1338"/>
      <c r="B286" s="1339"/>
      <c r="C286" s="1340"/>
      <c r="D286" s="1341"/>
      <c r="E286" s="1338"/>
      <c r="F286" s="1339"/>
      <c r="G286" s="1340"/>
      <c r="H286" s="1341"/>
      <c r="I286" s="1338"/>
      <c r="J286" s="1339"/>
      <c r="K286" s="1340"/>
      <c r="L286" s="1341"/>
      <c r="M286" s="1338"/>
      <c r="N286" s="1339"/>
      <c r="O286" s="1340"/>
      <c r="P286" s="1341"/>
      <c r="Q286" s="1239"/>
      <c r="X286" s="1343" t="e">
        <f ca="1"/>
        <v>#NAME?</v>
      </c>
      <c r="Y286" s="1344" t="e">
        <f ca="1"/>
        <v>#NAME?</v>
      </c>
      <c r="Z286" s="1247"/>
      <c r="AB286" s="1239"/>
      <c r="AC286" s="1239"/>
      <c r="AD286" s="1239"/>
      <c r="AE286" s="1239"/>
    </row>
    <row r="287" spans="1:31" x14ac:dyDescent="0.2">
      <c r="A287" s="1338"/>
      <c r="B287" s="1339"/>
      <c r="C287" s="1340"/>
      <c r="D287" s="1341"/>
      <c r="E287" s="1338"/>
      <c r="F287" s="1339"/>
      <c r="G287" s="1340"/>
      <c r="H287" s="1341"/>
      <c r="I287" s="1338"/>
      <c r="J287" s="1339"/>
      <c r="K287" s="1340"/>
      <c r="L287" s="1341"/>
      <c r="M287" s="1338"/>
      <c r="N287" s="1339"/>
      <c r="O287" s="1340"/>
      <c r="P287" s="1341"/>
      <c r="Q287" s="1239"/>
      <c r="X287" s="1343" t="e">
        <f ca="1"/>
        <v>#NAME?</v>
      </c>
      <c r="Y287" s="1344" t="e">
        <f ca="1"/>
        <v>#NAME?</v>
      </c>
      <c r="Z287" s="1247"/>
      <c r="AB287" s="1239"/>
      <c r="AC287" s="1239"/>
      <c r="AD287" s="1239"/>
      <c r="AE287" s="1239"/>
    </row>
    <row r="288" spans="1:31" x14ac:dyDescent="0.2">
      <c r="A288" s="1338"/>
      <c r="B288" s="1339"/>
      <c r="C288" s="1340"/>
      <c r="D288" s="1341"/>
      <c r="E288" s="1338"/>
      <c r="F288" s="1339"/>
      <c r="G288" s="1340"/>
      <c r="H288" s="1341"/>
      <c r="I288" s="1338"/>
      <c r="J288" s="1339"/>
      <c r="K288" s="1340"/>
      <c r="L288" s="1341"/>
      <c r="M288" s="1338"/>
      <c r="N288" s="1339"/>
      <c r="O288" s="1340"/>
      <c r="P288" s="1341"/>
      <c r="Q288" s="1239"/>
      <c r="X288" s="1343" t="e">
        <f ca="1"/>
        <v>#NAME?</v>
      </c>
      <c r="Y288" s="1344" t="e">
        <f ca="1"/>
        <v>#NAME?</v>
      </c>
      <c r="Z288" s="1247"/>
      <c r="AB288" s="1239"/>
      <c r="AC288" s="1239"/>
      <c r="AD288" s="1239"/>
      <c r="AE288" s="1239"/>
    </row>
    <row r="289" spans="1:31" x14ac:dyDescent="0.2">
      <c r="A289" s="1338"/>
      <c r="B289" s="1339"/>
      <c r="C289" s="1340"/>
      <c r="D289" s="1341"/>
      <c r="E289" s="1338"/>
      <c r="F289" s="1339"/>
      <c r="G289" s="1340"/>
      <c r="H289" s="1341"/>
      <c r="I289" s="1338"/>
      <c r="J289" s="1339"/>
      <c r="K289" s="1340"/>
      <c r="L289" s="1341"/>
      <c r="M289" s="1338"/>
      <c r="N289" s="1339"/>
      <c r="O289" s="1340"/>
      <c r="P289" s="1341"/>
      <c r="Q289" s="1239"/>
      <c r="X289" s="1343" t="e">
        <f ca="1"/>
        <v>#NAME?</v>
      </c>
      <c r="Y289" s="1344" t="e">
        <f ca="1"/>
        <v>#NAME?</v>
      </c>
      <c r="Z289" s="1247"/>
      <c r="AB289" s="1239"/>
      <c r="AC289" s="1239"/>
      <c r="AD289" s="1239"/>
      <c r="AE289" s="1239"/>
    </row>
    <row r="290" spans="1:31" x14ac:dyDescent="0.2">
      <c r="A290" s="1338"/>
      <c r="B290" s="1339"/>
      <c r="C290" s="1340"/>
      <c r="D290" s="1341"/>
      <c r="E290" s="1338"/>
      <c r="F290" s="1339"/>
      <c r="G290" s="1340"/>
      <c r="H290" s="1341"/>
      <c r="I290" s="1338"/>
      <c r="J290" s="1339"/>
      <c r="K290" s="1340"/>
      <c r="L290" s="1341"/>
      <c r="M290" s="1338"/>
      <c r="N290" s="1339"/>
      <c r="O290" s="1340"/>
      <c r="P290" s="1341"/>
      <c r="Q290" s="1239"/>
      <c r="X290" s="1343" t="e">
        <f ca="1"/>
        <v>#NAME?</v>
      </c>
      <c r="Y290" s="1344" t="e">
        <f ca="1"/>
        <v>#NAME?</v>
      </c>
      <c r="Z290" s="1247"/>
      <c r="AB290" s="1239"/>
      <c r="AC290" s="1239"/>
      <c r="AD290" s="1239"/>
      <c r="AE290" s="1239"/>
    </row>
    <row r="291" spans="1:31" x14ac:dyDescent="0.2">
      <c r="A291" s="1338"/>
      <c r="B291" s="1339"/>
      <c r="C291" s="1340"/>
      <c r="D291" s="1341"/>
      <c r="E291" s="1338"/>
      <c r="F291" s="1339"/>
      <c r="G291" s="1340"/>
      <c r="H291" s="1341"/>
      <c r="I291" s="1338"/>
      <c r="J291" s="1339"/>
      <c r="K291" s="1340"/>
      <c r="L291" s="1341"/>
      <c r="M291" s="1338"/>
      <c r="N291" s="1339"/>
      <c r="O291" s="1340"/>
      <c r="P291" s="1341"/>
      <c r="Q291" s="1239"/>
      <c r="X291" s="1343" t="e">
        <f ca="1"/>
        <v>#NAME?</v>
      </c>
      <c r="Y291" s="1344" t="e">
        <f ca="1"/>
        <v>#NAME?</v>
      </c>
      <c r="Z291" s="1247"/>
      <c r="AB291" s="1239"/>
      <c r="AC291" s="1239"/>
      <c r="AD291" s="1239"/>
      <c r="AE291" s="1239"/>
    </row>
    <row r="292" spans="1:31" x14ac:dyDescent="0.2">
      <c r="A292" s="1338"/>
      <c r="B292" s="1339"/>
      <c r="C292" s="1340"/>
      <c r="D292" s="1341"/>
      <c r="E292" s="1338"/>
      <c r="F292" s="1339"/>
      <c r="G292" s="1340"/>
      <c r="H292" s="1341"/>
      <c r="I292" s="1338"/>
      <c r="J292" s="1339"/>
      <c r="K292" s="1340"/>
      <c r="L292" s="1341"/>
      <c r="M292" s="1338"/>
      <c r="N292" s="1339"/>
      <c r="O292" s="1340"/>
      <c r="P292" s="1341"/>
      <c r="Q292" s="1239"/>
      <c r="X292" s="1343" t="e">
        <f ca="1"/>
        <v>#NAME?</v>
      </c>
      <c r="Y292" s="1344" t="e">
        <f ca="1"/>
        <v>#NAME?</v>
      </c>
      <c r="Z292" s="1247"/>
      <c r="AB292" s="1239"/>
      <c r="AC292" s="1239"/>
      <c r="AD292" s="1239"/>
      <c r="AE292" s="1239"/>
    </row>
    <row r="293" spans="1:31" x14ac:dyDescent="0.2">
      <c r="A293" s="1338"/>
      <c r="B293" s="1339"/>
      <c r="C293" s="1340"/>
      <c r="D293" s="1341"/>
      <c r="E293" s="1338"/>
      <c r="F293" s="1339"/>
      <c r="G293" s="1340"/>
      <c r="H293" s="1341"/>
      <c r="I293" s="1338"/>
      <c r="J293" s="1339"/>
      <c r="K293" s="1340"/>
      <c r="L293" s="1341"/>
      <c r="M293" s="1338"/>
      <c r="N293" s="1339"/>
      <c r="O293" s="1340"/>
      <c r="P293" s="1341"/>
      <c r="Q293" s="1239"/>
      <c r="X293" s="1343" t="e">
        <f ca="1"/>
        <v>#NAME?</v>
      </c>
      <c r="Y293" s="1344" t="e">
        <f ca="1"/>
        <v>#NAME?</v>
      </c>
      <c r="Z293" s="1247"/>
      <c r="AB293" s="1239"/>
      <c r="AC293" s="1239"/>
      <c r="AD293" s="1239"/>
      <c r="AE293" s="1239"/>
    </row>
    <row r="294" spans="1:31" x14ac:dyDescent="0.2">
      <c r="A294" s="1338"/>
      <c r="B294" s="1339"/>
      <c r="C294" s="1340"/>
      <c r="D294" s="1341"/>
      <c r="E294" s="1338"/>
      <c r="F294" s="1339"/>
      <c r="G294" s="1340"/>
      <c r="H294" s="1341"/>
      <c r="I294" s="1338"/>
      <c r="J294" s="1339"/>
      <c r="K294" s="1340"/>
      <c r="L294" s="1341"/>
      <c r="M294" s="1338"/>
      <c r="N294" s="1339"/>
      <c r="O294" s="1340"/>
      <c r="P294" s="1341"/>
      <c r="Q294" s="1239"/>
      <c r="X294" s="1343" t="e">
        <f ca="1"/>
        <v>#NAME?</v>
      </c>
      <c r="Y294" s="1344" t="e">
        <f ca="1"/>
        <v>#NAME?</v>
      </c>
      <c r="Z294" s="1247"/>
      <c r="AB294" s="1239"/>
      <c r="AC294" s="1239"/>
      <c r="AD294" s="1239"/>
      <c r="AE294" s="1239"/>
    </row>
    <row r="295" spans="1:31" x14ac:dyDescent="0.2">
      <c r="A295" s="1338"/>
      <c r="B295" s="1339"/>
      <c r="C295" s="1340"/>
      <c r="D295" s="1341"/>
      <c r="E295" s="1338"/>
      <c r="F295" s="1339"/>
      <c r="G295" s="1340"/>
      <c r="H295" s="1341"/>
      <c r="I295" s="1338"/>
      <c r="J295" s="1339"/>
      <c r="K295" s="1340"/>
      <c r="L295" s="1341"/>
      <c r="M295" s="1338"/>
      <c r="N295" s="1339"/>
      <c r="O295" s="1340"/>
      <c r="P295" s="1341"/>
      <c r="Q295" s="1239"/>
      <c r="X295" s="1343" t="e">
        <f ca="1"/>
        <v>#NAME?</v>
      </c>
      <c r="Y295" s="1344" t="e">
        <f ca="1"/>
        <v>#NAME?</v>
      </c>
      <c r="Z295" s="1247"/>
      <c r="AB295" s="1239"/>
      <c r="AC295" s="1239"/>
      <c r="AD295" s="1239"/>
      <c r="AE295" s="1239"/>
    </row>
    <row r="296" spans="1:31" x14ac:dyDescent="0.2">
      <c r="A296" s="1338"/>
      <c r="B296" s="1339"/>
      <c r="C296" s="1340"/>
      <c r="D296" s="1341"/>
      <c r="E296" s="1338"/>
      <c r="F296" s="1339"/>
      <c r="G296" s="1340"/>
      <c r="H296" s="1341"/>
      <c r="I296" s="1338"/>
      <c r="J296" s="1339"/>
      <c r="K296" s="1340"/>
      <c r="L296" s="1341"/>
      <c r="M296" s="1338"/>
      <c r="N296" s="1339"/>
      <c r="O296" s="1340"/>
      <c r="P296" s="1341"/>
      <c r="Q296" s="1239"/>
      <c r="X296" s="1343" t="e">
        <f ca="1"/>
        <v>#NAME?</v>
      </c>
      <c r="Y296" s="1344" t="e">
        <f ca="1"/>
        <v>#NAME?</v>
      </c>
      <c r="Z296" s="1247"/>
      <c r="AB296" s="1239"/>
      <c r="AC296" s="1239"/>
      <c r="AD296" s="1239"/>
      <c r="AE296" s="1239"/>
    </row>
    <row r="297" spans="1:31" x14ac:dyDescent="0.2">
      <c r="A297" s="1338"/>
      <c r="B297" s="1339"/>
      <c r="C297" s="1340"/>
      <c r="D297" s="1341"/>
      <c r="E297" s="1338"/>
      <c r="F297" s="1339"/>
      <c r="G297" s="1340"/>
      <c r="H297" s="1341"/>
      <c r="I297" s="1338"/>
      <c r="J297" s="1339"/>
      <c r="K297" s="1340"/>
      <c r="L297" s="1341"/>
      <c r="M297" s="1338"/>
      <c r="N297" s="1339"/>
      <c r="O297" s="1340"/>
      <c r="P297" s="1341"/>
      <c r="Q297" s="1239"/>
      <c r="X297" s="1343" t="e">
        <f ca="1"/>
        <v>#NAME?</v>
      </c>
      <c r="Y297" s="1344" t="e">
        <f ca="1"/>
        <v>#NAME?</v>
      </c>
      <c r="Z297" s="1247"/>
      <c r="AB297" s="1239"/>
      <c r="AC297" s="1239"/>
      <c r="AD297" s="1239"/>
      <c r="AE297" s="1239"/>
    </row>
    <row r="298" spans="1:31" x14ac:dyDescent="0.2">
      <c r="A298" s="1338"/>
      <c r="B298" s="1339"/>
      <c r="C298" s="1340"/>
      <c r="D298" s="1341"/>
      <c r="E298" s="1338"/>
      <c r="F298" s="1339"/>
      <c r="G298" s="1340"/>
      <c r="H298" s="1341"/>
      <c r="I298" s="1338"/>
      <c r="J298" s="1339"/>
      <c r="K298" s="1340"/>
      <c r="L298" s="1341"/>
      <c r="M298" s="1338"/>
      <c r="N298" s="1339"/>
      <c r="O298" s="1340"/>
      <c r="P298" s="1341"/>
      <c r="Q298" s="1239"/>
      <c r="X298" s="1343" t="e">
        <f ca="1"/>
        <v>#NAME?</v>
      </c>
      <c r="Y298" s="1344" t="e">
        <f ca="1"/>
        <v>#NAME?</v>
      </c>
      <c r="Z298" s="1247"/>
      <c r="AB298" s="1239"/>
      <c r="AC298" s="1239"/>
      <c r="AD298" s="1239"/>
      <c r="AE298" s="1239"/>
    </row>
    <row r="299" spans="1:31" x14ac:dyDescent="0.2">
      <c r="A299" s="1338"/>
      <c r="B299" s="1339"/>
      <c r="C299" s="1340"/>
      <c r="D299" s="1341"/>
      <c r="E299" s="1338"/>
      <c r="F299" s="1339"/>
      <c r="G299" s="1340"/>
      <c r="H299" s="1341"/>
      <c r="I299" s="1338"/>
      <c r="J299" s="1339"/>
      <c r="K299" s="1340"/>
      <c r="L299" s="1341"/>
      <c r="M299" s="1338"/>
      <c r="N299" s="1339"/>
      <c r="O299" s="1340"/>
      <c r="P299" s="1341"/>
      <c r="Q299" s="1239"/>
      <c r="X299" s="1343" t="e">
        <f ca="1"/>
        <v>#NAME?</v>
      </c>
      <c r="Y299" s="1344" t="e">
        <f ca="1"/>
        <v>#NAME?</v>
      </c>
      <c r="Z299" s="1247"/>
      <c r="AB299" s="1239"/>
      <c r="AC299" s="1239"/>
      <c r="AD299" s="1239"/>
      <c r="AE299" s="1239"/>
    </row>
    <row r="300" spans="1:31" x14ac:dyDescent="0.2">
      <c r="A300" s="1338"/>
      <c r="B300" s="1339"/>
      <c r="C300" s="1340"/>
      <c r="D300" s="1341"/>
      <c r="E300" s="1338"/>
      <c r="F300" s="1339"/>
      <c r="G300" s="1340"/>
      <c r="H300" s="1341"/>
      <c r="I300" s="1338"/>
      <c r="J300" s="1339"/>
      <c r="K300" s="1340"/>
      <c r="L300" s="1341"/>
      <c r="M300" s="1338"/>
      <c r="N300" s="1339"/>
      <c r="O300" s="1340"/>
      <c r="P300" s="1341"/>
      <c r="Q300" s="1239"/>
      <c r="X300" s="1343" t="e">
        <f ca="1"/>
        <v>#NAME?</v>
      </c>
      <c r="Y300" s="1344" t="e">
        <f ca="1"/>
        <v>#NAME?</v>
      </c>
      <c r="Z300" s="1247"/>
      <c r="AB300" s="1239"/>
      <c r="AC300" s="1239"/>
      <c r="AD300" s="1239"/>
      <c r="AE300" s="1239"/>
    </row>
    <row r="301" spans="1:31" x14ac:dyDescent="0.2">
      <c r="A301" s="1338"/>
      <c r="B301" s="1339"/>
      <c r="C301" s="1340"/>
      <c r="D301" s="1341"/>
      <c r="E301" s="1338"/>
      <c r="F301" s="1339"/>
      <c r="G301" s="1340"/>
      <c r="H301" s="1341"/>
      <c r="I301" s="1338"/>
      <c r="J301" s="1339"/>
      <c r="K301" s="1340"/>
      <c r="L301" s="1341"/>
      <c r="M301" s="1338"/>
      <c r="N301" s="1339"/>
      <c r="O301" s="1340"/>
      <c r="P301" s="1341"/>
      <c r="Q301" s="1239"/>
      <c r="X301" s="1343" t="e">
        <f ca="1"/>
        <v>#NAME?</v>
      </c>
      <c r="Y301" s="1344" t="e">
        <f ca="1"/>
        <v>#NAME?</v>
      </c>
      <c r="Z301" s="1247"/>
      <c r="AB301" s="1239"/>
      <c r="AC301" s="1239"/>
      <c r="AD301" s="1239"/>
      <c r="AE301" s="1239"/>
    </row>
    <row r="302" spans="1:31" x14ac:dyDescent="0.2">
      <c r="A302" s="1338"/>
      <c r="B302" s="1339"/>
      <c r="C302" s="1340"/>
      <c r="D302" s="1341"/>
      <c r="E302" s="1338"/>
      <c r="F302" s="1339"/>
      <c r="G302" s="1340"/>
      <c r="H302" s="1341"/>
      <c r="I302" s="1338"/>
      <c r="J302" s="1339"/>
      <c r="K302" s="1340"/>
      <c r="L302" s="1341"/>
      <c r="M302" s="1338"/>
      <c r="N302" s="1339"/>
      <c r="O302" s="1340"/>
      <c r="P302" s="1341"/>
      <c r="Q302" s="1239"/>
      <c r="X302" s="1343" t="e">
        <f ca="1"/>
        <v>#NAME?</v>
      </c>
      <c r="Y302" s="1344" t="e">
        <f ca="1"/>
        <v>#NAME?</v>
      </c>
      <c r="Z302" s="1247"/>
      <c r="AB302" s="1239"/>
      <c r="AC302" s="1239"/>
      <c r="AD302" s="1239"/>
      <c r="AE302" s="1239"/>
    </row>
    <row r="303" spans="1:31" x14ac:dyDescent="0.2">
      <c r="A303" s="1338"/>
      <c r="B303" s="1339"/>
      <c r="C303" s="1340"/>
      <c r="D303" s="1341"/>
      <c r="E303" s="1338"/>
      <c r="F303" s="1339"/>
      <c r="G303" s="1340"/>
      <c r="H303" s="1341"/>
      <c r="I303" s="1338"/>
      <c r="J303" s="1339"/>
      <c r="K303" s="1340"/>
      <c r="L303" s="1341"/>
      <c r="M303" s="1338"/>
      <c r="N303" s="1339"/>
      <c r="O303" s="1340"/>
      <c r="P303" s="1341"/>
      <c r="Q303" s="1239"/>
      <c r="X303" s="1343" t="e">
        <f ca="1"/>
        <v>#NAME?</v>
      </c>
      <c r="Y303" s="1344" t="e">
        <f ca="1"/>
        <v>#NAME?</v>
      </c>
      <c r="Z303" s="1247"/>
      <c r="AB303" s="1239"/>
      <c r="AC303" s="1239"/>
      <c r="AD303" s="1239"/>
      <c r="AE303" s="1239"/>
    </row>
    <row r="304" spans="1:31" x14ac:dyDescent="0.2">
      <c r="A304" s="1338"/>
      <c r="B304" s="1339"/>
      <c r="C304" s="1340"/>
      <c r="D304" s="1341"/>
      <c r="E304" s="1338"/>
      <c r="F304" s="1339"/>
      <c r="G304" s="1340"/>
      <c r="H304" s="1341"/>
      <c r="I304" s="1338"/>
      <c r="J304" s="1339"/>
      <c r="K304" s="1340"/>
      <c r="L304" s="1341"/>
      <c r="M304" s="1338"/>
      <c r="N304" s="1339"/>
      <c r="O304" s="1340"/>
      <c r="P304" s="1341"/>
      <c r="Q304" s="1239"/>
      <c r="X304" s="1343" t="e">
        <f ca="1"/>
        <v>#NAME?</v>
      </c>
      <c r="Y304" s="1344" t="e">
        <f ca="1"/>
        <v>#NAME?</v>
      </c>
      <c r="Z304" s="1247"/>
      <c r="AB304" s="1239"/>
      <c r="AC304" s="1239"/>
      <c r="AD304" s="1239"/>
      <c r="AE304" s="1239"/>
    </row>
    <row r="305" spans="1:31" x14ac:dyDescent="0.2">
      <c r="A305" s="1338"/>
      <c r="B305" s="1339"/>
      <c r="C305" s="1340"/>
      <c r="D305" s="1341"/>
      <c r="E305" s="1338"/>
      <c r="F305" s="1339"/>
      <c r="G305" s="1340"/>
      <c r="H305" s="1341"/>
      <c r="I305" s="1338"/>
      <c r="J305" s="1339"/>
      <c r="K305" s="1340"/>
      <c r="L305" s="1341"/>
      <c r="M305" s="1338"/>
      <c r="N305" s="1339"/>
      <c r="O305" s="1340"/>
      <c r="P305" s="1341"/>
      <c r="Q305" s="1239"/>
      <c r="X305" s="1343" t="e">
        <f ca="1"/>
        <v>#NAME?</v>
      </c>
      <c r="Y305" s="1344" t="e">
        <f ca="1"/>
        <v>#NAME?</v>
      </c>
      <c r="Z305" s="1247"/>
      <c r="AB305" s="1239"/>
      <c r="AC305" s="1239"/>
      <c r="AD305" s="1239"/>
      <c r="AE305" s="1239"/>
    </row>
    <row r="306" spans="1:31" x14ac:dyDescent="0.2">
      <c r="A306" s="1338"/>
      <c r="B306" s="1339"/>
      <c r="C306" s="1340"/>
      <c r="D306" s="1341"/>
      <c r="E306" s="1338"/>
      <c r="F306" s="1339"/>
      <c r="G306" s="1340"/>
      <c r="H306" s="1341"/>
      <c r="I306" s="1338"/>
      <c r="J306" s="1339"/>
      <c r="K306" s="1340"/>
      <c r="L306" s="1341"/>
      <c r="M306" s="1338"/>
      <c r="N306" s="1339"/>
      <c r="O306" s="1340"/>
      <c r="P306" s="1341"/>
      <c r="Q306" s="1239"/>
      <c r="X306" s="1343" t="e">
        <f ca="1"/>
        <v>#NAME?</v>
      </c>
      <c r="Y306" s="1344" t="e">
        <f ca="1"/>
        <v>#NAME?</v>
      </c>
      <c r="Z306" s="1247"/>
      <c r="AB306" s="1239"/>
      <c r="AC306" s="1239"/>
      <c r="AD306" s="1239"/>
      <c r="AE306" s="1239"/>
    </row>
    <row r="307" spans="1:31" x14ac:dyDescent="0.2">
      <c r="A307" s="1338"/>
      <c r="B307" s="1339"/>
      <c r="C307" s="1340"/>
      <c r="D307" s="1341"/>
      <c r="E307" s="1338"/>
      <c r="F307" s="1339"/>
      <c r="G307" s="1340"/>
      <c r="H307" s="1341"/>
      <c r="I307" s="1338"/>
      <c r="J307" s="1339"/>
      <c r="K307" s="1340"/>
      <c r="L307" s="1341"/>
      <c r="M307" s="1338"/>
      <c r="N307" s="1339"/>
      <c r="O307" s="1340"/>
      <c r="P307" s="1341"/>
      <c r="Q307" s="1239"/>
      <c r="X307" s="1343" t="e">
        <f ca="1"/>
        <v>#NAME?</v>
      </c>
      <c r="Y307" s="1344" t="e">
        <f ca="1"/>
        <v>#NAME?</v>
      </c>
      <c r="Z307" s="1247"/>
      <c r="AB307" s="1239"/>
      <c r="AC307" s="1239"/>
      <c r="AD307" s="1239"/>
      <c r="AE307" s="1239"/>
    </row>
    <row r="308" spans="1:31" x14ac:dyDescent="0.2">
      <c r="A308" s="1338"/>
      <c r="B308" s="1339"/>
      <c r="C308" s="1340"/>
      <c r="D308" s="1341"/>
      <c r="E308" s="1338"/>
      <c r="F308" s="1339"/>
      <c r="G308" s="1340"/>
      <c r="H308" s="1341"/>
      <c r="I308" s="1338"/>
      <c r="J308" s="1339"/>
      <c r="K308" s="1340"/>
      <c r="L308" s="1341"/>
      <c r="M308" s="1338"/>
      <c r="N308" s="1339"/>
      <c r="O308" s="1340"/>
      <c r="P308" s="1341"/>
      <c r="Q308" s="1239"/>
      <c r="X308" s="1343" t="e">
        <f ca="1"/>
        <v>#NAME?</v>
      </c>
      <c r="Y308" s="1344" t="e">
        <f ca="1"/>
        <v>#NAME?</v>
      </c>
      <c r="Z308" s="1247"/>
      <c r="AB308" s="1239"/>
      <c r="AC308" s="1239"/>
      <c r="AD308" s="1239"/>
      <c r="AE308" s="1239"/>
    </row>
    <row r="309" spans="1:31" x14ac:dyDescent="0.2">
      <c r="A309" s="1338"/>
      <c r="B309" s="1339"/>
      <c r="C309" s="1340"/>
      <c r="D309" s="1341"/>
      <c r="E309" s="1338"/>
      <c r="F309" s="1339"/>
      <c r="G309" s="1340"/>
      <c r="H309" s="1341"/>
      <c r="I309" s="1338"/>
      <c r="J309" s="1339"/>
      <c r="K309" s="1340"/>
      <c r="L309" s="1341"/>
      <c r="M309" s="1338"/>
      <c r="N309" s="1339"/>
      <c r="O309" s="1340"/>
      <c r="P309" s="1341"/>
      <c r="Q309" s="1239"/>
      <c r="X309" s="1343" t="e">
        <f ca="1"/>
        <v>#NAME?</v>
      </c>
      <c r="Y309" s="1344" t="e">
        <f ca="1"/>
        <v>#NAME?</v>
      </c>
      <c r="Z309" s="1247"/>
      <c r="AB309" s="1239"/>
      <c r="AC309" s="1239"/>
      <c r="AD309" s="1239"/>
      <c r="AE309" s="1239"/>
    </row>
    <row r="310" spans="1:31" x14ac:dyDescent="0.2">
      <c r="A310" s="1338"/>
      <c r="B310" s="1339"/>
      <c r="C310" s="1340"/>
      <c r="D310" s="1341"/>
      <c r="E310" s="1338"/>
      <c r="F310" s="1339"/>
      <c r="G310" s="1340"/>
      <c r="H310" s="1341"/>
      <c r="I310" s="1338"/>
      <c r="J310" s="1339"/>
      <c r="K310" s="1340"/>
      <c r="L310" s="1341"/>
      <c r="M310" s="1338"/>
      <c r="N310" s="1339"/>
      <c r="O310" s="1340"/>
      <c r="P310" s="1341"/>
      <c r="Q310" s="1239"/>
      <c r="X310" s="1343" t="e">
        <f ca="1"/>
        <v>#NAME?</v>
      </c>
      <c r="Y310" s="1344" t="e">
        <f ca="1"/>
        <v>#NAME?</v>
      </c>
      <c r="Z310" s="1247"/>
      <c r="AB310" s="1239"/>
      <c r="AC310" s="1239"/>
      <c r="AD310" s="1239"/>
      <c r="AE310" s="1239"/>
    </row>
    <row r="311" spans="1:31" x14ac:dyDescent="0.2">
      <c r="A311" s="1338"/>
      <c r="B311" s="1339"/>
      <c r="C311" s="1340"/>
      <c r="D311" s="1341"/>
      <c r="E311" s="1338"/>
      <c r="F311" s="1339"/>
      <c r="G311" s="1340"/>
      <c r="H311" s="1341"/>
      <c r="I311" s="1338"/>
      <c r="J311" s="1339"/>
      <c r="K311" s="1340"/>
      <c r="L311" s="1341"/>
      <c r="M311" s="1338"/>
      <c r="N311" s="1339"/>
      <c r="O311" s="1340"/>
      <c r="P311" s="1341"/>
      <c r="Q311" s="1239"/>
      <c r="X311" s="1343" t="e">
        <f ca="1"/>
        <v>#NAME?</v>
      </c>
      <c r="Y311" s="1344" t="e">
        <f ca="1"/>
        <v>#NAME?</v>
      </c>
      <c r="Z311" s="1247"/>
      <c r="AB311" s="1239"/>
      <c r="AC311" s="1239"/>
      <c r="AD311" s="1239"/>
      <c r="AE311" s="1239"/>
    </row>
    <row r="312" spans="1:31" x14ac:dyDescent="0.2">
      <c r="A312" s="1338"/>
      <c r="B312" s="1339"/>
      <c r="C312" s="1340"/>
      <c r="D312" s="1341"/>
      <c r="E312" s="1338"/>
      <c r="F312" s="1339"/>
      <c r="G312" s="1340"/>
      <c r="H312" s="1341"/>
      <c r="I312" s="1338"/>
      <c r="J312" s="1339"/>
      <c r="K312" s="1340"/>
      <c r="L312" s="1341"/>
      <c r="M312" s="1338"/>
      <c r="N312" s="1339"/>
      <c r="O312" s="1340"/>
      <c r="P312" s="1341"/>
      <c r="Q312" s="1239"/>
      <c r="X312" s="1343" t="e">
        <f ca="1"/>
        <v>#NAME?</v>
      </c>
      <c r="Y312" s="1344" t="e">
        <f ca="1"/>
        <v>#NAME?</v>
      </c>
      <c r="Z312" s="1247"/>
      <c r="AB312" s="1239"/>
      <c r="AC312" s="1239"/>
      <c r="AD312" s="1239"/>
      <c r="AE312" s="1239"/>
    </row>
    <row r="313" spans="1:31" x14ac:dyDescent="0.2">
      <c r="A313" s="1338"/>
      <c r="B313" s="1339"/>
      <c r="C313" s="1340"/>
      <c r="D313" s="1341"/>
      <c r="E313" s="1338"/>
      <c r="F313" s="1339"/>
      <c r="G313" s="1340"/>
      <c r="H313" s="1341"/>
      <c r="I313" s="1338"/>
      <c r="J313" s="1339"/>
      <c r="K313" s="1340"/>
      <c r="L313" s="1341"/>
      <c r="M313" s="1338"/>
      <c r="N313" s="1339"/>
      <c r="O313" s="1340"/>
      <c r="P313" s="1341"/>
      <c r="Q313" s="1239"/>
      <c r="X313" s="1343" t="e">
        <f ca="1"/>
        <v>#NAME?</v>
      </c>
      <c r="Y313" s="1344" t="e">
        <f ca="1"/>
        <v>#NAME?</v>
      </c>
      <c r="Z313" s="1247"/>
      <c r="AB313" s="1239"/>
      <c r="AC313" s="1239"/>
      <c r="AD313" s="1239"/>
      <c r="AE313" s="1239"/>
    </row>
    <row r="314" spans="1:31" x14ac:dyDescent="0.2">
      <c r="A314" s="1338"/>
      <c r="B314" s="1339"/>
      <c r="C314" s="1340"/>
      <c r="D314" s="1341"/>
      <c r="E314" s="1338"/>
      <c r="F314" s="1339"/>
      <c r="G314" s="1340"/>
      <c r="H314" s="1341"/>
      <c r="I314" s="1338"/>
      <c r="J314" s="1339"/>
      <c r="K314" s="1340"/>
      <c r="L314" s="1341"/>
      <c r="M314" s="1338"/>
      <c r="N314" s="1339"/>
      <c r="O314" s="1340"/>
      <c r="P314" s="1341"/>
      <c r="Q314" s="1239"/>
      <c r="X314" s="1343" t="e">
        <f ca="1"/>
        <v>#NAME?</v>
      </c>
      <c r="Y314" s="1344" t="e">
        <f ca="1"/>
        <v>#NAME?</v>
      </c>
      <c r="Z314" s="1247"/>
      <c r="AB314" s="1239"/>
      <c r="AC314" s="1239"/>
      <c r="AD314" s="1239"/>
      <c r="AE314" s="1239"/>
    </row>
    <row r="315" spans="1:31" x14ac:dyDescent="0.2">
      <c r="A315" s="1338"/>
      <c r="B315" s="1339"/>
      <c r="C315" s="1340"/>
      <c r="D315" s="1341"/>
      <c r="E315" s="1338"/>
      <c r="F315" s="1339"/>
      <c r="G315" s="1340"/>
      <c r="H315" s="1341"/>
      <c r="I315" s="1338"/>
      <c r="J315" s="1339"/>
      <c r="K315" s="1340"/>
      <c r="L315" s="1341"/>
      <c r="M315" s="1338"/>
      <c r="N315" s="1339"/>
      <c r="O315" s="1340"/>
      <c r="P315" s="1341"/>
      <c r="Q315" s="1239"/>
      <c r="X315" s="1343" t="e">
        <f ca="1"/>
        <v>#NAME?</v>
      </c>
      <c r="Y315" s="1344" t="e">
        <f ca="1"/>
        <v>#NAME?</v>
      </c>
      <c r="Z315" s="1247"/>
      <c r="AB315" s="1239"/>
      <c r="AC315" s="1239"/>
      <c r="AD315" s="1239"/>
      <c r="AE315" s="1239"/>
    </row>
    <row r="316" spans="1:31" x14ac:dyDescent="0.2">
      <c r="A316" s="1338"/>
      <c r="B316" s="1339"/>
      <c r="C316" s="1340"/>
      <c r="D316" s="1341"/>
      <c r="E316" s="1338"/>
      <c r="F316" s="1339"/>
      <c r="G316" s="1340"/>
      <c r="H316" s="1341"/>
      <c r="I316" s="1338"/>
      <c r="J316" s="1339"/>
      <c r="K316" s="1340"/>
      <c r="L316" s="1341"/>
      <c r="M316" s="1338"/>
      <c r="N316" s="1339"/>
      <c r="O316" s="1340"/>
      <c r="P316" s="1341"/>
      <c r="Q316" s="1239"/>
      <c r="X316" s="1343" t="e">
        <f ca="1"/>
        <v>#NAME?</v>
      </c>
      <c r="Y316" s="1344" t="e">
        <f ca="1"/>
        <v>#NAME?</v>
      </c>
      <c r="Z316" s="1247"/>
      <c r="AB316" s="1239"/>
      <c r="AC316" s="1239"/>
      <c r="AD316" s="1239"/>
      <c r="AE316" s="1239"/>
    </row>
    <row r="317" spans="1:31" x14ac:dyDescent="0.2">
      <c r="A317" s="1338"/>
      <c r="B317" s="1339"/>
      <c r="C317" s="1340"/>
      <c r="D317" s="1341"/>
      <c r="E317" s="1338"/>
      <c r="F317" s="1339"/>
      <c r="G317" s="1340"/>
      <c r="H317" s="1341"/>
      <c r="I317" s="1338"/>
      <c r="J317" s="1339"/>
      <c r="K317" s="1340"/>
      <c r="L317" s="1341"/>
      <c r="M317" s="1338"/>
      <c r="N317" s="1339"/>
      <c r="O317" s="1340"/>
      <c r="P317" s="1341"/>
      <c r="Q317" s="1239"/>
      <c r="X317" s="1343" t="e">
        <f ca="1"/>
        <v>#NAME?</v>
      </c>
      <c r="Y317" s="1344" t="e">
        <f ca="1"/>
        <v>#NAME?</v>
      </c>
      <c r="Z317" s="1247"/>
      <c r="AB317" s="1239"/>
      <c r="AC317" s="1239"/>
      <c r="AD317" s="1239"/>
      <c r="AE317" s="1239"/>
    </row>
    <row r="318" spans="1:31" x14ac:dyDescent="0.2">
      <c r="A318" s="1338"/>
      <c r="B318" s="1339"/>
      <c r="C318" s="1340"/>
      <c r="D318" s="1341"/>
      <c r="E318" s="1338"/>
      <c r="F318" s="1339"/>
      <c r="G318" s="1340"/>
      <c r="H318" s="1341"/>
      <c r="I318" s="1338"/>
      <c r="J318" s="1339"/>
      <c r="K318" s="1340"/>
      <c r="L318" s="1341"/>
      <c r="M318" s="1338"/>
      <c r="N318" s="1339"/>
      <c r="O318" s="1340"/>
      <c r="P318" s="1341"/>
      <c r="Q318" s="1239"/>
      <c r="X318" s="1343" t="e">
        <f ca="1"/>
        <v>#NAME?</v>
      </c>
      <c r="Y318" s="1344" t="e">
        <f ca="1"/>
        <v>#NAME?</v>
      </c>
      <c r="Z318" s="1247"/>
      <c r="AB318" s="1239"/>
      <c r="AC318" s="1239"/>
      <c r="AD318" s="1239"/>
      <c r="AE318" s="1239"/>
    </row>
    <row r="319" spans="1:31" x14ac:dyDescent="0.2">
      <c r="A319" s="1338"/>
      <c r="B319" s="1339"/>
      <c r="C319" s="1340"/>
      <c r="D319" s="1341"/>
      <c r="E319" s="1338"/>
      <c r="F319" s="1339"/>
      <c r="G319" s="1340"/>
      <c r="H319" s="1341"/>
      <c r="I319" s="1338"/>
      <c r="J319" s="1339"/>
      <c r="K319" s="1340"/>
      <c r="L319" s="1341"/>
      <c r="M319" s="1338"/>
      <c r="N319" s="1339"/>
      <c r="O319" s="1340"/>
      <c r="P319" s="1341"/>
      <c r="Q319" s="1239"/>
      <c r="X319" s="1343" t="e">
        <f ca="1"/>
        <v>#NAME?</v>
      </c>
      <c r="Y319" s="1344" t="e">
        <f ca="1"/>
        <v>#NAME?</v>
      </c>
      <c r="Z319" s="1247"/>
      <c r="AB319" s="1239"/>
      <c r="AC319" s="1239"/>
      <c r="AD319" s="1239"/>
      <c r="AE319" s="1239"/>
    </row>
    <row r="320" spans="1:31" x14ac:dyDescent="0.2">
      <c r="A320" s="1338"/>
      <c r="B320" s="1339"/>
      <c r="C320" s="1340"/>
      <c r="D320" s="1341"/>
      <c r="E320" s="1338"/>
      <c r="F320" s="1339"/>
      <c r="G320" s="1340"/>
      <c r="H320" s="1341"/>
      <c r="I320" s="1338"/>
      <c r="J320" s="1339"/>
      <c r="K320" s="1340"/>
      <c r="L320" s="1341"/>
      <c r="M320" s="1338"/>
      <c r="N320" s="1339"/>
      <c r="O320" s="1340"/>
      <c r="P320" s="1341"/>
      <c r="Q320" s="1239"/>
      <c r="X320" s="1343" t="e">
        <f ca="1"/>
        <v>#NAME?</v>
      </c>
      <c r="Y320" s="1344" t="e">
        <f ca="1"/>
        <v>#NAME?</v>
      </c>
      <c r="Z320" s="1247"/>
      <c r="AB320" s="1239"/>
      <c r="AC320" s="1239"/>
      <c r="AD320" s="1239"/>
      <c r="AE320" s="1239"/>
    </row>
    <row r="321" spans="1:31" x14ac:dyDescent="0.2">
      <c r="A321" s="1338"/>
      <c r="B321" s="1339"/>
      <c r="C321" s="1340"/>
      <c r="D321" s="1341"/>
      <c r="E321" s="1338"/>
      <c r="F321" s="1339"/>
      <c r="G321" s="1340"/>
      <c r="H321" s="1341"/>
      <c r="I321" s="1338"/>
      <c r="J321" s="1339"/>
      <c r="K321" s="1340"/>
      <c r="L321" s="1341"/>
      <c r="M321" s="1338"/>
      <c r="N321" s="1339"/>
      <c r="O321" s="1340"/>
      <c r="P321" s="1341"/>
      <c r="Q321" s="1239"/>
      <c r="X321" s="1343" t="e">
        <f ca="1"/>
        <v>#NAME?</v>
      </c>
      <c r="Y321" s="1344" t="e">
        <f ca="1"/>
        <v>#NAME?</v>
      </c>
      <c r="Z321" s="1247"/>
      <c r="AB321" s="1239"/>
      <c r="AC321" s="1239"/>
      <c r="AD321" s="1239"/>
      <c r="AE321" s="1239"/>
    </row>
    <row r="322" spans="1:31" x14ac:dyDescent="0.2">
      <c r="A322" s="1338"/>
      <c r="B322" s="1339"/>
      <c r="C322" s="1340"/>
      <c r="D322" s="1341"/>
      <c r="E322" s="1338"/>
      <c r="F322" s="1339"/>
      <c r="G322" s="1340"/>
      <c r="H322" s="1341"/>
      <c r="I322" s="1338"/>
      <c r="J322" s="1339"/>
      <c r="K322" s="1340"/>
      <c r="L322" s="1341"/>
      <c r="M322" s="1338"/>
      <c r="N322" s="1339"/>
      <c r="O322" s="1340"/>
      <c r="P322" s="1341"/>
      <c r="Q322" s="1239"/>
      <c r="X322" s="1343" t="e">
        <f ca="1"/>
        <v>#NAME?</v>
      </c>
      <c r="Y322" s="1344" t="e">
        <f ca="1"/>
        <v>#NAME?</v>
      </c>
      <c r="Z322" s="1247"/>
      <c r="AB322" s="1239"/>
      <c r="AC322" s="1239"/>
      <c r="AD322" s="1239"/>
      <c r="AE322" s="1239"/>
    </row>
    <row r="323" spans="1:31" x14ac:dyDescent="0.2">
      <c r="A323" s="1338"/>
      <c r="B323" s="1339"/>
      <c r="C323" s="1340"/>
      <c r="D323" s="1341"/>
      <c r="E323" s="1338"/>
      <c r="F323" s="1339"/>
      <c r="G323" s="1340"/>
      <c r="H323" s="1341"/>
      <c r="I323" s="1338"/>
      <c r="J323" s="1339"/>
      <c r="K323" s="1340"/>
      <c r="L323" s="1341"/>
      <c r="M323" s="1338"/>
      <c r="N323" s="1339"/>
      <c r="O323" s="1340"/>
      <c r="P323" s="1341"/>
      <c r="Q323" s="1239"/>
      <c r="X323" s="1343" t="e">
        <f ca="1"/>
        <v>#NAME?</v>
      </c>
      <c r="Y323" s="1344" t="e">
        <f ca="1"/>
        <v>#NAME?</v>
      </c>
      <c r="Z323" s="1247"/>
      <c r="AB323" s="1239"/>
      <c r="AC323" s="1239"/>
      <c r="AD323" s="1239"/>
      <c r="AE323" s="1239"/>
    </row>
    <row r="324" spans="1:31" x14ac:dyDescent="0.2">
      <c r="A324" s="1338"/>
      <c r="B324" s="1339"/>
      <c r="C324" s="1340"/>
      <c r="D324" s="1341"/>
      <c r="E324" s="1338"/>
      <c r="F324" s="1339"/>
      <c r="G324" s="1340"/>
      <c r="H324" s="1341"/>
      <c r="I324" s="1338"/>
      <c r="J324" s="1339"/>
      <c r="K324" s="1340"/>
      <c r="L324" s="1341"/>
      <c r="M324" s="1338"/>
      <c r="N324" s="1339"/>
      <c r="O324" s="1340"/>
      <c r="P324" s="1341"/>
      <c r="Q324" s="1239"/>
      <c r="X324" s="1343" t="e">
        <f ca="1"/>
        <v>#NAME?</v>
      </c>
      <c r="Y324" s="1344" t="e">
        <f ca="1"/>
        <v>#NAME?</v>
      </c>
      <c r="Z324" s="1247"/>
      <c r="AB324" s="1239"/>
      <c r="AC324" s="1239"/>
      <c r="AD324" s="1239"/>
      <c r="AE324" s="1239"/>
    </row>
    <row r="325" spans="1:31" x14ac:dyDescent="0.2">
      <c r="A325" s="1338"/>
      <c r="B325" s="1339"/>
      <c r="C325" s="1340"/>
      <c r="D325" s="1341"/>
      <c r="E325" s="1338"/>
      <c r="F325" s="1339"/>
      <c r="G325" s="1340"/>
      <c r="H325" s="1341"/>
      <c r="I325" s="1338"/>
      <c r="J325" s="1339"/>
      <c r="K325" s="1340"/>
      <c r="L325" s="1341"/>
      <c r="M325" s="1338"/>
      <c r="N325" s="1339"/>
      <c r="O325" s="1340"/>
      <c r="P325" s="1341"/>
      <c r="Q325" s="1239"/>
      <c r="X325" s="1343" t="e">
        <f ca="1"/>
        <v>#NAME?</v>
      </c>
      <c r="Y325" s="1344" t="e">
        <f ca="1"/>
        <v>#NAME?</v>
      </c>
      <c r="Z325" s="1247"/>
      <c r="AB325" s="1239"/>
      <c r="AC325" s="1239"/>
      <c r="AD325" s="1239"/>
      <c r="AE325" s="1239"/>
    </row>
    <row r="326" spans="1:31" x14ac:dyDescent="0.2">
      <c r="A326" s="1338"/>
      <c r="B326" s="1339"/>
      <c r="C326" s="1340"/>
      <c r="D326" s="1341"/>
      <c r="E326" s="1338"/>
      <c r="F326" s="1339"/>
      <c r="G326" s="1340"/>
      <c r="H326" s="1341"/>
      <c r="I326" s="1338"/>
      <c r="J326" s="1339"/>
      <c r="K326" s="1340"/>
      <c r="L326" s="1341"/>
      <c r="M326" s="1338"/>
      <c r="N326" s="1339"/>
      <c r="O326" s="1340"/>
      <c r="P326" s="1341"/>
      <c r="Q326" s="1239"/>
      <c r="X326" s="1343" t="e">
        <f ca="1"/>
        <v>#NAME?</v>
      </c>
      <c r="Y326" s="1344" t="e">
        <f ca="1"/>
        <v>#NAME?</v>
      </c>
      <c r="Z326" s="1247"/>
      <c r="AB326" s="1239"/>
      <c r="AC326" s="1239"/>
      <c r="AD326" s="1239"/>
      <c r="AE326" s="1239"/>
    </row>
    <row r="327" spans="1:31" x14ac:dyDescent="0.2">
      <c r="A327" s="1338"/>
      <c r="B327" s="1339"/>
      <c r="C327" s="1340"/>
      <c r="D327" s="1341"/>
      <c r="E327" s="1338"/>
      <c r="F327" s="1339"/>
      <c r="G327" s="1340"/>
      <c r="H327" s="1341"/>
      <c r="I327" s="1338"/>
      <c r="J327" s="1339"/>
      <c r="K327" s="1340"/>
      <c r="L327" s="1341"/>
      <c r="M327" s="1338"/>
      <c r="N327" s="1339"/>
      <c r="O327" s="1340"/>
      <c r="P327" s="1341"/>
      <c r="Q327" s="1239"/>
      <c r="X327" s="1343" t="e">
        <f ca="1"/>
        <v>#NAME?</v>
      </c>
      <c r="Y327" s="1344" t="e">
        <f ca="1"/>
        <v>#NAME?</v>
      </c>
      <c r="Z327" s="1247"/>
      <c r="AB327" s="1239"/>
      <c r="AC327" s="1239"/>
      <c r="AD327" s="1239"/>
      <c r="AE327" s="1239"/>
    </row>
    <row r="328" spans="1:31" x14ac:dyDescent="0.2">
      <c r="A328" s="1338"/>
      <c r="B328" s="1339"/>
      <c r="C328" s="1340"/>
      <c r="D328" s="1341"/>
      <c r="E328" s="1338"/>
      <c r="F328" s="1339"/>
      <c r="G328" s="1340"/>
      <c r="H328" s="1341"/>
      <c r="I328" s="1338"/>
      <c r="J328" s="1339"/>
      <c r="K328" s="1340"/>
      <c r="L328" s="1341"/>
      <c r="M328" s="1338"/>
      <c r="N328" s="1339"/>
      <c r="O328" s="1340"/>
      <c r="P328" s="1341"/>
      <c r="Q328" s="1239"/>
      <c r="X328" s="1343" t="e">
        <f ca="1"/>
        <v>#NAME?</v>
      </c>
      <c r="Y328" s="1344" t="e">
        <f ca="1"/>
        <v>#NAME?</v>
      </c>
      <c r="Z328" s="1247"/>
      <c r="AB328" s="1239"/>
      <c r="AC328" s="1239"/>
      <c r="AD328" s="1239"/>
      <c r="AE328" s="1239"/>
    </row>
    <row r="329" spans="1:31" x14ac:dyDescent="0.2">
      <c r="A329" s="1338"/>
      <c r="B329" s="1339"/>
      <c r="C329" s="1340"/>
      <c r="D329" s="1341"/>
      <c r="E329" s="1338"/>
      <c r="F329" s="1339"/>
      <c r="G329" s="1340"/>
      <c r="H329" s="1341"/>
      <c r="I329" s="1338"/>
      <c r="J329" s="1339"/>
      <c r="K329" s="1340"/>
      <c r="L329" s="1341"/>
      <c r="M329" s="1338"/>
      <c r="N329" s="1339"/>
      <c r="O329" s="1340"/>
      <c r="P329" s="1341"/>
      <c r="Q329" s="1239"/>
      <c r="X329" s="1343" t="e">
        <f ca="1"/>
        <v>#NAME?</v>
      </c>
      <c r="Y329" s="1344" t="e">
        <f ca="1"/>
        <v>#NAME?</v>
      </c>
      <c r="Z329" s="1247"/>
      <c r="AB329" s="1239"/>
      <c r="AC329" s="1239"/>
      <c r="AD329" s="1239"/>
      <c r="AE329" s="1239"/>
    </row>
    <row r="330" spans="1:31" x14ac:dyDescent="0.2">
      <c r="A330" s="1338"/>
      <c r="B330" s="1339"/>
      <c r="C330" s="1340"/>
      <c r="D330" s="1341"/>
      <c r="E330" s="1338"/>
      <c r="F330" s="1339"/>
      <c r="G330" s="1340"/>
      <c r="H330" s="1341"/>
      <c r="I330" s="1338"/>
      <c r="J330" s="1339"/>
      <c r="K330" s="1340"/>
      <c r="L330" s="1341"/>
      <c r="M330" s="1338"/>
      <c r="N330" s="1339"/>
      <c r="O330" s="1340"/>
      <c r="P330" s="1341"/>
      <c r="Q330" s="1239"/>
      <c r="X330" s="1343" t="e">
        <f ca="1"/>
        <v>#NAME?</v>
      </c>
      <c r="Y330" s="1344" t="e">
        <f ca="1"/>
        <v>#NAME?</v>
      </c>
      <c r="Z330" s="1247"/>
      <c r="AB330" s="1239"/>
      <c r="AC330" s="1239"/>
      <c r="AD330" s="1239"/>
      <c r="AE330" s="1239"/>
    </row>
    <row r="331" spans="1:31" x14ac:dyDescent="0.2">
      <c r="A331" s="1338"/>
      <c r="B331" s="1339"/>
      <c r="C331" s="1340"/>
      <c r="D331" s="1341"/>
      <c r="E331" s="1338"/>
      <c r="F331" s="1339"/>
      <c r="G331" s="1340"/>
      <c r="H331" s="1341"/>
      <c r="I331" s="1338"/>
      <c r="J331" s="1339"/>
      <c r="K331" s="1340"/>
      <c r="L331" s="1341"/>
      <c r="M331" s="1338"/>
      <c r="N331" s="1339"/>
      <c r="O331" s="1340"/>
      <c r="P331" s="1341"/>
      <c r="Q331" s="1239"/>
      <c r="X331" s="1343" t="e">
        <f ca="1"/>
        <v>#NAME?</v>
      </c>
      <c r="Y331" s="1344" t="e">
        <f ca="1"/>
        <v>#NAME?</v>
      </c>
      <c r="Z331" s="1247"/>
      <c r="AB331" s="1239"/>
      <c r="AC331" s="1239"/>
      <c r="AD331" s="1239"/>
      <c r="AE331" s="1239"/>
    </row>
    <row r="332" spans="1:31" x14ac:dyDescent="0.2">
      <c r="A332" s="1338"/>
      <c r="B332" s="1339"/>
      <c r="C332" s="1340"/>
      <c r="D332" s="1341"/>
      <c r="E332" s="1338"/>
      <c r="F332" s="1339"/>
      <c r="G332" s="1340"/>
      <c r="H332" s="1341"/>
      <c r="I332" s="1338"/>
      <c r="J332" s="1339"/>
      <c r="K332" s="1340"/>
      <c r="L332" s="1341"/>
      <c r="M332" s="1338"/>
      <c r="N332" s="1339"/>
      <c r="O332" s="1340"/>
      <c r="P332" s="1341"/>
      <c r="X332" s="1343" t="e">
        <f ca="1"/>
        <v>#NAME?</v>
      </c>
      <c r="Y332" s="1344" t="e">
        <f ca="1"/>
        <v>#NAME?</v>
      </c>
      <c r="Z332" s="1247"/>
    </row>
    <row r="333" spans="1:31" x14ac:dyDescent="0.2">
      <c r="A333" s="1338"/>
      <c r="B333" s="1339"/>
      <c r="C333" s="1340"/>
      <c r="D333" s="1341"/>
      <c r="E333" s="1338"/>
      <c r="F333" s="1339"/>
      <c r="G333" s="1340"/>
      <c r="H333" s="1341"/>
      <c r="I333" s="1338"/>
      <c r="J333" s="1339"/>
      <c r="K333" s="1340"/>
      <c r="L333" s="1341"/>
      <c r="M333" s="1338"/>
      <c r="N333" s="1339"/>
      <c r="O333" s="1340"/>
      <c r="P333" s="1341"/>
      <c r="X333" s="1343" t="e">
        <f ca="1"/>
        <v>#NAME?</v>
      </c>
      <c r="Y333" s="1344" t="e">
        <f ca="1"/>
        <v>#NAME?</v>
      </c>
      <c r="Z333" s="1247"/>
    </row>
    <row r="334" spans="1:31" x14ac:dyDescent="0.2">
      <c r="A334" s="1338"/>
      <c r="B334" s="1339"/>
      <c r="C334" s="1340"/>
      <c r="D334" s="1341"/>
      <c r="E334" s="1338"/>
      <c r="F334" s="1339"/>
      <c r="G334" s="1340"/>
      <c r="H334" s="1341"/>
      <c r="I334" s="1338"/>
      <c r="J334" s="1339"/>
      <c r="K334" s="1340"/>
      <c r="L334" s="1341"/>
      <c r="M334" s="1338"/>
      <c r="N334" s="1339"/>
      <c r="O334" s="1340"/>
      <c r="P334" s="1341"/>
      <c r="X334" s="1343" t="e">
        <f ca="1"/>
        <v>#NAME?</v>
      </c>
      <c r="Y334" s="1344" t="e">
        <f ca="1"/>
        <v>#NAME?</v>
      </c>
      <c r="Z334" s="1247"/>
    </row>
    <row r="335" spans="1:31" x14ac:dyDescent="0.2">
      <c r="A335" s="1338"/>
      <c r="B335" s="1339"/>
      <c r="C335" s="1340"/>
      <c r="D335" s="1341"/>
      <c r="E335" s="1338"/>
      <c r="F335" s="1339"/>
      <c r="G335" s="1340"/>
      <c r="H335" s="1341"/>
      <c r="I335" s="1338"/>
      <c r="J335" s="1339"/>
      <c r="K335" s="1340"/>
      <c r="L335" s="1341"/>
      <c r="M335" s="1338"/>
      <c r="N335" s="1339"/>
      <c r="O335" s="1340"/>
      <c r="P335" s="1341"/>
      <c r="X335" s="1343" t="e">
        <f ca="1"/>
        <v>#NAME?</v>
      </c>
      <c r="Y335" s="1344" t="e">
        <f ca="1"/>
        <v>#NAME?</v>
      </c>
      <c r="Z335" s="1247"/>
    </row>
    <row r="336" spans="1:31" x14ac:dyDescent="0.2">
      <c r="A336" s="1338"/>
      <c r="B336" s="1339"/>
      <c r="C336" s="1340"/>
      <c r="D336" s="1341"/>
      <c r="E336" s="1338"/>
      <c r="F336" s="1339"/>
      <c r="G336" s="1340"/>
      <c r="H336" s="1341"/>
      <c r="I336" s="1338"/>
      <c r="J336" s="1339"/>
      <c r="K336" s="1340"/>
      <c r="L336" s="1341"/>
      <c r="M336" s="1338"/>
      <c r="N336" s="1339"/>
      <c r="O336" s="1340"/>
      <c r="P336" s="1341"/>
      <c r="X336" s="1343" t="e">
        <f ca="1"/>
        <v>#NAME?</v>
      </c>
      <c r="Y336" s="1344" t="e">
        <f ca="1"/>
        <v>#NAME?</v>
      </c>
      <c r="Z336" s="1247"/>
    </row>
    <row r="337" spans="1:26" x14ac:dyDescent="0.2">
      <c r="A337" s="1338"/>
      <c r="B337" s="1339"/>
      <c r="C337" s="1340"/>
      <c r="D337" s="1341"/>
      <c r="E337" s="1338"/>
      <c r="F337" s="1339"/>
      <c r="G337" s="1340"/>
      <c r="H337" s="1341"/>
      <c r="I337" s="1338"/>
      <c r="J337" s="1339"/>
      <c r="K337" s="1340"/>
      <c r="L337" s="1341"/>
      <c r="M337" s="1338"/>
      <c r="N337" s="1339"/>
      <c r="O337" s="1340"/>
      <c r="P337" s="1341"/>
      <c r="X337" s="1343" t="e">
        <f ca="1"/>
        <v>#NAME?</v>
      </c>
      <c r="Y337" s="1344" t="e">
        <f ca="1"/>
        <v>#NAME?</v>
      </c>
      <c r="Z337" s="1247"/>
    </row>
    <row r="338" spans="1:26" x14ac:dyDescent="0.2">
      <c r="A338" s="1338"/>
      <c r="B338" s="1339"/>
      <c r="C338" s="1340"/>
      <c r="D338" s="1341"/>
      <c r="E338" s="1338"/>
      <c r="F338" s="1339"/>
      <c r="G338" s="1340"/>
      <c r="H338" s="1341"/>
      <c r="I338" s="1338"/>
      <c r="J338" s="1339"/>
      <c r="K338" s="1340"/>
      <c r="L338" s="1341"/>
      <c r="M338" s="1338"/>
      <c r="N338" s="1339"/>
      <c r="O338" s="1340"/>
      <c r="P338" s="1341"/>
      <c r="X338" s="1343" t="e">
        <f ca="1"/>
        <v>#NAME?</v>
      </c>
      <c r="Y338" s="1344" t="e">
        <f ca="1"/>
        <v>#NAME?</v>
      </c>
      <c r="Z338" s="1247"/>
    </row>
    <row r="339" spans="1:26" x14ac:dyDescent="0.2">
      <c r="A339" s="1338"/>
      <c r="B339" s="1339"/>
      <c r="C339" s="1340"/>
      <c r="D339" s="1341"/>
      <c r="E339" s="1338"/>
      <c r="F339" s="1339"/>
      <c r="G339" s="1340"/>
      <c r="H339" s="1341"/>
      <c r="I339" s="1338"/>
      <c r="J339" s="1339"/>
      <c r="K339" s="1340"/>
      <c r="L339" s="1341"/>
      <c r="M339" s="1338"/>
      <c r="N339" s="1339"/>
      <c r="O339" s="1340"/>
      <c r="P339" s="1341"/>
      <c r="X339" s="1343" t="e">
        <f ca="1"/>
        <v>#NAME?</v>
      </c>
      <c r="Y339" s="1344" t="e">
        <f ca="1"/>
        <v>#NAME?</v>
      </c>
      <c r="Z339" s="1247"/>
    </row>
    <row r="340" spans="1:26" x14ac:dyDescent="0.2">
      <c r="A340" s="1338"/>
      <c r="B340" s="1339"/>
      <c r="C340" s="1340"/>
      <c r="D340" s="1341"/>
      <c r="E340" s="1338"/>
      <c r="F340" s="1339"/>
      <c r="G340" s="1340"/>
      <c r="H340" s="1341"/>
      <c r="I340" s="1338"/>
      <c r="J340" s="1339"/>
      <c r="K340" s="1340"/>
      <c r="L340" s="1341"/>
      <c r="M340" s="1338"/>
      <c r="N340" s="1339"/>
      <c r="O340" s="1340"/>
      <c r="P340" s="1341"/>
      <c r="X340" s="1343" t="e">
        <f ca="1"/>
        <v>#NAME?</v>
      </c>
      <c r="Y340" s="1344" t="e">
        <f ca="1"/>
        <v>#NAME?</v>
      </c>
      <c r="Z340" s="1247"/>
    </row>
    <row r="341" spans="1:26" x14ac:dyDescent="0.2">
      <c r="A341" s="1338"/>
      <c r="B341" s="1339"/>
      <c r="C341" s="1340"/>
      <c r="D341" s="1341"/>
      <c r="E341" s="1338"/>
      <c r="F341" s="1339"/>
      <c r="G341" s="1340"/>
      <c r="H341" s="1341"/>
      <c r="I341" s="1338"/>
      <c r="J341" s="1339"/>
      <c r="K341" s="1340"/>
      <c r="L341" s="1341"/>
      <c r="M341" s="1338"/>
      <c r="N341" s="1339"/>
      <c r="O341" s="1340"/>
      <c r="P341" s="1341"/>
      <c r="X341" s="1343" t="e">
        <f ca="1"/>
        <v>#NAME?</v>
      </c>
      <c r="Y341" s="1344" t="e">
        <f ca="1"/>
        <v>#NAME?</v>
      </c>
      <c r="Z341" s="1247"/>
    </row>
    <row r="342" spans="1:26" x14ac:dyDescent="0.2">
      <c r="A342" s="1338"/>
      <c r="B342" s="1339"/>
      <c r="C342" s="1340"/>
      <c r="D342" s="1341"/>
      <c r="E342" s="1338"/>
      <c r="F342" s="1339"/>
      <c r="G342" s="1340"/>
      <c r="H342" s="1341"/>
      <c r="I342" s="1338"/>
      <c r="J342" s="1339"/>
      <c r="K342" s="1340"/>
      <c r="L342" s="1341"/>
      <c r="M342" s="1338"/>
      <c r="N342" s="1339"/>
      <c r="O342" s="1340"/>
      <c r="P342" s="1341"/>
      <c r="X342" s="1343" t="e">
        <f ca="1"/>
        <v>#NAME?</v>
      </c>
      <c r="Y342" s="1344" t="e">
        <f ca="1"/>
        <v>#NAME?</v>
      </c>
      <c r="Z342" s="1247"/>
    </row>
    <row r="343" spans="1:26" x14ac:dyDescent="0.2">
      <c r="A343" s="1338"/>
      <c r="B343" s="1339"/>
      <c r="C343" s="1340"/>
      <c r="D343" s="1341"/>
      <c r="E343" s="1338"/>
      <c r="F343" s="1339"/>
      <c r="G343" s="1340"/>
      <c r="H343" s="1341"/>
      <c r="I343" s="1338"/>
      <c r="J343" s="1339"/>
      <c r="K343" s="1340"/>
      <c r="L343" s="1341"/>
      <c r="M343" s="1338"/>
      <c r="N343" s="1339"/>
      <c r="O343" s="1340"/>
      <c r="P343" s="1341"/>
      <c r="X343" s="1343" t="e">
        <f ca="1"/>
        <v>#NAME?</v>
      </c>
      <c r="Y343" s="1344" t="e">
        <f ca="1"/>
        <v>#NAME?</v>
      </c>
      <c r="Z343" s="1247"/>
    </row>
    <row r="344" spans="1:26" x14ac:dyDescent="0.2">
      <c r="A344" s="1338"/>
      <c r="B344" s="1339"/>
      <c r="C344" s="1340"/>
      <c r="D344" s="1341"/>
      <c r="E344" s="1338"/>
      <c r="F344" s="1339"/>
      <c r="G344" s="1340"/>
      <c r="H344" s="1341"/>
      <c r="I344" s="1338"/>
      <c r="J344" s="1339"/>
      <c r="K344" s="1340"/>
      <c r="L344" s="1341"/>
      <c r="M344" s="1338"/>
      <c r="N344" s="1339"/>
      <c r="O344" s="1340"/>
      <c r="P344" s="1341"/>
      <c r="X344" s="1343" t="e">
        <f ca="1"/>
        <v>#NAME?</v>
      </c>
      <c r="Y344" s="1344" t="e">
        <f ca="1"/>
        <v>#NAME?</v>
      </c>
      <c r="Z344" s="1247"/>
    </row>
    <row r="345" spans="1:26" x14ac:dyDescent="0.2">
      <c r="A345" s="1338"/>
      <c r="B345" s="1339"/>
      <c r="C345" s="1340"/>
      <c r="D345" s="1341"/>
      <c r="E345" s="1338"/>
      <c r="F345" s="1339"/>
      <c r="G345" s="1340"/>
      <c r="H345" s="1341"/>
      <c r="I345" s="1338"/>
      <c r="J345" s="1339"/>
      <c r="K345" s="1340"/>
      <c r="L345" s="1341"/>
      <c r="M345" s="1338"/>
      <c r="N345" s="1339"/>
      <c r="O345" s="1340"/>
      <c r="P345" s="1341"/>
      <c r="X345" s="1343" t="e">
        <f ca="1"/>
        <v>#NAME?</v>
      </c>
      <c r="Y345" s="1344" t="e">
        <f ca="1"/>
        <v>#NAME?</v>
      </c>
      <c r="Z345" s="1247"/>
    </row>
    <row r="346" spans="1:26" x14ac:dyDescent="0.2">
      <c r="A346" s="1338"/>
      <c r="B346" s="1339"/>
      <c r="C346" s="1340"/>
      <c r="D346" s="1341"/>
      <c r="E346" s="1338"/>
      <c r="F346" s="1339"/>
      <c r="G346" s="1340"/>
      <c r="H346" s="1341"/>
      <c r="I346" s="1338"/>
      <c r="J346" s="1339"/>
      <c r="K346" s="1340"/>
      <c r="L346" s="1341"/>
      <c r="M346" s="1338"/>
      <c r="N346" s="1339"/>
      <c r="O346" s="1340"/>
      <c r="P346" s="1341"/>
      <c r="X346" s="1343" t="e">
        <f ca="1"/>
        <v>#NAME?</v>
      </c>
      <c r="Y346" s="1344" t="e">
        <f ca="1"/>
        <v>#NAME?</v>
      </c>
      <c r="Z346" s="1247"/>
    </row>
    <row r="347" spans="1:26" x14ac:dyDescent="0.2">
      <c r="A347" s="1338"/>
      <c r="B347" s="1339"/>
      <c r="C347" s="1340"/>
      <c r="D347" s="1341"/>
      <c r="E347" s="1338"/>
      <c r="F347" s="1339"/>
      <c r="G347" s="1340"/>
      <c r="H347" s="1341"/>
      <c r="I347" s="1338"/>
      <c r="J347" s="1339"/>
      <c r="K347" s="1340"/>
      <c r="L347" s="1341"/>
      <c r="M347" s="1338"/>
      <c r="N347" s="1339"/>
      <c r="O347" s="1340"/>
      <c r="P347" s="1341"/>
      <c r="X347" s="1343" t="e">
        <f ca="1"/>
        <v>#NAME?</v>
      </c>
      <c r="Y347" s="1344" t="e">
        <f ca="1"/>
        <v>#NAME?</v>
      </c>
      <c r="Z347" s="1247"/>
    </row>
    <row r="348" spans="1:26" x14ac:dyDescent="0.2">
      <c r="A348" s="1338"/>
      <c r="B348" s="1339"/>
      <c r="C348" s="1340"/>
      <c r="D348" s="1341"/>
      <c r="E348" s="1338"/>
      <c r="F348" s="1339"/>
      <c r="G348" s="1340"/>
      <c r="H348" s="1341"/>
      <c r="I348" s="1338"/>
      <c r="J348" s="1339"/>
      <c r="K348" s="1340"/>
      <c r="L348" s="1341"/>
      <c r="M348" s="1338"/>
      <c r="N348" s="1339"/>
      <c r="O348" s="1340"/>
      <c r="P348" s="1341"/>
      <c r="X348" s="1343" t="e">
        <f ca="1"/>
        <v>#NAME?</v>
      </c>
      <c r="Y348" s="1344" t="e">
        <f ca="1"/>
        <v>#NAME?</v>
      </c>
      <c r="Z348" s="1247"/>
    </row>
    <row r="349" spans="1:26" x14ac:dyDescent="0.2">
      <c r="A349" s="1338"/>
      <c r="B349" s="1339"/>
      <c r="C349" s="1340"/>
      <c r="D349" s="1341"/>
      <c r="E349" s="1338"/>
      <c r="F349" s="1339"/>
      <c r="G349" s="1340"/>
      <c r="H349" s="1341"/>
      <c r="I349" s="1338"/>
      <c r="J349" s="1339"/>
      <c r="K349" s="1340"/>
      <c r="L349" s="1341"/>
      <c r="M349" s="1338"/>
      <c r="N349" s="1339"/>
      <c r="O349" s="1340"/>
      <c r="P349" s="1341"/>
      <c r="X349" s="1343" t="e">
        <f ca="1"/>
        <v>#NAME?</v>
      </c>
      <c r="Y349" s="1344" t="e">
        <f ca="1"/>
        <v>#NAME?</v>
      </c>
      <c r="Z349" s="1247"/>
    </row>
    <row r="350" spans="1:26" x14ac:dyDescent="0.2">
      <c r="A350" s="1338"/>
      <c r="B350" s="1339"/>
      <c r="C350" s="1340"/>
      <c r="D350" s="1341"/>
      <c r="E350" s="1338"/>
      <c r="F350" s="1339"/>
      <c r="G350" s="1340"/>
      <c r="H350" s="1341"/>
      <c r="I350" s="1338"/>
      <c r="J350" s="1339"/>
      <c r="K350" s="1340"/>
      <c r="L350" s="1341"/>
      <c r="M350" s="1338"/>
      <c r="N350" s="1339"/>
      <c r="O350" s="1340"/>
      <c r="P350" s="1341"/>
      <c r="X350" s="1343" t="e">
        <f ca="1"/>
        <v>#NAME?</v>
      </c>
      <c r="Y350" s="1344" t="e">
        <f ca="1"/>
        <v>#NAME?</v>
      </c>
      <c r="Z350" s="1247"/>
    </row>
    <row r="351" spans="1:26" x14ac:dyDescent="0.2">
      <c r="A351" s="1338"/>
      <c r="B351" s="1339"/>
      <c r="C351" s="1340"/>
      <c r="D351" s="1341"/>
      <c r="E351" s="1338"/>
      <c r="F351" s="1339"/>
      <c r="G351" s="1340"/>
      <c r="H351" s="1341"/>
      <c r="I351" s="1338"/>
      <c r="J351" s="1339"/>
      <c r="K351" s="1340"/>
      <c r="L351" s="1341"/>
      <c r="M351" s="1338"/>
      <c r="N351" s="1339"/>
      <c r="O351" s="1340"/>
      <c r="P351" s="1341"/>
      <c r="X351" s="1343" t="e">
        <f ca="1"/>
        <v>#NAME?</v>
      </c>
      <c r="Y351" s="1344" t="e">
        <f ca="1"/>
        <v>#NAME?</v>
      </c>
      <c r="Z351" s="1247"/>
    </row>
    <row r="352" spans="1:26" x14ac:dyDescent="0.2">
      <c r="A352" s="1338"/>
      <c r="B352" s="1339"/>
      <c r="C352" s="1340"/>
      <c r="D352" s="1341"/>
      <c r="E352" s="1338"/>
      <c r="F352" s="1339"/>
      <c r="G352" s="1340"/>
      <c r="H352" s="1341"/>
      <c r="I352" s="1338"/>
      <c r="J352" s="1339"/>
      <c r="K352" s="1340"/>
      <c r="L352" s="1341"/>
      <c r="M352" s="1338"/>
      <c r="N352" s="1339"/>
      <c r="O352" s="1340"/>
      <c r="P352" s="1341"/>
      <c r="X352" s="1343" t="e">
        <f ca="1"/>
        <v>#NAME?</v>
      </c>
      <c r="Y352" s="1344" t="e">
        <f ca="1"/>
        <v>#NAME?</v>
      </c>
      <c r="Z352" s="1247"/>
    </row>
    <row r="353" spans="1:26" x14ac:dyDescent="0.2">
      <c r="A353" s="1338"/>
      <c r="B353" s="1339"/>
      <c r="C353" s="1340"/>
      <c r="D353" s="1341"/>
      <c r="E353" s="1338"/>
      <c r="F353" s="1339"/>
      <c r="G353" s="1340"/>
      <c r="H353" s="1341"/>
      <c r="I353" s="1338"/>
      <c r="J353" s="1339"/>
      <c r="K353" s="1340"/>
      <c r="L353" s="1341"/>
      <c r="M353" s="1338"/>
      <c r="N353" s="1339"/>
      <c r="O353" s="1340"/>
      <c r="P353" s="1341"/>
      <c r="X353" s="1343" t="e">
        <f ca="1"/>
        <v>#NAME?</v>
      </c>
      <c r="Y353" s="1344" t="e">
        <f ca="1"/>
        <v>#NAME?</v>
      </c>
      <c r="Z353" s="1247"/>
    </row>
    <row r="354" spans="1:26" x14ac:dyDescent="0.2">
      <c r="A354" s="1338"/>
      <c r="B354" s="1339"/>
      <c r="C354" s="1340"/>
      <c r="D354" s="1341"/>
      <c r="E354" s="1338"/>
      <c r="F354" s="1339"/>
      <c r="G354" s="1340"/>
      <c r="H354" s="1341"/>
      <c r="I354" s="1338"/>
      <c r="J354" s="1339"/>
      <c r="K354" s="1340"/>
      <c r="L354" s="1341"/>
      <c r="M354" s="1338"/>
      <c r="N354" s="1339"/>
      <c r="O354" s="1340"/>
      <c r="P354" s="1341"/>
      <c r="X354" s="1343" t="e">
        <f ca="1"/>
        <v>#NAME?</v>
      </c>
      <c r="Y354" s="1344" t="e">
        <f ca="1"/>
        <v>#NAME?</v>
      </c>
      <c r="Z354" s="1247"/>
    </row>
    <row r="355" spans="1:26" x14ac:dyDescent="0.2">
      <c r="A355" s="1338"/>
      <c r="B355" s="1339"/>
      <c r="C355" s="1340"/>
      <c r="D355" s="1341"/>
      <c r="E355" s="1338"/>
      <c r="F355" s="1339"/>
      <c r="G355" s="1340"/>
      <c r="H355" s="1341"/>
      <c r="I355" s="1338"/>
      <c r="J355" s="1339"/>
      <c r="K355" s="1340"/>
      <c r="L355" s="1341"/>
      <c r="M355" s="1338"/>
      <c r="N355" s="1339"/>
      <c r="O355" s="1340"/>
      <c r="P355" s="1341"/>
      <c r="X355" s="1343" t="e">
        <f ca="1"/>
        <v>#NAME?</v>
      </c>
      <c r="Y355" s="1344" t="e">
        <f ca="1"/>
        <v>#NAME?</v>
      </c>
      <c r="Z355" s="1247"/>
    </row>
    <row r="356" spans="1:26" x14ac:dyDescent="0.2">
      <c r="A356" s="1338"/>
      <c r="B356" s="1339"/>
      <c r="C356" s="1340"/>
      <c r="D356" s="1341"/>
      <c r="E356" s="1338"/>
      <c r="F356" s="1339"/>
      <c r="G356" s="1340"/>
      <c r="H356" s="1341"/>
      <c r="I356" s="1338"/>
      <c r="J356" s="1339"/>
      <c r="K356" s="1340"/>
      <c r="L356" s="1341"/>
      <c r="M356" s="1338"/>
      <c r="N356" s="1339"/>
      <c r="O356" s="1340"/>
      <c r="P356" s="1341"/>
      <c r="X356" s="1343" t="e">
        <f ca="1"/>
        <v>#NAME?</v>
      </c>
      <c r="Y356" s="1344" t="e">
        <f ca="1"/>
        <v>#NAME?</v>
      </c>
      <c r="Z356" s="1247"/>
    </row>
    <row r="357" spans="1:26" x14ac:dyDescent="0.2">
      <c r="A357" s="1338"/>
      <c r="B357" s="1339"/>
      <c r="C357" s="1340"/>
      <c r="D357" s="1341"/>
      <c r="E357" s="1338"/>
      <c r="F357" s="1339"/>
      <c r="G357" s="1340"/>
      <c r="H357" s="1341"/>
      <c r="I357" s="1338"/>
      <c r="J357" s="1339"/>
      <c r="K357" s="1340"/>
      <c r="L357" s="1341"/>
      <c r="M357" s="1338"/>
      <c r="N357" s="1339"/>
      <c r="O357" s="1340"/>
      <c r="P357" s="1341"/>
      <c r="X357" s="1343" t="e">
        <f ca="1"/>
        <v>#NAME?</v>
      </c>
      <c r="Y357" s="1344" t="e">
        <f ca="1"/>
        <v>#NAME?</v>
      </c>
      <c r="Z357" s="1247"/>
    </row>
    <row r="358" spans="1:26" x14ac:dyDescent="0.2">
      <c r="A358" s="1338"/>
      <c r="B358" s="1339"/>
      <c r="C358" s="1340"/>
      <c r="D358" s="1341"/>
      <c r="E358" s="1338"/>
      <c r="F358" s="1339"/>
      <c r="G358" s="1340"/>
      <c r="H358" s="1341"/>
      <c r="I358" s="1338"/>
      <c r="J358" s="1339"/>
      <c r="K358" s="1340"/>
      <c r="L358" s="1341"/>
      <c r="M358" s="1338"/>
      <c r="N358" s="1339"/>
      <c r="O358" s="1340"/>
      <c r="P358" s="1341"/>
      <c r="X358" s="1343" t="e">
        <f ca="1"/>
        <v>#NAME?</v>
      </c>
      <c r="Y358" s="1344" t="e">
        <f ca="1"/>
        <v>#NAME?</v>
      </c>
      <c r="Z358" s="1247"/>
    </row>
    <row r="359" spans="1:26" x14ac:dyDescent="0.2">
      <c r="A359" s="1338"/>
      <c r="B359" s="1339"/>
      <c r="C359" s="1340"/>
      <c r="D359" s="1341"/>
      <c r="E359" s="1338"/>
      <c r="F359" s="1339"/>
      <c r="G359" s="1340"/>
      <c r="H359" s="1341"/>
      <c r="I359" s="1338"/>
      <c r="J359" s="1339"/>
      <c r="K359" s="1340"/>
      <c r="L359" s="1341"/>
      <c r="M359" s="1338"/>
      <c r="N359" s="1339"/>
      <c r="O359" s="1340"/>
      <c r="P359" s="1341"/>
      <c r="X359" s="1343" t="e">
        <f ca="1"/>
        <v>#NAME?</v>
      </c>
      <c r="Y359" s="1344" t="e">
        <f ca="1"/>
        <v>#NAME?</v>
      </c>
      <c r="Z359" s="1247"/>
    </row>
    <row r="360" spans="1:26" x14ac:dyDescent="0.2">
      <c r="A360" s="1338"/>
      <c r="B360" s="1339"/>
      <c r="C360" s="1340"/>
      <c r="D360" s="1341"/>
      <c r="E360" s="1338"/>
      <c r="F360" s="1339"/>
      <c r="G360" s="1340"/>
      <c r="H360" s="1341"/>
      <c r="I360" s="1338"/>
      <c r="J360" s="1339"/>
      <c r="K360" s="1340"/>
      <c r="L360" s="1341"/>
      <c r="M360" s="1338"/>
      <c r="N360" s="1339"/>
      <c r="O360" s="1340"/>
      <c r="P360" s="1341"/>
      <c r="X360" s="1343" t="e">
        <f ca="1"/>
        <v>#NAME?</v>
      </c>
      <c r="Y360" s="1344" t="e">
        <f ca="1"/>
        <v>#NAME?</v>
      </c>
      <c r="Z360" s="1247"/>
    </row>
    <row r="361" spans="1:26" x14ac:dyDescent="0.2">
      <c r="A361" s="1338"/>
      <c r="B361" s="1339"/>
      <c r="C361" s="1340"/>
      <c r="D361" s="1341"/>
      <c r="E361" s="1338"/>
      <c r="F361" s="1339"/>
      <c r="G361" s="1340"/>
      <c r="H361" s="1341"/>
      <c r="I361" s="1338"/>
      <c r="J361" s="1339"/>
      <c r="K361" s="1340"/>
      <c r="L361" s="1341"/>
      <c r="M361" s="1338"/>
      <c r="N361" s="1339"/>
      <c r="O361" s="1340"/>
      <c r="P361" s="1341"/>
      <c r="X361" s="1343" t="e">
        <f ca="1"/>
        <v>#NAME?</v>
      </c>
      <c r="Y361" s="1344" t="e">
        <f ca="1"/>
        <v>#NAME?</v>
      </c>
      <c r="Z361" s="1247"/>
    </row>
    <row r="362" spans="1:26" x14ac:dyDescent="0.2">
      <c r="A362" s="1338"/>
      <c r="B362" s="1339"/>
      <c r="C362" s="1340"/>
      <c r="D362" s="1341"/>
      <c r="E362" s="1338"/>
      <c r="F362" s="1339"/>
      <c r="G362" s="1340"/>
      <c r="H362" s="1341"/>
      <c r="I362" s="1338"/>
      <c r="J362" s="1339"/>
      <c r="K362" s="1340"/>
      <c r="L362" s="1341"/>
      <c r="M362" s="1338"/>
      <c r="N362" s="1339"/>
      <c r="O362" s="1340"/>
      <c r="P362" s="1341"/>
      <c r="X362" s="1343" t="e">
        <f ca="1"/>
        <v>#NAME?</v>
      </c>
      <c r="Y362" s="1344" t="e">
        <f ca="1"/>
        <v>#NAME?</v>
      </c>
      <c r="Z362" s="1247"/>
    </row>
    <row r="363" spans="1:26" x14ac:dyDescent="0.2">
      <c r="A363" s="1338"/>
      <c r="B363" s="1339"/>
      <c r="C363" s="1340"/>
      <c r="D363" s="1341"/>
      <c r="E363" s="1338"/>
      <c r="F363" s="1339"/>
      <c r="G363" s="1340"/>
      <c r="H363" s="1341"/>
      <c r="I363" s="1338"/>
      <c r="J363" s="1339"/>
      <c r="K363" s="1340"/>
      <c r="L363" s="1341"/>
      <c r="M363" s="1338"/>
      <c r="N363" s="1339"/>
      <c r="O363" s="1340"/>
      <c r="P363" s="1341"/>
      <c r="X363" s="1343" t="e">
        <f ca="1"/>
        <v>#NAME?</v>
      </c>
      <c r="Y363" s="1344" t="e">
        <f ca="1"/>
        <v>#NAME?</v>
      </c>
      <c r="Z363" s="1247"/>
    </row>
    <row r="364" spans="1:26" x14ac:dyDescent="0.2">
      <c r="A364" s="1338"/>
      <c r="B364" s="1339"/>
      <c r="C364" s="1340"/>
      <c r="D364" s="1341"/>
      <c r="E364" s="1338"/>
      <c r="F364" s="1339"/>
      <c r="G364" s="1340"/>
      <c r="H364" s="1341"/>
      <c r="I364" s="1338"/>
      <c r="J364" s="1339"/>
      <c r="K364" s="1340"/>
      <c r="L364" s="1341"/>
      <c r="M364" s="1338"/>
      <c r="N364" s="1339"/>
      <c r="O364" s="1340"/>
      <c r="P364" s="1341"/>
      <c r="X364" s="1343" t="e">
        <f ca="1"/>
        <v>#NAME?</v>
      </c>
      <c r="Y364" s="1344" t="e">
        <f ca="1"/>
        <v>#NAME?</v>
      </c>
      <c r="Z364" s="1247"/>
    </row>
    <row r="365" spans="1:26" x14ac:dyDescent="0.2">
      <c r="A365" s="1338"/>
      <c r="B365" s="1339"/>
      <c r="C365" s="1340"/>
      <c r="D365" s="1341"/>
      <c r="E365" s="1338"/>
      <c r="F365" s="1339"/>
      <c r="G365" s="1340"/>
      <c r="H365" s="1341"/>
      <c r="I365" s="1338"/>
      <c r="J365" s="1339"/>
      <c r="K365" s="1340"/>
      <c r="L365" s="1341"/>
      <c r="M365" s="1338"/>
      <c r="N365" s="1339"/>
      <c r="O365" s="1340"/>
      <c r="P365" s="1341"/>
      <c r="X365" s="1343" t="e">
        <f ca="1"/>
        <v>#NAME?</v>
      </c>
      <c r="Y365" s="1344" t="e">
        <f ca="1"/>
        <v>#NAME?</v>
      </c>
      <c r="Z365" s="1247"/>
    </row>
    <row r="366" spans="1:26" x14ac:dyDescent="0.2">
      <c r="A366" s="1338"/>
      <c r="B366" s="1339"/>
      <c r="C366" s="1340"/>
      <c r="D366" s="1341"/>
      <c r="E366" s="1338"/>
      <c r="F366" s="1339"/>
      <c r="G366" s="1340"/>
      <c r="H366" s="1341"/>
      <c r="I366" s="1338"/>
      <c r="J366" s="1339"/>
      <c r="K366" s="1340"/>
      <c r="L366" s="1341"/>
      <c r="M366" s="1338"/>
      <c r="N366" s="1339"/>
      <c r="O366" s="1340"/>
      <c r="P366" s="1341"/>
      <c r="X366" s="1343" t="e">
        <f ca="1"/>
        <v>#NAME?</v>
      </c>
      <c r="Y366" s="1344" t="e">
        <f ca="1"/>
        <v>#NAME?</v>
      </c>
      <c r="Z366" s="1247"/>
    </row>
    <row r="367" spans="1:26" x14ac:dyDescent="0.2">
      <c r="A367" s="1338"/>
      <c r="B367" s="1339"/>
      <c r="C367" s="1340"/>
      <c r="D367" s="1341"/>
      <c r="E367" s="1338"/>
      <c r="F367" s="1339"/>
      <c r="G367" s="1340"/>
      <c r="H367" s="1341"/>
      <c r="I367" s="1338"/>
      <c r="J367" s="1339"/>
      <c r="K367" s="1340"/>
      <c r="L367" s="1341"/>
      <c r="M367" s="1338"/>
      <c r="N367" s="1339"/>
      <c r="O367" s="1340"/>
      <c r="P367" s="1341"/>
      <c r="X367" s="1343" t="e">
        <f ca="1"/>
        <v>#NAME?</v>
      </c>
      <c r="Y367" s="1344" t="e">
        <f ca="1"/>
        <v>#NAME?</v>
      </c>
      <c r="Z367" s="1247"/>
    </row>
    <row r="368" spans="1:26" x14ac:dyDescent="0.2">
      <c r="A368" s="1338"/>
      <c r="B368" s="1339"/>
      <c r="C368" s="1340"/>
      <c r="D368" s="1341"/>
      <c r="E368" s="1338"/>
      <c r="F368" s="1339"/>
      <c r="G368" s="1340"/>
      <c r="H368" s="1341"/>
      <c r="I368" s="1338"/>
      <c r="J368" s="1339"/>
      <c r="K368" s="1340"/>
      <c r="L368" s="1341"/>
      <c r="M368" s="1338"/>
      <c r="N368" s="1339"/>
      <c r="O368" s="1340"/>
      <c r="P368" s="1341"/>
      <c r="X368" s="1343" t="e">
        <f ca="1"/>
        <v>#NAME?</v>
      </c>
      <c r="Y368" s="1344" t="e">
        <f ca="1"/>
        <v>#NAME?</v>
      </c>
      <c r="Z368" s="1247"/>
    </row>
    <row r="369" spans="1:26" x14ac:dyDescent="0.2">
      <c r="A369" s="1338"/>
      <c r="B369" s="1339"/>
      <c r="C369" s="1340"/>
      <c r="D369" s="1341"/>
      <c r="E369" s="1338"/>
      <c r="F369" s="1339"/>
      <c r="G369" s="1340"/>
      <c r="H369" s="1341"/>
      <c r="I369" s="1338"/>
      <c r="J369" s="1339"/>
      <c r="K369" s="1340"/>
      <c r="L369" s="1341"/>
      <c r="M369" s="1338"/>
      <c r="N369" s="1339"/>
      <c r="O369" s="1340"/>
      <c r="P369" s="1341"/>
      <c r="X369" s="1343" t="e">
        <f ca="1"/>
        <v>#NAME?</v>
      </c>
      <c r="Y369" s="1344" t="e">
        <f ca="1"/>
        <v>#NAME?</v>
      </c>
      <c r="Z369" s="1247"/>
    </row>
    <row r="370" spans="1:26" x14ac:dyDescent="0.2">
      <c r="A370" s="1338"/>
      <c r="B370" s="1339"/>
      <c r="C370" s="1340"/>
      <c r="D370" s="1341"/>
      <c r="E370" s="1338"/>
      <c r="F370" s="1339"/>
      <c r="G370" s="1340"/>
      <c r="H370" s="1341"/>
      <c r="I370" s="1338"/>
      <c r="J370" s="1339"/>
      <c r="K370" s="1340"/>
      <c r="L370" s="1341"/>
      <c r="M370" s="1338"/>
      <c r="N370" s="1339"/>
      <c r="O370" s="1340"/>
      <c r="P370" s="1341"/>
      <c r="X370" s="1343" t="e">
        <f ca="1"/>
        <v>#NAME?</v>
      </c>
      <c r="Y370" s="1344" t="e">
        <f ca="1"/>
        <v>#NAME?</v>
      </c>
      <c r="Z370" s="1247"/>
    </row>
    <row r="371" spans="1:26" x14ac:dyDescent="0.2">
      <c r="A371" s="1338"/>
      <c r="B371" s="1339"/>
      <c r="C371" s="1340"/>
      <c r="D371" s="1341"/>
      <c r="E371" s="1338"/>
      <c r="F371" s="1339"/>
      <c r="G371" s="1340"/>
      <c r="H371" s="1341"/>
      <c r="I371" s="1338"/>
      <c r="J371" s="1339"/>
      <c r="K371" s="1340"/>
      <c r="L371" s="1341"/>
      <c r="M371" s="1338"/>
      <c r="N371" s="1339"/>
      <c r="O371" s="1340"/>
      <c r="P371" s="1341"/>
      <c r="X371" s="1343" t="e">
        <f ca="1"/>
        <v>#NAME?</v>
      </c>
      <c r="Y371" s="1344" t="e">
        <f ca="1"/>
        <v>#NAME?</v>
      </c>
      <c r="Z371" s="1247"/>
    </row>
    <row r="372" spans="1:26" x14ac:dyDescent="0.2">
      <c r="A372" s="1338"/>
      <c r="B372" s="1339"/>
      <c r="C372" s="1340"/>
      <c r="D372" s="1341"/>
      <c r="E372" s="1338"/>
      <c r="F372" s="1339"/>
      <c r="G372" s="1340"/>
      <c r="H372" s="1341"/>
      <c r="I372" s="1338"/>
      <c r="J372" s="1339"/>
      <c r="K372" s="1340"/>
      <c r="L372" s="1341"/>
      <c r="M372" s="1338"/>
      <c r="N372" s="1339"/>
      <c r="O372" s="1340"/>
      <c r="P372" s="1341"/>
      <c r="X372" s="1343" t="e">
        <f ca="1"/>
        <v>#NAME?</v>
      </c>
      <c r="Y372" s="1344" t="e">
        <f ca="1"/>
        <v>#NAME?</v>
      </c>
      <c r="Z372" s="1247"/>
    </row>
    <row r="373" spans="1:26" x14ac:dyDescent="0.2">
      <c r="A373" s="1338"/>
      <c r="B373" s="1339"/>
      <c r="C373" s="1340"/>
      <c r="D373" s="1341"/>
      <c r="E373" s="1338"/>
      <c r="F373" s="1339"/>
      <c r="G373" s="1340"/>
      <c r="H373" s="1341"/>
      <c r="I373" s="1338"/>
      <c r="J373" s="1339"/>
      <c r="K373" s="1340"/>
      <c r="L373" s="1341"/>
      <c r="M373" s="1338"/>
      <c r="N373" s="1339"/>
      <c r="O373" s="1340"/>
      <c r="P373" s="1341"/>
      <c r="X373" s="1343" t="e">
        <f ca="1"/>
        <v>#NAME?</v>
      </c>
      <c r="Y373" s="1344" t="e">
        <f ca="1"/>
        <v>#NAME?</v>
      </c>
      <c r="Z373" s="1247"/>
    </row>
    <row r="374" spans="1:26" x14ac:dyDescent="0.2">
      <c r="A374" s="1338"/>
      <c r="B374" s="1339"/>
      <c r="C374" s="1340"/>
      <c r="D374" s="1341"/>
      <c r="E374" s="1338"/>
      <c r="F374" s="1339"/>
      <c r="G374" s="1340"/>
      <c r="H374" s="1341"/>
      <c r="I374" s="1338"/>
      <c r="J374" s="1339"/>
      <c r="K374" s="1340"/>
      <c r="L374" s="1341"/>
      <c r="M374" s="1338"/>
      <c r="N374" s="1339"/>
      <c r="O374" s="1340"/>
      <c r="P374" s="1341"/>
      <c r="X374" s="1343" t="e">
        <f ca="1"/>
        <v>#NAME?</v>
      </c>
      <c r="Y374" s="1344" t="e">
        <f ca="1"/>
        <v>#NAME?</v>
      </c>
      <c r="Z374" s="1247"/>
    </row>
    <row r="375" spans="1:26" x14ac:dyDescent="0.2">
      <c r="A375" s="1338"/>
      <c r="B375" s="1339"/>
      <c r="C375" s="1340"/>
      <c r="D375" s="1341"/>
      <c r="E375" s="1338"/>
      <c r="F375" s="1339"/>
      <c r="G375" s="1340"/>
      <c r="H375" s="1341"/>
      <c r="I375" s="1338"/>
      <c r="J375" s="1339"/>
      <c r="K375" s="1340"/>
      <c r="L375" s="1341"/>
      <c r="M375" s="1338"/>
      <c r="N375" s="1339"/>
      <c r="O375" s="1340"/>
      <c r="P375" s="1341"/>
      <c r="X375" s="1343" t="e">
        <f ca="1"/>
        <v>#NAME?</v>
      </c>
      <c r="Y375" s="1344" t="e">
        <f ca="1"/>
        <v>#NAME?</v>
      </c>
      <c r="Z375" s="1247"/>
    </row>
    <row r="376" spans="1:26" x14ac:dyDescent="0.2">
      <c r="A376" s="1338"/>
      <c r="B376" s="1339"/>
      <c r="C376" s="1340"/>
      <c r="D376" s="1341"/>
      <c r="E376" s="1338"/>
      <c r="F376" s="1339"/>
      <c r="G376" s="1340"/>
      <c r="H376" s="1341"/>
      <c r="I376" s="1338"/>
      <c r="J376" s="1339"/>
      <c r="K376" s="1340"/>
      <c r="L376" s="1341"/>
      <c r="M376" s="1338"/>
      <c r="N376" s="1339"/>
      <c r="O376" s="1340"/>
      <c r="P376" s="1341"/>
      <c r="X376" s="1343" t="e">
        <f ca="1"/>
        <v>#NAME?</v>
      </c>
      <c r="Y376" s="1344" t="e">
        <f ca="1"/>
        <v>#NAME?</v>
      </c>
      <c r="Z376" s="1247"/>
    </row>
    <row r="377" spans="1:26" x14ac:dyDescent="0.2">
      <c r="A377" s="1338"/>
      <c r="B377" s="1339"/>
      <c r="C377" s="1340"/>
      <c r="D377" s="1341"/>
      <c r="E377" s="1338"/>
      <c r="F377" s="1339"/>
      <c r="G377" s="1340"/>
      <c r="H377" s="1341"/>
      <c r="I377" s="1338"/>
      <c r="J377" s="1339"/>
      <c r="K377" s="1340"/>
      <c r="L377" s="1341"/>
      <c r="M377" s="1338"/>
      <c r="N377" s="1339"/>
      <c r="O377" s="1340"/>
      <c r="P377" s="1341"/>
      <c r="X377" s="1343" t="e">
        <f ca="1"/>
        <v>#NAME?</v>
      </c>
      <c r="Y377" s="1344" t="e">
        <f ca="1"/>
        <v>#NAME?</v>
      </c>
      <c r="Z377" s="1247"/>
    </row>
    <row r="378" spans="1:26" x14ac:dyDescent="0.2">
      <c r="A378" s="1338"/>
      <c r="B378" s="1339"/>
      <c r="C378" s="1340"/>
      <c r="D378" s="1341"/>
      <c r="E378" s="1338"/>
      <c r="F378" s="1339"/>
      <c r="G378" s="1340"/>
      <c r="H378" s="1341"/>
      <c r="I378" s="1338"/>
      <c r="J378" s="1339"/>
      <c r="K378" s="1340"/>
      <c r="L378" s="1341"/>
      <c r="M378" s="1338"/>
      <c r="N378" s="1339"/>
      <c r="O378" s="1340"/>
      <c r="P378" s="1341"/>
      <c r="X378" s="1343" t="e">
        <f ca="1"/>
        <v>#NAME?</v>
      </c>
      <c r="Y378" s="1344" t="e">
        <f ca="1"/>
        <v>#NAME?</v>
      </c>
      <c r="Z378" s="1247"/>
    </row>
    <row r="379" spans="1:26" x14ac:dyDescent="0.2">
      <c r="A379" s="1338"/>
      <c r="B379" s="1339"/>
      <c r="C379" s="1340"/>
      <c r="D379" s="1341"/>
      <c r="E379" s="1338"/>
      <c r="F379" s="1339"/>
      <c r="G379" s="1340"/>
      <c r="H379" s="1341"/>
      <c r="I379" s="1338"/>
      <c r="J379" s="1339"/>
      <c r="K379" s="1340"/>
      <c r="L379" s="1341"/>
      <c r="M379" s="1338"/>
      <c r="N379" s="1339"/>
      <c r="O379" s="1340"/>
      <c r="P379" s="1341"/>
      <c r="X379" s="1343" t="e">
        <f ca="1"/>
        <v>#NAME?</v>
      </c>
      <c r="Y379" s="1344" t="e">
        <f ca="1"/>
        <v>#NAME?</v>
      </c>
      <c r="Z379" s="1247"/>
    </row>
    <row r="380" spans="1:26" x14ac:dyDescent="0.2">
      <c r="A380" s="1338"/>
      <c r="B380" s="1339"/>
      <c r="C380" s="1340"/>
      <c r="D380" s="1341"/>
      <c r="E380" s="1338"/>
      <c r="F380" s="1339"/>
      <c r="G380" s="1340"/>
      <c r="H380" s="1341"/>
      <c r="I380" s="1338"/>
      <c r="J380" s="1339"/>
      <c r="K380" s="1340"/>
      <c r="L380" s="1341"/>
      <c r="M380" s="1338"/>
      <c r="N380" s="1339"/>
      <c r="O380" s="1340"/>
      <c r="P380" s="1341"/>
      <c r="X380" s="1343" t="e">
        <f ca="1"/>
        <v>#NAME?</v>
      </c>
      <c r="Y380" s="1344" t="e">
        <f ca="1"/>
        <v>#NAME?</v>
      </c>
      <c r="Z380" s="1247"/>
    </row>
    <row r="381" spans="1:26" x14ac:dyDescent="0.2">
      <c r="A381" s="1338"/>
      <c r="B381" s="1339"/>
      <c r="C381" s="1340"/>
      <c r="D381" s="1341"/>
      <c r="E381" s="1338"/>
      <c r="F381" s="1339"/>
      <c r="G381" s="1340"/>
      <c r="H381" s="1341"/>
      <c r="I381" s="1338"/>
      <c r="J381" s="1339"/>
      <c r="K381" s="1340"/>
      <c r="L381" s="1341"/>
      <c r="M381" s="1338"/>
      <c r="N381" s="1339"/>
      <c r="O381" s="1340"/>
      <c r="P381" s="1341"/>
      <c r="X381" s="1343" t="e">
        <f ca="1"/>
        <v>#NAME?</v>
      </c>
      <c r="Y381" s="1344" t="e">
        <f ca="1"/>
        <v>#NAME?</v>
      </c>
      <c r="Z381" s="1247"/>
    </row>
    <row r="382" spans="1:26" x14ac:dyDescent="0.2">
      <c r="A382" s="1338"/>
      <c r="B382" s="1339"/>
      <c r="C382" s="1340"/>
      <c r="D382" s="1341"/>
      <c r="E382" s="1338"/>
      <c r="F382" s="1339"/>
      <c r="G382" s="1340"/>
      <c r="H382" s="1341"/>
      <c r="I382" s="1338"/>
      <c r="J382" s="1339"/>
      <c r="K382" s="1340"/>
      <c r="L382" s="1341"/>
      <c r="M382" s="1338"/>
      <c r="N382" s="1339"/>
      <c r="O382" s="1340"/>
      <c r="P382" s="1341"/>
      <c r="X382" s="1343" t="e">
        <f ca="1"/>
        <v>#NAME?</v>
      </c>
      <c r="Y382" s="1344" t="e">
        <f ca="1"/>
        <v>#NAME?</v>
      </c>
      <c r="Z382" s="1247"/>
    </row>
    <row r="383" spans="1:26" x14ac:dyDescent="0.2">
      <c r="A383" s="1338"/>
      <c r="B383" s="1339"/>
      <c r="C383" s="1340"/>
      <c r="D383" s="1341"/>
      <c r="E383" s="1338"/>
      <c r="F383" s="1339"/>
      <c r="G383" s="1340"/>
      <c r="H383" s="1341"/>
      <c r="I383" s="1338"/>
      <c r="J383" s="1339"/>
      <c r="K383" s="1340"/>
      <c r="L383" s="1341"/>
      <c r="M383" s="1338"/>
      <c r="N383" s="1339"/>
      <c r="O383" s="1340"/>
      <c r="P383" s="1341"/>
      <c r="X383" s="1343" t="e">
        <f ca="1"/>
        <v>#NAME?</v>
      </c>
      <c r="Y383" s="1344" t="e">
        <f ca="1"/>
        <v>#NAME?</v>
      </c>
      <c r="Z383" s="1247"/>
    </row>
    <row r="384" spans="1:26" x14ac:dyDescent="0.2">
      <c r="A384" s="1338"/>
      <c r="B384" s="1339"/>
      <c r="C384" s="1340"/>
      <c r="D384" s="1341"/>
      <c r="E384" s="1338"/>
      <c r="F384" s="1339"/>
      <c r="G384" s="1340"/>
      <c r="H384" s="1341"/>
      <c r="I384" s="1338"/>
      <c r="J384" s="1339"/>
      <c r="K384" s="1340"/>
      <c r="L384" s="1341"/>
      <c r="M384" s="1338"/>
      <c r="N384" s="1339"/>
      <c r="O384" s="1340"/>
      <c r="P384" s="1341"/>
      <c r="X384" s="1343" t="e">
        <f ca="1"/>
        <v>#NAME?</v>
      </c>
      <c r="Y384" s="1344" t="e">
        <f ca="1"/>
        <v>#NAME?</v>
      </c>
      <c r="Z384" s="1247"/>
    </row>
    <row r="385" spans="1:26" x14ac:dyDescent="0.2">
      <c r="A385" s="1338"/>
      <c r="B385" s="1339"/>
      <c r="C385" s="1340"/>
      <c r="D385" s="1341"/>
      <c r="E385" s="1338"/>
      <c r="F385" s="1339"/>
      <c r="G385" s="1340"/>
      <c r="H385" s="1341"/>
      <c r="I385" s="1338"/>
      <c r="J385" s="1339"/>
      <c r="K385" s="1340"/>
      <c r="L385" s="1341"/>
      <c r="M385" s="1338"/>
      <c r="N385" s="1339"/>
      <c r="O385" s="1340"/>
      <c r="P385" s="1341"/>
      <c r="X385" s="1343" t="e">
        <f ca="1"/>
        <v>#NAME?</v>
      </c>
      <c r="Y385" s="1344" t="e">
        <f ca="1"/>
        <v>#NAME?</v>
      </c>
      <c r="Z385" s="1247"/>
    </row>
    <row r="386" spans="1:26" x14ac:dyDescent="0.2">
      <c r="A386" s="1338"/>
      <c r="B386" s="1339"/>
      <c r="C386" s="1340"/>
      <c r="D386" s="1341"/>
      <c r="E386" s="1338"/>
      <c r="F386" s="1339"/>
      <c r="G386" s="1340"/>
      <c r="H386" s="1341"/>
      <c r="I386" s="1338"/>
      <c r="J386" s="1339"/>
      <c r="K386" s="1340"/>
      <c r="L386" s="1341"/>
      <c r="M386" s="1338"/>
      <c r="N386" s="1339"/>
      <c r="O386" s="1340"/>
      <c r="P386" s="1341"/>
      <c r="X386" s="1343" t="e">
        <f ca="1"/>
        <v>#NAME?</v>
      </c>
      <c r="Y386" s="1344" t="e">
        <f ca="1"/>
        <v>#NAME?</v>
      </c>
      <c r="Z386" s="1247"/>
    </row>
    <row r="387" spans="1:26" x14ac:dyDescent="0.2">
      <c r="A387" s="1338"/>
      <c r="B387" s="1339"/>
      <c r="C387" s="1340"/>
      <c r="D387" s="1341"/>
      <c r="E387" s="1338"/>
      <c r="F387" s="1339"/>
      <c r="G387" s="1340"/>
      <c r="H387" s="1341"/>
      <c r="I387" s="1338"/>
      <c r="J387" s="1339"/>
      <c r="K387" s="1340"/>
      <c r="L387" s="1341"/>
      <c r="M387" s="1338"/>
      <c r="N387" s="1339"/>
      <c r="O387" s="1340"/>
      <c r="P387" s="1341"/>
      <c r="X387" s="1343" t="e">
        <f ca="1"/>
        <v>#NAME?</v>
      </c>
      <c r="Y387" s="1344" t="e">
        <f ca="1"/>
        <v>#NAME?</v>
      </c>
      <c r="Z387" s="1247"/>
    </row>
    <row r="388" spans="1:26" x14ac:dyDescent="0.2">
      <c r="A388" s="1338"/>
      <c r="B388" s="1339"/>
      <c r="C388" s="1340"/>
      <c r="D388" s="1341"/>
      <c r="E388" s="1338"/>
      <c r="F388" s="1339"/>
      <c r="G388" s="1340"/>
      <c r="H388" s="1341"/>
      <c r="I388" s="1338"/>
      <c r="J388" s="1339"/>
      <c r="K388" s="1340"/>
      <c r="L388" s="1341"/>
      <c r="M388" s="1338"/>
      <c r="N388" s="1339"/>
      <c r="O388" s="1340"/>
      <c r="P388" s="1341"/>
      <c r="X388" s="1343" t="e">
        <f ca="1"/>
        <v>#NAME?</v>
      </c>
      <c r="Y388" s="1344" t="e">
        <f ca="1"/>
        <v>#NAME?</v>
      </c>
      <c r="Z388" s="1247"/>
    </row>
    <row r="389" spans="1:26" x14ac:dyDescent="0.2">
      <c r="A389" s="1338"/>
      <c r="B389" s="1339"/>
      <c r="C389" s="1340"/>
      <c r="D389" s="1341"/>
      <c r="E389" s="1338"/>
      <c r="F389" s="1339"/>
      <c r="G389" s="1340"/>
      <c r="H389" s="1341"/>
      <c r="I389" s="1338"/>
      <c r="J389" s="1339"/>
      <c r="K389" s="1340"/>
      <c r="L389" s="1341"/>
      <c r="M389" s="1338"/>
      <c r="N389" s="1339"/>
      <c r="O389" s="1340"/>
      <c r="P389" s="1341"/>
      <c r="X389" s="1343" t="e">
        <f ca="1"/>
        <v>#NAME?</v>
      </c>
      <c r="Y389" s="1344" t="e">
        <f ca="1"/>
        <v>#NAME?</v>
      </c>
      <c r="Z389" s="1247"/>
    </row>
    <row r="390" spans="1:26" x14ac:dyDescent="0.2">
      <c r="A390" s="1338"/>
      <c r="B390" s="1339"/>
      <c r="C390" s="1340"/>
      <c r="D390" s="1341"/>
      <c r="E390" s="1338"/>
      <c r="F390" s="1339"/>
      <c r="G390" s="1340"/>
      <c r="H390" s="1341"/>
      <c r="I390" s="1338"/>
      <c r="J390" s="1339"/>
      <c r="K390" s="1340"/>
      <c r="L390" s="1341"/>
      <c r="M390" s="1338"/>
      <c r="N390" s="1339"/>
      <c r="O390" s="1340"/>
      <c r="P390" s="1341"/>
      <c r="X390" s="1343" t="e">
        <f ca="1"/>
        <v>#NAME?</v>
      </c>
      <c r="Y390" s="1344" t="e">
        <f ca="1"/>
        <v>#NAME?</v>
      </c>
      <c r="Z390" s="1247"/>
    </row>
    <row r="391" spans="1:26" x14ac:dyDescent="0.2">
      <c r="A391" s="1338"/>
      <c r="B391" s="1339"/>
      <c r="C391" s="1340"/>
      <c r="D391" s="1341"/>
      <c r="E391" s="1338"/>
      <c r="F391" s="1339"/>
      <c r="G391" s="1340"/>
      <c r="H391" s="1341"/>
      <c r="I391" s="1338"/>
      <c r="J391" s="1339"/>
      <c r="K391" s="1340"/>
      <c r="L391" s="1341"/>
      <c r="M391" s="1338"/>
      <c r="N391" s="1339"/>
      <c r="O391" s="1340"/>
      <c r="P391" s="1341"/>
      <c r="X391" s="1343" t="e">
        <f ca="1"/>
        <v>#NAME?</v>
      </c>
      <c r="Y391" s="1344" t="e">
        <f ca="1"/>
        <v>#NAME?</v>
      </c>
      <c r="Z391" s="1247"/>
    </row>
    <row r="392" spans="1:26" x14ac:dyDescent="0.2">
      <c r="A392" s="1338"/>
      <c r="B392" s="1339"/>
      <c r="C392" s="1340"/>
      <c r="D392" s="1341"/>
      <c r="E392" s="1338"/>
      <c r="F392" s="1339"/>
      <c r="G392" s="1340"/>
      <c r="H392" s="1341"/>
      <c r="I392" s="1338"/>
      <c r="J392" s="1339"/>
      <c r="K392" s="1340"/>
      <c r="L392" s="1341"/>
      <c r="M392" s="1338"/>
      <c r="N392" s="1339"/>
      <c r="O392" s="1340"/>
      <c r="P392" s="1341"/>
      <c r="X392" s="1343" t="e">
        <f ca="1"/>
        <v>#NAME?</v>
      </c>
      <c r="Y392" s="1344" t="e">
        <f ca="1"/>
        <v>#NAME?</v>
      </c>
      <c r="Z392" s="1247"/>
    </row>
    <row r="393" spans="1:26" x14ac:dyDescent="0.2">
      <c r="A393" s="1338"/>
      <c r="B393" s="1339"/>
      <c r="C393" s="1340"/>
      <c r="D393" s="1341"/>
      <c r="E393" s="1338"/>
      <c r="F393" s="1339"/>
      <c r="G393" s="1340"/>
      <c r="H393" s="1341"/>
      <c r="I393" s="1338"/>
      <c r="J393" s="1339"/>
      <c r="K393" s="1340"/>
      <c r="L393" s="1341"/>
      <c r="M393" s="1338"/>
      <c r="N393" s="1339"/>
      <c r="O393" s="1340"/>
      <c r="P393" s="1341"/>
      <c r="X393" s="1343" t="e">
        <f ca="1"/>
        <v>#NAME?</v>
      </c>
      <c r="Y393" s="1344" t="e">
        <f ca="1"/>
        <v>#NAME?</v>
      </c>
      <c r="Z393" s="1247"/>
    </row>
    <row r="394" spans="1:26" x14ac:dyDescent="0.2">
      <c r="A394" s="1338"/>
      <c r="B394" s="1339"/>
      <c r="C394" s="1340"/>
      <c r="D394" s="1341"/>
      <c r="E394" s="1338"/>
      <c r="F394" s="1339"/>
      <c r="G394" s="1340"/>
      <c r="H394" s="1341"/>
      <c r="I394" s="1338"/>
      <c r="J394" s="1339"/>
      <c r="K394" s="1340"/>
      <c r="L394" s="1341"/>
      <c r="M394" s="1338"/>
      <c r="N394" s="1339"/>
      <c r="O394" s="1340"/>
      <c r="P394" s="1341"/>
      <c r="X394" s="1343" t="e">
        <f ca="1"/>
        <v>#NAME?</v>
      </c>
      <c r="Y394" s="1344" t="e">
        <f ca="1"/>
        <v>#NAME?</v>
      </c>
      <c r="Z394" s="1247"/>
    </row>
    <row r="395" spans="1:26" x14ac:dyDescent="0.2">
      <c r="A395" s="1338"/>
      <c r="B395" s="1339"/>
      <c r="C395" s="1340"/>
      <c r="D395" s="1341"/>
      <c r="E395" s="1338"/>
      <c r="F395" s="1339"/>
      <c r="G395" s="1340"/>
      <c r="H395" s="1341"/>
      <c r="I395" s="1338"/>
      <c r="J395" s="1339"/>
      <c r="K395" s="1340"/>
      <c r="L395" s="1341"/>
      <c r="M395" s="1338"/>
      <c r="N395" s="1339"/>
      <c r="O395" s="1340"/>
      <c r="P395" s="1341"/>
      <c r="X395" s="1343" t="e">
        <f ca="1"/>
        <v>#NAME?</v>
      </c>
      <c r="Y395" s="1344" t="e">
        <f ca="1"/>
        <v>#NAME?</v>
      </c>
      <c r="Z395" s="1247"/>
    </row>
    <row r="396" spans="1:26" x14ac:dyDescent="0.2">
      <c r="A396" s="1338"/>
      <c r="B396" s="1339"/>
      <c r="C396" s="1340"/>
      <c r="D396" s="1341"/>
      <c r="E396" s="1338"/>
      <c r="F396" s="1339"/>
      <c r="G396" s="1340"/>
      <c r="H396" s="1341"/>
      <c r="I396" s="1338"/>
      <c r="J396" s="1339"/>
      <c r="K396" s="1340"/>
      <c r="L396" s="1341"/>
      <c r="M396" s="1338"/>
      <c r="N396" s="1339"/>
      <c r="O396" s="1340"/>
      <c r="P396" s="1341"/>
      <c r="X396" s="1343" t="e">
        <f ca="1"/>
        <v>#NAME?</v>
      </c>
      <c r="Y396" s="1344" t="e">
        <f ca="1"/>
        <v>#NAME?</v>
      </c>
      <c r="Z396" s="1247"/>
    </row>
    <row r="397" spans="1:26" x14ac:dyDescent="0.2">
      <c r="A397" s="1338"/>
      <c r="B397" s="1339"/>
      <c r="C397" s="1340"/>
      <c r="D397" s="1341"/>
      <c r="E397" s="1338"/>
      <c r="F397" s="1339"/>
      <c r="G397" s="1340"/>
      <c r="H397" s="1341"/>
      <c r="I397" s="1338"/>
      <c r="J397" s="1339"/>
      <c r="K397" s="1340"/>
      <c r="L397" s="1341"/>
      <c r="M397" s="1338"/>
      <c r="N397" s="1339"/>
      <c r="O397" s="1340"/>
      <c r="P397" s="1341"/>
      <c r="X397" s="1343" t="e">
        <f ca="1"/>
        <v>#NAME?</v>
      </c>
      <c r="Y397" s="1344" t="e">
        <f ca="1"/>
        <v>#NAME?</v>
      </c>
      <c r="Z397" s="1247"/>
    </row>
    <row r="398" spans="1:26" x14ac:dyDescent="0.2">
      <c r="A398" s="1338"/>
      <c r="B398" s="1339"/>
      <c r="C398" s="1340"/>
      <c r="D398" s="1341"/>
      <c r="E398" s="1338"/>
      <c r="F398" s="1339"/>
      <c r="G398" s="1340"/>
      <c r="H398" s="1341"/>
      <c r="I398" s="1338"/>
      <c r="J398" s="1339"/>
      <c r="K398" s="1340"/>
      <c r="L398" s="1341"/>
      <c r="M398" s="1338"/>
      <c r="N398" s="1339"/>
      <c r="O398" s="1340"/>
      <c r="P398" s="1341"/>
      <c r="X398" s="1343" t="e">
        <f ca="1"/>
        <v>#NAME?</v>
      </c>
      <c r="Y398" s="1344" t="e">
        <f ca="1"/>
        <v>#NAME?</v>
      </c>
      <c r="Z398" s="1247"/>
    </row>
    <row r="399" spans="1:26" x14ac:dyDescent="0.2">
      <c r="A399" s="1338"/>
      <c r="B399" s="1339"/>
      <c r="C399" s="1340"/>
      <c r="D399" s="1341"/>
      <c r="E399" s="1338"/>
      <c r="F399" s="1339"/>
      <c r="G399" s="1340"/>
      <c r="H399" s="1341"/>
      <c r="I399" s="1338"/>
      <c r="J399" s="1339"/>
      <c r="K399" s="1340"/>
      <c r="L399" s="1341"/>
      <c r="M399" s="1338"/>
      <c r="N399" s="1339"/>
      <c r="O399" s="1340"/>
      <c r="P399" s="1341"/>
      <c r="X399" s="1343" t="e">
        <f ca="1"/>
        <v>#NAME?</v>
      </c>
      <c r="Y399" s="1344" t="e">
        <f ca="1"/>
        <v>#NAME?</v>
      </c>
      <c r="Z399" s="1247"/>
    </row>
    <row r="400" spans="1:26" x14ac:dyDescent="0.2">
      <c r="A400" s="1338"/>
      <c r="B400" s="1339"/>
      <c r="C400" s="1340"/>
      <c r="D400" s="1341"/>
      <c r="E400" s="1338"/>
      <c r="F400" s="1339"/>
      <c r="G400" s="1340"/>
      <c r="H400" s="1341"/>
      <c r="I400" s="1338"/>
      <c r="J400" s="1339"/>
      <c r="K400" s="1340"/>
      <c r="L400" s="1341"/>
      <c r="M400" s="1338"/>
      <c r="N400" s="1339"/>
      <c r="O400" s="1340"/>
      <c r="P400" s="1341"/>
      <c r="X400" s="1343" t="e">
        <f ca="1"/>
        <v>#NAME?</v>
      </c>
      <c r="Y400" s="1344" t="e">
        <f ca="1"/>
        <v>#NAME?</v>
      </c>
      <c r="Z400" s="1247"/>
    </row>
    <row r="401" spans="1:26" x14ac:dyDescent="0.2">
      <c r="A401" s="1338"/>
      <c r="B401" s="1339"/>
      <c r="C401" s="1340"/>
      <c r="D401" s="1341"/>
      <c r="E401" s="1338"/>
      <c r="F401" s="1339"/>
      <c r="G401" s="1340"/>
      <c r="H401" s="1341"/>
      <c r="I401" s="1338"/>
      <c r="J401" s="1339"/>
      <c r="K401" s="1340"/>
      <c r="L401" s="1341"/>
      <c r="M401" s="1338"/>
      <c r="N401" s="1339"/>
      <c r="O401" s="1340"/>
      <c r="P401" s="1341"/>
      <c r="X401" s="1343" t="e">
        <f ca="1"/>
        <v>#NAME?</v>
      </c>
      <c r="Y401" s="1344" t="e">
        <f ca="1"/>
        <v>#NAME?</v>
      </c>
      <c r="Z401" s="1247"/>
    </row>
    <row r="402" spans="1:26" x14ac:dyDescent="0.2">
      <c r="A402" s="1338"/>
      <c r="B402" s="1339"/>
      <c r="C402" s="1340"/>
      <c r="D402" s="1341"/>
      <c r="E402" s="1338"/>
      <c r="F402" s="1339"/>
      <c r="G402" s="1340"/>
      <c r="H402" s="1341"/>
      <c r="I402" s="1338"/>
      <c r="J402" s="1339"/>
      <c r="K402" s="1340"/>
      <c r="L402" s="1341"/>
      <c r="M402" s="1338"/>
      <c r="N402" s="1339"/>
      <c r="O402" s="1340"/>
      <c r="P402" s="1341"/>
      <c r="X402" s="1343" t="e">
        <f ca="1"/>
        <v>#NAME?</v>
      </c>
      <c r="Y402" s="1344" t="e">
        <f ca="1"/>
        <v>#NAME?</v>
      </c>
      <c r="Z402" s="1247"/>
    </row>
    <row r="403" spans="1:26" x14ac:dyDescent="0.2">
      <c r="A403" s="1338"/>
      <c r="B403" s="1339"/>
      <c r="C403" s="1340"/>
      <c r="D403" s="1341"/>
      <c r="E403" s="1338"/>
      <c r="F403" s="1339"/>
      <c r="G403" s="1340"/>
      <c r="H403" s="1341"/>
      <c r="I403" s="1338"/>
      <c r="J403" s="1339"/>
      <c r="K403" s="1340"/>
      <c r="L403" s="1341"/>
      <c r="M403" s="1338"/>
      <c r="N403" s="1339"/>
      <c r="O403" s="1340"/>
      <c r="P403" s="1341"/>
      <c r="X403" s="1343" t="e">
        <f ca="1"/>
        <v>#NAME?</v>
      </c>
      <c r="Y403" s="1344" t="e">
        <f ca="1"/>
        <v>#NAME?</v>
      </c>
      <c r="Z403" s="1247"/>
    </row>
    <row r="404" spans="1:26" x14ac:dyDescent="0.2">
      <c r="A404" s="1338"/>
      <c r="B404" s="1339"/>
      <c r="C404" s="1340"/>
      <c r="D404" s="1341"/>
      <c r="E404" s="1338"/>
      <c r="F404" s="1339"/>
      <c r="G404" s="1340"/>
      <c r="H404" s="1341"/>
      <c r="I404" s="1338"/>
      <c r="J404" s="1339"/>
      <c r="K404" s="1340"/>
      <c r="L404" s="1341"/>
      <c r="M404" s="1338"/>
      <c r="N404" s="1339"/>
      <c r="O404" s="1340"/>
      <c r="P404" s="1341"/>
      <c r="X404" s="1343" t="e">
        <f ca="1"/>
        <v>#NAME?</v>
      </c>
      <c r="Y404" s="1344" t="e">
        <f ca="1"/>
        <v>#NAME?</v>
      </c>
      <c r="Z404" s="1247"/>
    </row>
    <row r="405" spans="1:26" x14ac:dyDescent="0.2">
      <c r="A405" s="1338"/>
      <c r="B405" s="1339"/>
      <c r="C405" s="1340"/>
      <c r="D405" s="1341"/>
      <c r="E405" s="1338"/>
      <c r="F405" s="1339"/>
      <c r="G405" s="1340"/>
      <c r="H405" s="1341"/>
      <c r="I405" s="1338"/>
      <c r="J405" s="1339"/>
      <c r="K405" s="1340"/>
      <c r="L405" s="1341"/>
      <c r="M405" s="1338"/>
      <c r="N405" s="1339"/>
      <c r="O405" s="1340"/>
      <c r="P405" s="1341"/>
      <c r="X405" s="1343" t="e">
        <f ca="1"/>
        <v>#NAME?</v>
      </c>
      <c r="Y405" s="1344" t="e">
        <f ca="1"/>
        <v>#NAME?</v>
      </c>
      <c r="Z405" s="1247"/>
    </row>
    <row r="406" spans="1:26" x14ac:dyDescent="0.2">
      <c r="A406" s="1338"/>
      <c r="B406" s="1339"/>
      <c r="C406" s="1340"/>
      <c r="D406" s="1341"/>
      <c r="E406" s="1338"/>
      <c r="F406" s="1339"/>
      <c r="G406" s="1340"/>
      <c r="H406" s="1341"/>
      <c r="I406" s="1338"/>
      <c r="J406" s="1339"/>
      <c r="K406" s="1340"/>
      <c r="L406" s="1341"/>
      <c r="M406" s="1338"/>
      <c r="N406" s="1339"/>
      <c r="O406" s="1340"/>
      <c r="P406" s="1341"/>
      <c r="X406" s="1343" t="e">
        <f ca="1"/>
        <v>#NAME?</v>
      </c>
      <c r="Y406" s="1344" t="e">
        <f ca="1"/>
        <v>#NAME?</v>
      </c>
      <c r="Z406" s="1247"/>
    </row>
    <row r="407" spans="1:26" x14ac:dyDescent="0.2">
      <c r="A407" s="1338"/>
      <c r="B407" s="1339"/>
      <c r="C407" s="1340"/>
      <c r="D407" s="1341"/>
      <c r="E407" s="1338"/>
      <c r="F407" s="1339"/>
      <c r="G407" s="1340"/>
      <c r="H407" s="1341"/>
      <c r="I407" s="1338"/>
      <c r="J407" s="1339"/>
      <c r="K407" s="1340"/>
      <c r="L407" s="1341"/>
      <c r="M407" s="1338"/>
      <c r="N407" s="1339"/>
      <c r="O407" s="1340"/>
      <c r="P407" s="1341"/>
      <c r="X407" s="1343" t="e">
        <f ca="1"/>
        <v>#NAME?</v>
      </c>
      <c r="Y407" s="1344" t="e">
        <f ca="1"/>
        <v>#NAME?</v>
      </c>
      <c r="Z407" s="1247"/>
    </row>
    <row r="408" spans="1:26" x14ac:dyDescent="0.2">
      <c r="A408" s="1338"/>
      <c r="B408" s="1339"/>
      <c r="C408" s="1340"/>
      <c r="D408" s="1341"/>
      <c r="E408" s="1338"/>
      <c r="F408" s="1339"/>
      <c r="G408" s="1340"/>
      <c r="H408" s="1341"/>
      <c r="I408" s="1338"/>
      <c r="J408" s="1339"/>
      <c r="K408" s="1340"/>
      <c r="L408" s="1341"/>
      <c r="M408" s="1338"/>
      <c r="N408" s="1339"/>
      <c r="O408" s="1340"/>
      <c r="P408" s="1341"/>
      <c r="X408" s="1343" t="e">
        <f ca="1"/>
        <v>#NAME?</v>
      </c>
      <c r="Y408" s="1344" t="e">
        <f ca="1"/>
        <v>#NAME?</v>
      </c>
      <c r="Z408" s="1247"/>
    </row>
    <row r="409" spans="1:26" x14ac:dyDescent="0.2">
      <c r="A409" s="1338"/>
      <c r="B409" s="1339"/>
      <c r="C409" s="1340"/>
      <c r="D409" s="1341"/>
      <c r="E409" s="1338"/>
      <c r="F409" s="1339"/>
      <c r="G409" s="1340"/>
      <c r="H409" s="1341"/>
      <c r="I409" s="1338"/>
      <c r="J409" s="1339"/>
      <c r="K409" s="1340"/>
      <c r="L409" s="1341"/>
      <c r="M409" s="1338"/>
      <c r="N409" s="1339"/>
      <c r="O409" s="1340"/>
      <c r="P409" s="1341"/>
      <c r="X409" s="1343" t="e">
        <f ca="1"/>
        <v>#NAME?</v>
      </c>
      <c r="Y409" s="1344" t="e">
        <f ca="1"/>
        <v>#NAME?</v>
      </c>
      <c r="Z409" s="1247"/>
    </row>
    <row r="410" spans="1:26" x14ac:dyDescent="0.2">
      <c r="A410" s="1338"/>
      <c r="B410" s="1339"/>
      <c r="C410" s="1340"/>
      <c r="D410" s="1341"/>
      <c r="E410" s="1338"/>
      <c r="F410" s="1339"/>
      <c r="G410" s="1340"/>
      <c r="H410" s="1341"/>
      <c r="I410" s="1338"/>
      <c r="J410" s="1339"/>
      <c r="K410" s="1340"/>
      <c r="L410" s="1341"/>
      <c r="M410" s="1338"/>
      <c r="N410" s="1339"/>
      <c r="O410" s="1340"/>
      <c r="P410" s="1341"/>
      <c r="X410" s="1343" t="e">
        <f ca="1"/>
        <v>#NAME?</v>
      </c>
      <c r="Y410" s="1344" t="e">
        <f ca="1"/>
        <v>#NAME?</v>
      </c>
      <c r="Z410" s="1247"/>
    </row>
    <row r="411" spans="1:26" x14ac:dyDescent="0.2">
      <c r="A411" s="1338"/>
      <c r="B411" s="1339"/>
      <c r="C411" s="1340"/>
      <c r="D411" s="1341"/>
      <c r="E411" s="1338"/>
      <c r="F411" s="1339"/>
      <c r="G411" s="1340"/>
      <c r="H411" s="1341"/>
      <c r="I411" s="1338"/>
      <c r="J411" s="1339"/>
      <c r="K411" s="1340"/>
      <c r="L411" s="1341"/>
      <c r="M411" s="1338"/>
      <c r="N411" s="1339"/>
      <c r="O411" s="1340"/>
      <c r="P411" s="1341"/>
      <c r="X411" s="1343" t="e">
        <f ca="1"/>
        <v>#NAME?</v>
      </c>
      <c r="Y411" s="1344" t="e">
        <f ca="1"/>
        <v>#NAME?</v>
      </c>
      <c r="Z411" s="1247"/>
    </row>
    <row r="412" spans="1:26" x14ac:dyDescent="0.2">
      <c r="A412" s="1338"/>
      <c r="B412" s="1339"/>
      <c r="C412" s="1340"/>
      <c r="D412" s="1341"/>
      <c r="E412" s="1338"/>
      <c r="F412" s="1339"/>
      <c r="G412" s="1340"/>
      <c r="H412" s="1341"/>
      <c r="I412" s="1338"/>
      <c r="J412" s="1339"/>
      <c r="K412" s="1340"/>
      <c r="L412" s="1341"/>
      <c r="M412" s="1338"/>
      <c r="N412" s="1339"/>
      <c r="O412" s="1340"/>
      <c r="P412" s="1341"/>
      <c r="X412" s="1343" t="e">
        <f ca="1"/>
        <v>#NAME?</v>
      </c>
      <c r="Y412" s="1344" t="e">
        <f ca="1"/>
        <v>#NAME?</v>
      </c>
      <c r="Z412" s="1247"/>
    </row>
    <row r="413" spans="1:26" x14ac:dyDescent="0.2">
      <c r="A413" s="1338"/>
      <c r="B413" s="1339"/>
      <c r="C413" s="1340"/>
      <c r="D413" s="1341"/>
      <c r="E413" s="1338"/>
      <c r="F413" s="1339"/>
      <c r="G413" s="1340"/>
      <c r="H413" s="1341"/>
      <c r="I413" s="1338"/>
      <c r="J413" s="1339"/>
      <c r="K413" s="1340"/>
      <c r="L413" s="1341"/>
      <c r="M413" s="1338"/>
      <c r="N413" s="1339"/>
      <c r="O413" s="1340"/>
      <c r="P413" s="1341"/>
      <c r="X413" s="1343" t="e">
        <f ca="1"/>
        <v>#NAME?</v>
      </c>
      <c r="Y413" s="1344" t="e">
        <f ca="1"/>
        <v>#NAME?</v>
      </c>
      <c r="Z413" s="1247"/>
    </row>
    <row r="414" spans="1:26" x14ac:dyDescent="0.2">
      <c r="A414" s="1338"/>
      <c r="B414" s="1339"/>
      <c r="C414" s="1340"/>
      <c r="D414" s="1341"/>
      <c r="E414" s="1338"/>
      <c r="F414" s="1339"/>
      <c r="G414" s="1340"/>
      <c r="H414" s="1341"/>
      <c r="I414" s="1338"/>
      <c r="J414" s="1339"/>
      <c r="K414" s="1340"/>
      <c r="L414" s="1341"/>
      <c r="M414" s="1338"/>
      <c r="N414" s="1339"/>
      <c r="O414" s="1340"/>
      <c r="P414" s="1341"/>
      <c r="X414" s="1343" t="e">
        <f ca="1"/>
        <v>#NAME?</v>
      </c>
      <c r="Y414" s="1344" t="e">
        <f ca="1"/>
        <v>#NAME?</v>
      </c>
      <c r="Z414" s="1247"/>
    </row>
    <row r="415" spans="1:26" x14ac:dyDescent="0.2">
      <c r="A415" s="1338"/>
      <c r="B415" s="1339"/>
      <c r="C415" s="1340"/>
      <c r="D415" s="1341"/>
      <c r="E415" s="1338"/>
      <c r="F415" s="1339"/>
      <c r="G415" s="1340"/>
      <c r="H415" s="1341"/>
      <c r="I415" s="1338"/>
      <c r="J415" s="1339"/>
      <c r="K415" s="1340"/>
      <c r="L415" s="1341"/>
      <c r="M415" s="1338"/>
      <c r="N415" s="1339"/>
      <c r="O415" s="1340"/>
      <c r="P415" s="1341"/>
      <c r="X415" s="1343" t="e">
        <f ca="1"/>
        <v>#NAME?</v>
      </c>
      <c r="Y415" s="1344" t="e">
        <f ca="1"/>
        <v>#NAME?</v>
      </c>
      <c r="Z415" s="1247"/>
    </row>
    <row r="416" spans="1:26" x14ac:dyDescent="0.2">
      <c r="A416" s="1338"/>
      <c r="B416" s="1339"/>
      <c r="C416" s="1340"/>
      <c r="D416" s="1341"/>
      <c r="E416" s="1338"/>
      <c r="F416" s="1339"/>
      <c r="G416" s="1340"/>
      <c r="H416" s="1341"/>
      <c r="I416" s="1338"/>
      <c r="J416" s="1339"/>
      <c r="K416" s="1340"/>
      <c r="L416" s="1341"/>
      <c r="M416" s="1338"/>
      <c r="N416" s="1339"/>
      <c r="O416" s="1340"/>
      <c r="P416" s="1341"/>
      <c r="X416" s="1343" t="e">
        <f ca="1"/>
        <v>#NAME?</v>
      </c>
      <c r="Y416" s="1344" t="e">
        <f ca="1"/>
        <v>#NAME?</v>
      </c>
      <c r="Z416" s="1247"/>
    </row>
    <row r="417" spans="1:26" x14ac:dyDescent="0.2">
      <c r="A417" s="1338"/>
      <c r="B417" s="1339"/>
      <c r="C417" s="1340"/>
      <c r="D417" s="1341"/>
      <c r="E417" s="1338"/>
      <c r="F417" s="1339"/>
      <c r="G417" s="1340"/>
      <c r="H417" s="1341"/>
      <c r="I417" s="1338"/>
      <c r="J417" s="1339"/>
      <c r="K417" s="1340"/>
      <c r="L417" s="1341"/>
      <c r="M417" s="1338"/>
      <c r="N417" s="1339"/>
      <c r="O417" s="1340"/>
      <c r="P417" s="1341"/>
      <c r="X417" s="1343" t="e">
        <f ca="1"/>
        <v>#NAME?</v>
      </c>
      <c r="Y417" s="1344" t="e">
        <f ca="1"/>
        <v>#NAME?</v>
      </c>
      <c r="Z417" s="1247"/>
    </row>
    <row r="418" spans="1:26" x14ac:dyDescent="0.2">
      <c r="A418" s="1338"/>
      <c r="B418" s="1339"/>
      <c r="C418" s="1340"/>
      <c r="D418" s="1341"/>
      <c r="E418" s="1338"/>
      <c r="F418" s="1339"/>
      <c r="G418" s="1340"/>
      <c r="H418" s="1341"/>
      <c r="I418" s="1338"/>
      <c r="J418" s="1339"/>
      <c r="K418" s="1340"/>
      <c r="L418" s="1341"/>
      <c r="M418" s="1338"/>
      <c r="N418" s="1339"/>
      <c r="O418" s="1340"/>
      <c r="P418" s="1341"/>
      <c r="X418" s="1343" t="e">
        <f ca="1"/>
        <v>#NAME?</v>
      </c>
      <c r="Y418" s="1344" t="e">
        <f ca="1"/>
        <v>#NAME?</v>
      </c>
      <c r="Z418" s="1247"/>
    </row>
    <row r="419" spans="1:26" x14ac:dyDescent="0.2">
      <c r="A419" s="1338"/>
      <c r="B419" s="1339"/>
      <c r="C419" s="1340"/>
      <c r="D419" s="1341"/>
      <c r="E419" s="1338"/>
      <c r="F419" s="1339"/>
      <c r="G419" s="1340"/>
      <c r="H419" s="1341"/>
      <c r="I419" s="1338"/>
      <c r="J419" s="1339"/>
      <c r="K419" s="1340"/>
      <c r="L419" s="1341"/>
      <c r="M419" s="1338"/>
      <c r="N419" s="1339"/>
      <c r="O419" s="1340"/>
      <c r="P419" s="1341"/>
      <c r="X419" s="1343" t="e">
        <f ca="1"/>
        <v>#NAME?</v>
      </c>
      <c r="Y419" s="1344" t="e">
        <f ca="1"/>
        <v>#NAME?</v>
      </c>
      <c r="Z419" s="1247"/>
    </row>
    <row r="420" spans="1:26" x14ac:dyDescent="0.2">
      <c r="A420" s="1338"/>
      <c r="B420" s="1339"/>
      <c r="C420" s="1340"/>
      <c r="D420" s="1341"/>
      <c r="E420" s="1338"/>
      <c r="F420" s="1339"/>
      <c r="G420" s="1340"/>
      <c r="H420" s="1341"/>
      <c r="I420" s="1338"/>
      <c r="J420" s="1339"/>
      <c r="K420" s="1340"/>
      <c r="L420" s="1341"/>
      <c r="M420" s="1338"/>
      <c r="N420" s="1339"/>
      <c r="O420" s="1340"/>
      <c r="P420" s="1341"/>
      <c r="X420" s="1343" t="e">
        <f ca="1"/>
        <v>#NAME?</v>
      </c>
      <c r="Y420" s="1344" t="e">
        <f ca="1"/>
        <v>#NAME?</v>
      </c>
      <c r="Z420" s="1247"/>
    </row>
    <row r="421" spans="1:26" x14ac:dyDescent="0.2">
      <c r="A421" s="1338"/>
      <c r="B421" s="1339"/>
      <c r="C421" s="1340"/>
      <c r="D421" s="1341"/>
      <c r="E421" s="1338"/>
      <c r="F421" s="1339"/>
      <c r="G421" s="1340"/>
      <c r="H421" s="1341"/>
      <c r="I421" s="1338"/>
      <c r="J421" s="1339"/>
      <c r="K421" s="1340"/>
      <c r="L421" s="1341"/>
      <c r="M421" s="1338"/>
      <c r="N421" s="1339"/>
      <c r="O421" s="1340"/>
      <c r="P421" s="1341"/>
      <c r="X421" s="1343" t="e">
        <f ca="1"/>
        <v>#NAME?</v>
      </c>
      <c r="Y421" s="1344" t="e">
        <f ca="1"/>
        <v>#NAME?</v>
      </c>
      <c r="Z421" s="1247"/>
    </row>
    <row r="422" spans="1:26" x14ac:dyDescent="0.2">
      <c r="A422" s="1338"/>
      <c r="B422" s="1339"/>
      <c r="C422" s="1340"/>
      <c r="D422" s="1341"/>
      <c r="E422" s="1338"/>
      <c r="F422" s="1339"/>
      <c r="G422" s="1340"/>
      <c r="H422" s="1341"/>
      <c r="I422" s="1338"/>
      <c r="J422" s="1339"/>
      <c r="K422" s="1340"/>
      <c r="L422" s="1341"/>
      <c r="M422" s="1338"/>
      <c r="N422" s="1339"/>
      <c r="O422" s="1340"/>
      <c r="P422" s="1341"/>
      <c r="X422" s="1343" t="e">
        <f ca="1"/>
        <v>#NAME?</v>
      </c>
      <c r="Y422" s="1344" t="e">
        <f ca="1"/>
        <v>#NAME?</v>
      </c>
      <c r="Z422" s="1247"/>
    </row>
    <row r="423" spans="1:26" x14ac:dyDescent="0.2">
      <c r="A423" s="1338"/>
      <c r="B423" s="1339"/>
      <c r="C423" s="1340"/>
      <c r="D423" s="1341"/>
      <c r="E423" s="1338"/>
      <c r="F423" s="1339"/>
      <c r="G423" s="1340"/>
      <c r="H423" s="1341"/>
      <c r="I423" s="1338"/>
      <c r="J423" s="1339"/>
      <c r="K423" s="1340"/>
      <c r="L423" s="1341"/>
      <c r="M423" s="1338"/>
      <c r="N423" s="1339"/>
      <c r="O423" s="1340"/>
      <c r="P423" s="1341"/>
      <c r="X423" s="1343" t="e">
        <f ca="1"/>
        <v>#NAME?</v>
      </c>
      <c r="Y423" s="1344" t="e">
        <f ca="1"/>
        <v>#NAME?</v>
      </c>
      <c r="Z423" s="1247"/>
    </row>
    <row r="424" spans="1:26" x14ac:dyDescent="0.2">
      <c r="A424" s="1338"/>
      <c r="B424" s="1339"/>
      <c r="C424" s="1340"/>
      <c r="D424" s="1341"/>
      <c r="E424" s="1338"/>
      <c r="F424" s="1339"/>
      <c r="G424" s="1340"/>
      <c r="H424" s="1341"/>
      <c r="I424" s="1338"/>
      <c r="J424" s="1339"/>
      <c r="K424" s="1340"/>
      <c r="L424" s="1341"/>
      <c r="M424" s="1338"/>
      <c r="N424" s="1339"/>
      <c r="O424" s="1340"/>
      <c r="P424" s="1341"/>
      <c r="X424" s="1343" t="e">
        <f ca="1"/>
        <v>#NAME?</v>
      </c>
      <c r="Y424" s="1344" t="e">
        <f ca="1"/>
        <v>#NAME?</v>
      </c>
      <c r="Z424" s="1247"/>
    </row>
    <row r="425" spans="1:26" x14ac:dyDescent="0.2">
      <c r="A425" s="1338"/>
      <c r="B425" s="1339"/>
      <c r="C425" s="1340"/>
      <c r="D425" s="1341"/>
      <c r="E425" s="1338"/>
      <c r="F425" s="1339"/>
      <c r="G425" s="1340"/>
      <c r="H425" s="1341"/>
      <c r="I425" s="1338"/>
      <c r="J425" s="1339"/>
      <c r="K425" s="1340"/>
      <c r="L425" s="1341"/>
      <c r="M425" s="1338"/>
      <c r="N425" s="1339"/>
      <c r="O425" s="1340"/>
      <c r="P425" s="1341"/>
      <c r="X425" s="1343" t="e">
        <f ca="1"/>
        <v>#NAME?</v>
      </c>
      <c r="Y425" s="1344" t="e">
        <f ca="1"/>
        <v>#NAME?</v>
      </c>
      <c r="Z425" s="1247"/>
    </row>
    <row r="426" spans="1:26" x14ac:dyDescent="0.2">
      <c r="A426" s="1338"/>
      <c r="B426" s="1339"/>
      <c r="C426" s="1340"/>
      <c r="D426" s="1341"/>
      <c r="E426" s="1338"/>
      <c r="F426" s="1339"/>
      <c r="G426" s="1340"/>
      <c r="H426" s="1341"/>
      <c r="I426" s="1338"/>
      <c r="J426" s="1339"/>
      <c r="K426" s="1340"/>
      <c r="L426" s="1341"/>
      <c r="M426" s="1338"/>
      <c r="N426" s="1339"/>
      <c r="O426" s="1340"/>
      <c r="P426" s="1341"/>
      <c r="X426" s="1343" t="e">
        <f ca="1"/>
        <v>#NAME?</v>
      </c>
      <c r="Y426" s="1344" t="e">
        <f ca="1"/>
        <v>#NAME?</v>
      </c>
      <c r="Z426" s="1247"/>
    </row>
    <row r="427" spans="1:26" x14ac:dyDescent="0.2">
      <c r="A427" s="1338"/>
      <c r="B427" s="1339"/>
      <c r="C427" s="1340"/>
      <c r="D427" s="1341"/>
      <c r="E427" s="1338"/>
      <c r="F427" s="1339"/>
      <c r="G427" s="1340"/>
      <c r="H427" s="1341"/>
      <c r="I427" s="1338"/>
      <c r="J427" s="1339"/>
      <c r="K427" s="1340"/>
      <c r="L427" s="1341"/>
      <c r="M427" s="1338"/>
      <c r="N427" s="1339"/>
      <c r="O427" s="1340"/>
      <c r="P427" s="1341"/>
      <c r="X427" s="1343" t="e">
        <f ca="1"/>
        <v>#NAME?</v>
      </c>
      <c r="Y427" s="1344" t="e">
        <f ca="1"/>
        <v>#NAME?</v>
      </c>
      <c r="Z427" s="1247"/>
    </row>
    <row r="428" spans="1:26" x14ac:dyDescent="0.2">
      <c r="A428" s="1338"/>
      <c r="B428" s="1339"/>
      <c r="C428" s="1340"/>
      <c r="D428" s="1341"/>
      <c r="E428" s="1338"/>
      <c r="F428" s="1339"/>
      <c r="G428" s="1340"/>
      <c r="H428" s="1341"/>
      <c r="I428" s="1338"/>
      <c r="J428" s="1339"/>
      <c r="K428" s="1340"/>
      <c r="L428" s="1341"/>
      <c r="M428" s="1338"/>
      <c r="N428" s="1339"/>
      <c r="O428" s="1340"/>
      <c r="P428" s="1341"/>
      <c r="X428" s="1343" t="e">
        <f ca="1"/>
        <v>#NAME?</v>
      </c>
      <c r="Y428" s="1344" t="e">
        <f ca="1"/>
        <v>#NAME?</v>
      </c>
      <c r="Z428" s="1247"/>
    </row>
    <row r="429" spans="1:26" x14ac:dyDescent="0.2">
      <c r="A429" s="1338"/>
      <c r="B429" s="1339"/>
      <c r="C429" s="1340"/>
      <c r="D429" s="1341"/>
      <c r="E429" s="1338"/>
      <c r="F429" s="1339"/>
      <c r="G429" s="1340"/>
      <c r="H429" s="1341"/>
      <c r="I429" s="1338"/>
      <c r="J429" s="1339"/>
      <c r="K429" s="1340"/>
      <c r="L429" s="1341"/>
      <c r="M429" s="1338"/>
      <c r="N429" s="1339"/>
      <c r="O429" s="1340"/>
      <c r="P429" s="1341"/>
      <c r="X429" s="1343" t="e">
        <f ca="1"/>
        <v>#NAME?</v>
      </c>
      <c r="Y429" s="1344" t="e">
        <f ca="1"/>
        <v>#NAME?</v>
      </c>
      <c r="Z429" s="1247"/>
    </row>
    <row r="430" spans="1:26" x14ac:dyDescent="0.2">
      <c r="A430" s="1338"/>
      <c r="B430" s="1339"/>
      <c r="C430" s="1340"/>
      <c r="D430" s="1341"/>
      <c r="E430" s="1338"/>
      <c r="F430" s="1339"/>
      <c r="G430" s="1340"/>
      <c r="H430" s="1341"/>
      <c r="I430" s="1338"/>
      <c r="J430" s="1339"/>
      <c r="K430" s="1340"/>
      <c r="L430" s="1341"/>
      <c r="M430" s="1338"/>
      <c r="N430" s="1339"/>
      <c r="O430" s="1340"/>
      <c r="P430" s="1341"/>
      <c r="X430" s="1343" t="e">
        <f ca="1"/>
        <v>#NAME?</v>
      </c>
      <c r="Y430" s="1344" t="e">
        <f ca="1"/>
        <v>#NAME?</v>
      </c>
      <c r="Z430" s="1247"/>
    </row>
    <row r="431" spans="1:26" x14ac:dyDescent="0.2">
      <c r="A431" s="1338"/>
      <c r="B431" s="1339"/>
      <c r="C431" s="1340"/>
      <c r="D431" s="1341"/>
      <c r="E431" s="1338"/>
      <c r="F431" s="1339"/>
      <c r="G431" s="1340"/>
      <c r="H431" s="1341"/>
      <c r="I431" s="1338"/>
      <c r="J431" s="1339"/>
      <c r="K431" s="1340"/>
      <c r="L431" s="1341"/>
      <c r="M431" s="1338"/>
      <c r="N431" s="1339"/>
      <c r="O431" s="1340"/>
      <c r="P431" s="1341"/>
      <c r="X431" s="1343" t="e">
        <f ca="1"/>
        <v>#NAME?</v>
      </c>
      <c r="Y431" s="1344" t="e">
        <f ca="1"/>
        <v>#NAME?</v>
      </c>
      <c r="Z431" s="1247"/>
    </row>
    <row r="432" spans="1:26" x14ac:dyDescent="0.2">
      <c r="A432" s="1338"/>
      <c r="B432" s="1339"/>
      <c r="C432" s="1340"/>
      <c r="D432" s="1341"/>
      <c r="E432" s="1338"/>
      <c r="F432" s="1339"/>
      <c r="G432" s="1340"/>
      <c r="H432" s="1341"/>
      <c r="I432" s="1338"/>
      <c r="J432" s="1339"/>
      <c r="K432" s="1340"/>
      <c r="L432" s="1341"/>
      <c r="M432" s="1338"/>
      <c r="N432" s="1339"/>
      <c r="O432" s="1340"/>
      <c r="P432" s="1341"/>
      <c r="X432" s="1343" t="e">
        <f ca="1"/>
        <v>#NAME?</v>
      </c>
      <c r="Y432" s="1344" t="e">
        <f ca="1"/>
        <v>#NAME?</v>
      </c>
      <c r="Z432" s="1247"/>
    </row>
    <row r="433" spans="1:26" x14ac:dyDescent="0.2">
      <c r="A433" s="1338"/>
      <c r="B433" s="1339"/>
      <c r="C433" s="1340"/>
      <c r="D433" s="1341"/>
      <c r="E433" s="1338"/>
      <c r="F433" s="1339"/>
      <c r="G433" s="1340"/>
      <c r="H433" s="1341"/>
      <c r="I433" s="1338"/>
      <c r="J433" s="1339"/>
      <c r="K433" s="1340"/>
      <c r="L433" s="1341"/>
      <c r="M433" s="1338"/>
      <c r="N433" s="1339"/>
      <c r="O433" s="1340"/>
      <c r="P433" s="1341"/>
      <c r="X433" s="1343" t="e">
        <f ca="1"/>
        <v>#NAME?</v>
      </c>
      <c r="Y433" s="1344" t="e">
        <f ca="1"/>
        <v>#NAME?</v>
      </c>
      <c r="Z433" s="1247"/>
    </row>
    <row r="434" spans="1:26" x14ac:dyDescent="0.2">
      <c r="A434" s="1338"/>
      <c r="B434" s="1339"/>
      <c r="C434" s="1340"/>
      <c r="D434" s="1341"/>
      <c r="E434" s="1338"/>
      <c r="F434" s="1339"/>
      <c r="G434" s="1340"/>
      <c r="H434" s="1341"/>
      <c r="I434" s="1338"/>
      <c r="J434" s="1339"/>
      <c r="K434" s="1340"/>
      <c r="L434" s="1341"/>
      <c r="M434" s="1338"/>
      <c r="N434" s="1339"/>
      <c r="O434" s="1340"/>
      <c r="P434" s="1341"/>
      <c r="X434" s="1343" t="e">
        <f ca="1"/>
        <v>#NAME?</v>
      </c>
      <c r="Y434" s="1344" t="e">
        <f ca="1"/>
        <v>#NAME?</v>
      </c>
      <c r="Z434" s="1247"/>
    </row>
    <row r="435" spans="1:26" x14ac:dyDescent="0.2">
      <c r="A435" s="1338"/>
      <c r="B435" s="1339"/>
      <c r="C435" s="1340"/>
      <c r="D435" s="1341"/>
      <c r="E435" s="1338"/>
      <c r="F435" s="1339"/>
      <c r="G435" s="1340"/>
      <c r="H435" s="1341"/>
      <c r="I435" s="1338"/>
      <c r="J435" s="1339"/>
      <c r="K435" s="1340"/>
      <c r="L435" s="1341"/>
      <c r="M435" s="1338"/>
      <c r="N435" s="1339"/>
      <c r="O435" s="1340"/>
      <c r="P435" s="1341"/>
      <c r="X435" s="1343" t="e">
        <f ca="1"/>
        <v>#NAME?</v>
      </c>
      <c r="Y435" s="1344" t="e">
        <f ca="1"/>
        <v>#NAME?</v>
      </c>
      <c r="Z435" s="1247"/>
    </row>
    <row r="436" spans="1:26" x14ac:dyDescent="0.2">
      <c r="A436" s="1338"/>
      <c r="B436" s="1339"/>
      <c r="C436" s="1340"/>
      <c r="D436" s="1341"/>
      <c r="E436" s="1338"/>
      <c r="F436" s="1339"/>
      <c r="G436" s="1340"/>
      <c r="H436" s="1341"/>
      <c r="I436" s="1338"/>
      <c r="J436" s="1339"/>
      <c r="K436" s="1340"/>
      <c r="L436" s="1341"/>
      <c r="M436" s="1338"/>
      <c r="N436" s="1339"/>
      <c r="O436" s="1340"/>
      <c r="P436" s="1341"/>
      <c r="X436" s="1343" t="e">
        <f ca="1"/>
        <v>#NAME?</v>
      </c>
      <c r="Y436" s="1344" t="e">
        <f ca="1"/>
        <v>#NAME?</v>
      </c>
      <c r="Z436" s="1247"/>
    </row>
    <row r="437" spans="1:26" x14ac:dyDescent="0.2">
      <c r="A437" s="1338"/>
      <c r="B437" s="1339"/>
      <c r="C437" s="1340"/>
      <c r="D437" s="1341"/>
      <c r="E437" s="1338"/>
      <c r="F437" s="1339"/>
      <c r="G437" s="1340"/>
      <c r="H437" s="1341"/>
      <c r="I437" s="1338"/>
      <c r="J437" s="1339"/>
      <c r="K437" s="1340"/>
      <c r="L437" s="1341"/>
      <c r="M437" s="1338"/>
      <c r="N437" s="1339"/>
      <c r="O437" s="1340"/>
      <c r="P437" s="1341"/>
      <c r="X437" s="1343" t="e">
        <f ca="1"/>
        <v>#NAME?</v>
      </c>
      <c r="Y437" s="1344" t="e">
        <f ca="1"/>
        <v>#NAME?</v>
      </c>
      <c r="Z437" s="1247"/>
    </row>
    <row r="438" spans="1:26" x14ac:dyDescent="0.2">
      <c r="A438" s="1338"/>
      <c r="B438" s="1339"/>
      <c r="C438" s="1340"/>
      <c r="D438" s="1341"/>
      <c r="E438" s="1338"/>
      <c r="F438" s="1339"/>
      <c r="G438" s="1340"/>
      <c r="H438" s="1341"/>
      <c r="I438" s="1338"/>
      <c r="J438" s="1339"/>
      <c r="K438" s="1340"/>
      <c r="L438" s="1341"/>
      <c r="M438" s="1338"/>
      <c r="N438" s="1339"/>
      <c r="O438" s="1340"/>
      <c r="P438" s="1341"/>
      <c r="X438" s="1343" t="e">
        <f ca="1"/>
        <v>#NAME?</v>
      </c>
      <c r="Y438" s="1344" t="e">
        <f ca="1"/>
        <v>#NAME?</v>
      </c>
      <c r="Z438" s="1247"/>
    </row>
    <row r="439" spans="1:26" x14ac:dyDescent="0.2">
      <c r="A439" s="1338"/>
      <c r="B439" s="1339"/>
      <c r="C439" s="1340"/>
      <c r="D439" s="1341"/>
      <c r="E439" s="1338"/>
      <c r="F439" s="1339"/>
      <c r="G439" s="1340"/>
      <c r="H439" s="1341"/>
      <c r="I439" s="1338"/>
      <c r="J439" s="1339"/>
      <c r="K439" s="1340"/>
      <c r="L439" s="1341"/>
      <c r="M439" s="1338"/>
      <c r="N439" s="1339"/>
      <c r="O439" s="1340"/>
      <c r="P439" s="1341"/>
      <c r="X439" s="1343" t="e">
        <f ca="1"/>
        <v>#NAME?</v>
      </c>
      <c r="Y439" s="1344" t="e">
        <f ca="1"/>
        <v>#NAME?</v>
      </c>
      <c r="Z439" s="1247"/>
    </row>
    <row r="440" spans="1:26" x14ac:dyDescent="0.2">
      <c r="A440" s="1338"/>
      <c r="B440" s="1339"/>
      <c r="C440" s="1340"/>
      <c r="D440" s="1341"/>
      <c r="E440" s="1338"/>
      <c r="F440" s="1339"/>
      <c r="G440" s="1340"/>
      <c r="H440" s="1341"/>
      <c r="I440" s="1338"/>
      <c r="J440" s="1339"/>
      <c r="K440" s="1340"/>
      <c r="L440" s="1341"/>
      <c r="M440" s="1338"/>
      <c r="N440" s="1339"/>
      <c r="O440" s="1340"/>
      <c r="P440" s="1341"/>
      <c r="X440" s="1343" t="e">
        <f ca="1"/>
        <v>#NAME?</v>
      </c>
      <c r="Y440" s="1344" t="e">
        <f ca="1"/>
        <v>#NAME?</v>
      </c>
      <c r="Z440" s="1247"/>
    </row>
    <row r="441" spans="1:26" x14ac:dyDescent="0.2">
      <c r="A441" s="1338"/>
      <c r="B441" s="1339"/>
      <c r="C441" s="1340"/>
      <c r="D441" s="1341"/>
      <c r="E441" s="1338"/>
      <c r="F441" s="1339"/>
      <c r="G441" s="1340"/>
      <c r="H441" s="1341"/>
      <c r="I441" s="1338"/>
      <c r="J441" s="1339"/>
      <c r="K441" s="1340"/>
      <c r="L441" s="1341"/>
      <c r="M441" s="1338"/>
      <c r="N441" s="1339"/>
      <c r="O441" s="1340"/>
      <c r="P441" s="1341"/>
      <c r="X441" s="1343" t="e">
        <f ca="1"/>
        <v>#NAME?</v>
      </c>
      <c r="Y441" s="1344" t="e">
        <f ca="1"/>
        <v>#NAME?</v>
      </c>
      <c r="Z441" s="1247"/>
    </row>
    <row r="442" spans="1:26" x14ac:dyDescent="0.2">
      <c r="A442" s="1338"/>
      <c r="B442" s="1339"/>
      <c r="C442" s="1340"/>
      <c r="D442" s="1341"/>
      <c r="E442" s="1338"/>
      <c r="F442" s="1339"/>
      <c r="G442" s="1340"/>
      <c r="H442" s="1341"/>
      <c r="I442" s="1338"/>
      <c r="J442" s="1339"/>
      <c r="K442" s="1340"/>
      <c r="L442" s="1341"/>
      <c r="M442" s="1338"/>
      <c r="N442" s="1339"/>
      <c r="O442" s="1340"/>
      <c r="P442" s="1341"/>
      <c r="X442" s="1343" t="e">
        <f ca="1"/>
        <v>#NAME?</v>
      </c>
      <c r="Y442" s="1344" t="e">
        <f ca="1"/>
        <v>#NAME?</v>
      </c>
      <c r="Z442" s="1247"/>
    </row>
    <row r="443" spans="1:26" x14ac:dyDescent="0.2">
      <c r="A443" s="1338"/>
      <c r="B443" s="1339"/>
      <c r="C443" s="1340"/>
      <c r="D443" s="1341"/>
      <c r="E443" s="1338"/>
      <c r="F443" s="1339"/>
      <c r="G443" s="1340"/>
      <c r="H443" s="1341"/>
      <c r="I443" s="1338"/>
      <c r="J443" s="1339"/>
      <c r="K443" s="1340"/>
      <c r="L443" s="1341"/>
      <c r="M443" s="1338"/>
      <c r="N443" s="1339"/>
      <c r="O443" s="1340"/>
      <c r="P443" s="1341"/>
      <c r="X443" s="1343" t="e">
        <f ca="1"/>
        <v>#NAME?</v>
      </c>
      <c r="Y443" s="1344" t="e">
        <f ca="1"/>
        <v>#NAME?</v>
      </c>
      <c r="Z443" s="1247"/>
    </row>
    <row r="444" spans="1:26" x14ac:dyDescent="0.2">
      <c r="A444" s="1338"/>
      <c r="B444" s="1339"/>
      <c r="C444" s="1340"/>
      <c r="D444" s="1341"/>
      <c r="E444" s="1338"/>
      <c r="F444" s="1339"/>
      <c r="G444" s="1340"/>
      <c r="H444" s="1341"/>
      <c r="I444" s="1338"/>
      <c r="J444" s="1339"/>
      <c r="K444" s="1340"/>
      <c r="L444" s="1341"/>
      <c r="M444" s="1338"/>
      <c r="N444" s="1339"/>
      <c r="O444" s="1340"/>
      <c r="P444" s="1341"/>
      <c r="X444" s="1343" t="e">
        <f ca="1"/>
        <v>#NAME?</v>
      </c>
      <c r="Y444" s="1344" t="e">
        <f ca="1"/>
        <v>#NAME?</v>
      </c>
      <c r="Z444" s="1247"/>
    </row>
    <row r="445" spans="1:26" x14ac:dyDescent="0.2">
      <c r="A445" s="1338"/>
      <c r="B445" s="1339"/>
      <c r="C445" s="1340"/>
      <c r="D445" s="1341"/>
      <c r="E445" s="1338"/>
      <c r="F445" s="1339"/>
      <c r="G445" s="1340"/>
      <c r="H445" s="1341"/>
      <c r="I445" s="1338"/>
      <c r="J445" s="1339"/>
      <c r="K445" s="1340"/>
      <c r="L445" s="1341"/>
      <c r="M445" s="1338"/>
      <c r="N445" s="1339"/>
      <c r="O445" s="1340"/>
      <c r="P445" s="1341"/>
      <c r="X445" s="1343" t="e">
        <f ca="1"/>
        <v>#NAME?</v>
      </c>
      <c r="Y445" s="1344" t="e">
        <f ca="1"/>
        <v>#NAME?</v>
      </c>
      <c r="Z445" s="1247"/>
    </row>
    <row r="446" spans="1:26" x14ac:dyDescent="0.2">
      <c r="A446" s="1338"/>
      <c r="B446" s="1339"/>
      <c r="C446" s="1340"/>
      <c r="D446" s="1341"/>
      <c r="E446" s="1338"/>
      <c r="F446" s="1339"/>
      <c r="G446" s="1340"/>
      <c r="H446" s="1341"/>
      <c r="I446" s="1338"/>
      <c r="J446" s="1339"/>
      <c r="K446" s="1340"/>
      <c r="L446" s="1341"/>
      <c r="M446" s="1338"/>
      <c r="N446" s="1339"/>
      <c r="O446" s="1340"/>
      <c r="P446" s="1341"/>
      <c r="X446" s="1343" t="e">
        <f ca="1"/>
        <v>#NAME?</v>
      </c>
      <c r="Y446" s="1344" t="e">
        <f ca="1"/>
        <v>#NAME?</v>
      </c>
      <c r="Z446" s="1247"/>
    </row>
    <row r="447" spans="1:26" x14ac:dyDescent="0.2">
      <c r="A447" s="1338"/>
      <c r="B447" s="1339"/>
      <c r="C447" s="1340"/>
      <c r="D447" s="1341"/>
      <c r="E447" s="1338"/>
      <c r="F447" s="1339"/>
      <c r="G447" s="1340"/>
      <c r="H447" s="1341"/>
      <c r="I447" s="1338"/>
      <c r="J447" s="1339"/>
      <c r="K447" s="1340"/>
      <c r="L447" s="1341"/>
      <c r="M447" s="1338"/>
      <c r="N447" s="1339"/>
      <c r="O447" s="1340"/>
      <c r="P447" s="1341"/>
      <c r="X447" s="1343" t="e">
        <f ca="1"/>
        <v>#NAME?</v>
      </c>
      <c r="Y447" s="1344" t="e">
        <f ca="1"/>
        <v>#NAME?</v>
      </c>
      <c r="Z447" s="1247"/>
    </row>
    <row r="448" spans="1:26" x14ac:dyDescent="0.2">
      <c r="A448" s="1338"/>
      <c r="B448" s="1339"/>
      <c r="C448" s="1340"/>
      <c r="D448" s="1341"/>
      <c r="E448" s="1338"/>
      <c r="F448" s="1339"/>
      <c r="G448" s="1340"/>
      <c r="H448" s="1341"/>
      <c r="I448" s="1338"/>
      <c r="J448" s="1339"/>
      <c r="K448" s="1340"/>
      <c r="L448" s="1341"/>
      <c r="M448" s="1338"/>
      <c r="N448" s="1339"/>
      <c r="O448" s="1340"/>
      <c r="P448" s="1341"/>
      <c r="X448" s="1343" t="e">
        <f ca="1"/>
        <v>#NAME?</v>
      </c>
      <c r="Y448" s="1344" t="e">
        <f ca="1"/>
        <v>#NAME?</v>
      </c>
      <c r="Z448" s="1247"/>
    </row>
    <row r="449" spans="1:26" x14ac:dyDescent="0.2">
      <c r="A449" s="1338"/>
      <c r="B449" s="1339"/>
      <c r="C449" s="1340"/>
      <c r="D449" s="1341"/>
      <c r="E449" s="1338"/>
      <c r="F449" s="1339"/>
      <c r="G449" s="1340"/>
      <c r="H449" s="1341"/>
      <c r="I449" s="1338"/>
      <c r="J449" s="1339"/>
      <c r="K449" s="1340"/>
      <c r="L449" s="1341"/>
      <c r="M449" s="1338"/>
      <c r="N449" s="1339"/>
      <c r="O449" s="1340"/>
      <c r="P449" s="1341"/>
      <c r="X449" s="1343" t="e">
        <f ca="1"/>
        <v>#NAME?</v>
      </c>
      <c r="Y449" s="1344" t="e">
        <f ca="1"/>
        <v>#NAME?</v>
      </c>
      <c r="Z449" s="1247"/>
    </row>
    <row r="450" spans="1:26" x14ac:dyDescent="0.2">
      <c r="A450" s="1338"/>
      <c r="B450" s="1339"/>
      <c r="C450" s="1340"/>
      <c r="D450" s="1341"/>
      <c r="E450" s="1338"/>
      <c r="F450" s="1339"/>
      <c r="G450" s="1340"/>
      <c r="H450" s="1341"/>
      <c r="I450" s="1338"/>
      <c r="J450" s="1339"/>
      <c r="K450" s="1340"/>
      <c r="L450" s="1341"/>
      <c r="M450" s="1338"/>
      <c r="N450" s="1339"/>
      <c r="O450" s="1340"/>
      <c r="P450" s="1341"/>
      <c r="X450" s="1343" t="e">
        <f ca="1"/>
        <v>#NAME?</v>
      </c>
      <c r="Y450" s="1344" t="e">
        <f ca="1"/>
        <v>#NAME?</v>
      </c>
      <c r="Z450" s="1247"/>
    </row>
    <row r="451" spans="1:26" x14ac:dyDescent="0.2">
      <c r="A451" s="1338"/>
      <c r="B451" s="1339"/>
      <c r="C451" s="1340"/>
      <c r="D451" s="1341"/>
      <c r="E451" s="1338"/>
      <c r="F451" s="1339"/>
      <c r="G451" s="1340"/>
      <c r="H451" s="1341"/>
      <c r="I451" s="1338"/>
      <c r="J451" s="1339"/>
      <c r="K451" s="1340"/>
      <c r="L451" s="1341"/>
      <c r="M451" s="1338"/>
      <c r="N451" s="1339"/>
      <c r="O451" s="1340"/>
      <c r="P451" s="1341"/>
      <c r="X451" s="1343" t="e">
        <f ca="1"/>
        <v>#NAME?</v>
      </c>
      <c r="Y451" s="1344" t="e">
        <f ca="1"/>
        <v>#NAME?</v>
      </c>
      <c r="Z451" s="1247"/>
    </row>
    <row r="452" spans="1:26" x14ac:dyDescent="0.2">
      <c r="A452" s="1338"/>
      <c r="B452" s="1339"/>
      <c r="C452" s="1340"/>
      <c r="D452" s="1341"/>
      <c r="E452" s="1338"/>
      <c r="F452" s="1339"/>
      <c r="G452" s="1340"/>
      <c r="H452" s="1341"/>
      <c r="I452" s="1338"/>
      <c r="J452" s="1339"/>
      <c r="K452" s="1340"/>
      <c r="L452" s="1341"/>
      <c r="M452" s="1338"/>
      <c r="N452" s="1339"/>
      <c r="O452" s="1340"/>
      <c r="P452" s="1341"/>
      <c r="X452" s="1343" t="e">
        <f ca="1"/>
        <v>#NAME?</v>
      </c>
      <c r="Y452" s="1344" t="e">
        <f ca="1"/>
        <v>#NAME?</v>
      </c>
      <c r="Z452" s="1247"/>
    </row>
    <row r="453" spans="1:26" x14ac:dyDescent="0.2">
      <c r="A453" s="1338"/>
      <c r="B453" s="1339"/>
      <c r="C453" s="1340"/>
      <c r="D453" s="1341"/>
      <c r="E453" s="1338"/>
      <c r="F453" s="1339"/>
      <c r="G453" s="1340"/>
      <c r="H453" s="1341"/>
      <c r="I453" s="1338"/>
      <c r="J453" s="1339"/>
      <c r="K453" s="1340"/>
      <c r="L453" s="1341"/>
      <c r="M453" s="1338"/>
      <c r="N453" s="1339"/>
      <c r="O453" s="1340"/>
      <c r="P453" s="1341"/>
      <c r="X453" s="1343" t="e">
        <f ca="1"/>
        <v>#NAME?</v>
      </c>
      <c r="Y453" s="1344" t="e">
        <f ca="1"/>
        <v>#NAME?</v>
      </c>
      <c r="Z453" s="1247"/>
    </row>
    <row r="454" spans="1:26" x14ac:dyDescent="0.2">
      <c r="A454" s="1338"/>
      <c r="B454" s="1339"/>
      <c r="C454" s="1340"/>
      <c r="D454" s="1341"/>
      <c r="E454" s="1338"/>
      <c r="F454" s="1339"/>
      <c r="G454" s="1340"/>
      <c r="H454" s="1341"/>
      <c r="I454" s="1338"/>
      <c r="J454" s="1339"/>
      <c r="K454" s="1340"/>
      <c r="L454" s="1341"/>
      <c r="M454" s="1338"/>
      <c r="N454" s="1339"/>
      <c r="O454" s="1340"/>
      <c r="P454" s="1341"/>
      <c r="X454" s="1343" t="e">
        <f ca="1"/>
        <v>#NAME?</v>
      </c>
      <c r="Y454" s="1344" t="e">
        <f ca="1"/>
        <v>#NAME?</v>
      </c>
      <c r="Z454" s="1247"/>
    </row>
    <row r="455" spans="1:26" x14ac:dyDescent="0.2">
      <c r="A455" s="1338"/>
      <c r="B455" s="1339"/>
      <c r="C455" s="1340"/>
      <c r="D455" s="1341"/>
      <c r="E455" s="1338"/>
      <c r="F455" s="1339"/>
      <c r="G455" s="1340"/>
      <c r="H455" s="1341"/>
      <c r="I455" s="1338"/>
      <c r="J455" s="1339"/>
      <c r="K455" s="1340"/>
      <c r="L455" s="1341"/>
      <c r="M455" s="1338"/>
      <c r="N455" s="1339"/>
      <c r="O455" s="1340"/>
      <c r="P455" s="1341"/>
      <c r="X455" s="1343" t="e">
        <f ca="1"/>
        <v>#NAME?</v>
      </c>
      <c r="Y455" s="1344" t="e">
        <f ca="1"/>
        <v>#NAME?</v>
      </c>
      <c r="Z455" s="1247"/>
    </row>
    <row r="456" spans="1:26" x14ac:dyDescent="0.2">
      <c r="A456" s="1338"/>
      <c r="B456" s="1339"/>
      <c r="C456" s="1340"/>
      <c r="D456" s="1341"/>
      <c r="E456" s="1338"/>
      <c r="F456" s="1339"/>
      <c r="G456" s="1340"/>
      <c r="H456" s="1341"/>
      <c r="I456" s="1338"/>
      <c r="J456" s="1339"/>
      <c r="K456" s="1340"/>
      <c r="L456" s="1341"/>
      <c r="M456" s="1338"/>
      <c r="N456" s="1339"/>
      <c r="O456" s="1340"/>
      <c r="P456" s="1341"/>
      <c r="X456" s="1343" t="e">
        <f ca="1"/>
        <v>#NAME?</v>
      </c>
      <c r="Y456" s="1344" t="e">
        <f ca="1"/>
        <v>#NAME?</v>
      </c>
      <c r="Z456" s="1247"/>
    </row>
    <row r="457" spans="1:26" x14ac:dyDescent="0.2">
      <c r="A457" s="1338"/>
      <c r="B457" s="1339"/>
      <c r="C457" s="1340"/>
      <c r="D457" s="1341"/>
      <c r="E457" s="1338"/>
      <c r="F457" s="1339"/>
      <c r="G457" s="1340"/>
      <c r="H457" s="1341"/>
      <c r="I457" s="1338"/>
      <c r="J457" s="1339"/>
      <c r="K457" s="1340"/>
      <c r="L457" s="1341"/>
      <c r="M457" s="1338"/>
      <c r="N457" s="1339"/>
      <c r="O457" s="1340"/>
      <c r="P457" s="1341"/>
      <c r="X457" s="1343" t="e">
        <f ca="1"/>
        <v>#NAME?</v>
      </c>
      <c r="Y457" s="1344" t="e">
        <f ca="1"/>
        <v>#NAME?</v>
      </c>
      <c r="Z457" s="1247"/>
    </row>
    <row r="458" spans="1:26" x14ac:dyDescent="0.2">
      <c r="A458" s="1338"/>
      <c r="B458" s="1339"/>
      <c r="C458" s="1340"/>
      <c r="D458" s="1341"/>
      <c r="E458" s="1338"/>
      <c r="F458" s="1339"/>
      <c r="G458" s="1340"/>
      <c r="H458" s="1341"/>
      <c r="I458" s="1338"/>
      <c r="J458" s="1339"/>
      <c r="K458" s="1340"/>
      <c r="L458" s="1341"/>
      <c r="M458" s="1338"/>
      <c r="N458" s="1339"/>
      <c r="O458" s="1340"/>
      <c r="P458" s="1341"/>
      <c r="X458" s="1343" t="e">
        <f ca="1"/>
        <v>#NAME?</v>
      </c>
      <c r="Y458" s="1344" t="e">
        <f ca="1"/>
        <v>#NAME?</v>
      </c>
      <c r="Z458" s="1247"/>
    </row>
    <row r="459" spans="1:26" x14ac:dyDescent="0.2">
      <c r="A459" s="1338"/>
      <c r="B459" s="1339"/>
      <c r="C459" s="1340"/>
      <c r="D459" s="1341"/>
      <c r="E459" s="1338"/>
      <c r="F459" s="1339"/>
      <c r="G459" s="1340"/>
      <c r="H459" s="1341"/>
      <c r="I459" s="1338"/>
      <c r="J459" s="1339"/>
      <c r="K459" s="1340"/>
      <c r="L459" s="1341"/>
      <c r="M459" s="1338"/>
      <c r="N459" s="1339"/>
      <c r="O459" s="1340"/>
      <c r="P459" s="1341"/>
      <c r="X459" s="1343" t="e">
        <f ca="1"/>
        <v>#NAME?</v>
      </c>
      <c r="Y459" s="1344" t="e">
        <f ca="1"/>
        <v>#NAME?</v>
      </c>
      <c r="Z459" s="1247"/>
    </row>
    <row r="460" spans="1:26" x14ac:dyDescent="0.2">
      <c r="A460" s="1338"/>
      <c r="B460" s="1339"/>
      <c r="C460" s="1340"/>
      <c r="D460" s="1341"/>
      <c r="E460" s="1338"/>
      <c r="F460" s="1339"/>
      <c r="G460" s="1340"/>
      <c r="H460" s="1341"/>
      <c r="I460" s="1338"/>
      <c r="J460" s="1339"/>
      <c r="K460" s="1340"/>
      <c r="L460" s="1341"/>
      <c r="M460" s="1338"/>
      <c r="N460" s="1339"/>
      <c r="O460" s="1340"/>
      <c r="P460" s="1341"/>
      <c r="X460" s="1343" t="e">
        <f ca="1"/>
        <v>#NAME?</v>
      </c>
      <c r="Y460" s="1344" t="e">
        <f ca="1"/>
        <v>#NAME?</v>
      </c>
      <c r="Z460" s="1247"/>
    </row>
    <row r="461" spans="1:26" x14ac:dyDescent="0.2">
      <c r="A461" s="1338"/>
      <c r="B461" s="1339"/>
      <c r="C461" s="1340"/>
      <c r="D461" s="1341"/>
      <c r="E461" s="1338"/>
      <c r="F461" s="1339"/>
      <c r="G461" s="1340"/>
      <c r="H461" s="1341"/>
      <c r="I461" s="1338"/>
      <c r="J461" s="1339"/>
      <c r="K461" s="1340"/>
      <c r="L461" s="1341"/>
      <c r="M461" s="1338"/>
      <c r="N461" s="1339"/>
      <c r="O461" s="1340"/>
      <c r="P461" s="1341"/>
      <c r="X461" s="1343" t="e">
        <f ca="1"/>
        <v>#NAME?</v>
      </c>
      <c r="Y461" s="1344" t="e">
        <f ca="1"/>
        <v>#NAME?</v>
      </c>
      <c r="Z461" s="1247"/>
    </row>
    <row r="462" spans="1:26" x14ac:dyDescent="0.2">
      <c r="A462" s="1338"/>
      <c r="B462" s="1339"/>
      <c r="C462" s="1340"/>
      <c r="D462" s="1341"/>
      <c r="E462" s="1338"/>
      <c r="F462" s="1339"/>
      <c r="G462" s="1340"/>
      <c r="H462" s="1341"/>
      <c r="I462" s="1338"/>
      <c r="J462" s="1339"/>
      <c r="K462" s="1340"/>
      <c r="L462" s="1341"/>
      <c r="M462" s="1338"/>
      <c r="N462" s="1339"/>
      <c r="O462" s="1340"/>
      <c r="P462" s="1341"/>
      <c r="X462" s="1343" t="e">
        <f ca="1"/>
        <v>#NAME?</v>
      </c>
      <c r="Y462" s="1344" t="e">
        <f ca="1"/>
        <v>#NAME?</v>
      </c>
      <c r="Z462" s="1247"/>
    </row>
    <row r="463" spans="1:26" x14ac:dyDescent="0.2">
      <c r="A463" s="1338"/>
      <c r="B463" s="1339"/>
      <c r="C463" s="1340"/>
      <c r="D463" s="1341"/>
      <c r="E463" s="1338"/>
      <c r="F463" s="1339"/>
      <c r="G463" s="1340"/>
      <c r="H463" s="1341"/>
      <c r="I463" s="1338"/>
      <c r="J463" s="1339"/>
      <c r="K463" s="1340"/>
      <c r="L463" s="1341"/>
      <c r="M463" s="1338"/>
      <c r="N463" s="1339"/>
      <c r="O463" s="1340"/>
      <c r="P463" s="1341"/>
      <c r="X463" s="1343" t="e">
        <f ca="1"/>
        <v>#NAME?</v>
      </c>
      <c r="Y463" s="1344" t="e">
        <f ca="1"/>
        <v>#NAME?</v>
      </c>
      <c r="Z463" s="1247"/>
    </row>
    <row r="464" spans="1:26" x14ac:dyDescent="0.2">
      <c r="A464" s="1338"/>
      <c r="B464" s="1339"/>
      <c r="C464" s="1340"/>
      <c r="D464" s="1341"/>
      <c r="E464" s="1338"/>
      <c r="F464" s="1339"/>
      <c r="G464" s="1340"/>
      <c r="H464" s="1341"/>
      <c r="I464" s="1338"/>
      <c r="J464" s="1339"/>
      <c r="K464" s="1340"/>
      <c r="L464" s="1341"/>
      <c r="M464" s="1338"/>
      <c r="N464" s="1339"/>
      <c r="O464" s="1340"/>
      <c r="P464" s="1341"/>
      <c r="X464" s="1343" t="e">
        <f ca="1"/>
        <v>#NAME?</v>
      </c>
      <c r="Y464" s="1344" t="e">
        <f ca="1"/>
        <v>#NAME?</v>
      </c>
      <c r="Z464" s="1247"/>
    </row>
    <row r="465" spans="1:26" x14ac:dyDescent="0.2">
      <c r="A465" s="1338"/>
      <c r="B465" s="1339"/>
      <c r="C465" s="1340"/>
      <c r="D465" s="1341"/>
      <c r="E465" s="1338"/>
      <c r="F465" s="1339"/>
      <c r="G465" s="1340"/>
      <c r="H465" s="1341"/>
      <c r="I465" s="1338"/>
      <c r="J465" s="1339"/>
      <c r="K465" s="1340"/>
      <c r="L465" s="1341"/>
      <c r="M465" s="1338"/>
      <c r="N465" s="1339"/>
      <c r="O465" s="1340"/>
      <c r="P465" s="1341"/>
      <c r="X465" s="1343" t="e">
        <f ca="1"/>
        <v>#NAME?</v>
      </c>
      <c r="Y465" s="1344" t="e">
        <f ca="1"/>
        <v>#NAME?</v>
      </c>
      <c r="Z465" s="1247"/>
    </row>
    <row r="466" spans="1:26" x14ac:dyDescent="0.2">
      <c r="A466" s="1338"/>
      <c r="B466" s="1339"/>
      <c r="C466" s="1340"/>
      <c r="D466" s="1341"/>
      <c r="E466" s="1338"/>
      <c r="F466" s="1339"/>
      <c r="G466" s="1340"/>
      <c r="H466" s="1341"/>
      <c r="I466" s="1338"/>
      <c r="J466" s="1339"/>
      <c r="K466" s="1340"/>
      <c r="L466" s="1341"/>
      <c r="M466" s="1338"/>
      <c r="N466" s="1339"/>
      <c r="O466" s="1340"/>
      <c r="P466" s="1341"/>
      <c r="X466" s="1343" t="e">
        <f ca="1"/>
        <v>#NAME?</v>
      </c>
      <c r="Y466" s="1344" t="e">
        <f ca="1"/>
        <v>#NAME?</v>
      </c>
      <c r="Z466" s="1247"/>
    </row>
    <row r="467" spans="1:26" x14ac:dyDescent="0.2">
      <c r="A467" s="1338"/>
      <c r="B467" s="1339"/>
      <c r="C467" s="1340"/>
      <c r="D467" s="1341"/>
      <c r="E467" s="1338"/>
      <c r="F467" s="1339"/>
      <c r="G467" s="1340"/>
      <c r="H467" s="1341"/>
      <c r="I467" s="1338"/>
      <c r="J467" s="1339"/>
      <c r="K467" s="1340"/>
      <c r="L467" s="1341"/>
      <c r="M467" s="1338"/>
      <c r="N467" s="1339"/>
      <c r="O467" s="1340"/>
      <c r="P467" s="1341"/>
      <c r="X467" s="1343" t="e">
        <f ca="1"/>
        <v>#NAME?</v>
      </c>
      <c r="Y467" s="1344" t="e">
        <f ca="1"/>
        <v>#NAME?</v>
      </c>
      <c r="Z467" s="1247"/>
    </row>
    <row r="468" spans="1:26" x14ac:dyDescent="0.2">
      <c r="A468" s="1338"/>
      <c r="B468" s="1339"/>
      <c r="C468" s="1340"/>
      <c r="D468" s="1341"/>
      <c r="E468" s="1338"/>
      <c r="F468" s="1339"/>
      <c r="G468" s="1340"/>
      <c r="H468" s="1341"/>
      <c r="I468" s="1338"/>
      <c r="J468" s="1339"/>
      <c r="K468" s="1340"/>
      <c r="L468" s="1341"/>
      <c r="M468" s="1338"/>
      <c r="N468" s="1339"/>
      <c r="O468" s="1340"/>
      <c r="P468" s="1341"/>
      <c r="X468" s="1343" t="e">
        <f ca="1"/>
        <v>#NAME?</v>
      </c>
      <c r="Y468" s="1344" t="e">
        <f ca="1"/>
        <v>#NAME?</v>
      </c>
      <c r="Z468" s="1247"/>
    </row>
    <row r="469" spans="1:26" x14ac:dyDescent="0.2">
      <c r="A469" s="1338"/>
      <c r="B469" s="1339"/>
      <c r="C469" s="1340"/>
      <c r="D469" s="1341"/>
      <c r="E469" s="1338"/>
      <c r="F469" s="1339"/>
      <c r="G469" s="1340"/>
      <c r="H469" s="1341"/>
      <c r="I469" s="1338"/>
      <c r="J469" s="1339"/>
      <c r="K469" s="1340"/>
      <c r="L469" s="1341"/>
      <c r="M469" s="1338"/>
      <c r="N469" s="1339"/>
      <c r="O469" s="1340"/>
      <c r="P469" s="1341"/>
      <c r="X469" s="1343" t="e">
        <f ca="1"/>
        <v>#NAME?</v>
      </c>
      <c r="Y469" s="1344" t="e">
        <f ca="1"/>
        <v>#NAME?</v>
      </c>
      <c r="Z469" s="1247"/>
    </row>
    <row r="470" spans="1:26" x14ac:dyDescent="0.2">
      <c r="A470" s="1338"/>
      <c r="B470" s="1339"/>
      <c r="C470" s="1340"/>
      <c r="D470" s="1341"/>
      <c r="E470" s="1338"/>
      <c r="F470" s="1339"/>
      <c r="G470" s="1340"/>
      <c r="H470" s="1341"/>
      <c r="I470" s="1338"/>
      <c r="J470" s="1339"/>
      <c r="K470" s="1340"/>
      <c r="L470" s="1341"/>
      <c r="M470" s="1338"/>
      <c r="N470" s="1339"/>
      <c r="O470" s="1340"/>
      <c r="P470" s="1341"/>
      <c r="X470" s="1343" t="e">
        <f ca="1"/>
        <v>#NAME?</v>
      </c>
      <c r="Y470" s="1344" t="e">
        <f ca="1"/>
        <v>#NAME?</v>
      </c>
      <c r="Z470" s="1247"/>
    </row>
    <row r="471" spans="1:26" x14ac:dyDescent="0.2">
      <c r="A471" s="1338"/>
      <c r="B471" s="1339"/>
      <c r="C471" s="1340"/>
      <c r="D471" s="1341"/>
      <c r="E471" s="1338"/>
      <c r="F471" s="1339"/>
      <c r="G471" s="1340"/>
      <c r="H471" s="1341"/>
      <c r="I471" s="1338"/>
      <c r="J471" s="1339"/>
      <c r="K471" s="1340"/>
      <c r="L471" s="1341"/>
      <c r="M471" s="1338"/>
      <c r="N471" s="1339"/>
      <c r="O471" s="1340"/>
      <c r="P471" s="1341"/>
      <c r="X471" s="1343" t="e">
        <f ca="1"/>
        <v>#NAME?</v>
      </c>
      <c r="Y471" s="1344" t="e">
        <f ca="1"/>
        <v>#NAME?</v>
      </c>
      <c r="Z471" s="1247"/>
    </row>
    <row r="472" spans="1:26" x14ac:dyDescent="0.2">
      <c r="A472" s="1338"/>
      <c r="B472" s="1339"/>
      <c r="C472" s="1340"/>
      <c r="D472" s="1341"/>
      <c r="E472" s="1338"/>
      <c r="F472" s="1339"/>
      <c r="G472" s="1340"/>
      <c r="H472" s="1341"/>
      <c r="I472" s="1338"/>
      <c r="J472" s="1339"/>
      <c r="K472" s="1340"/>
      <c r="L472" s="1341"/>
      <c r="M472" s="1338"/>
      <c r="N472" s="1339"/>
      <c r="O472" s="1340"/>
      <c r="P472" s="1341"/>
      <c r="X472" s="1343" t="e">
        <f ca="1"/>
        <v>#NAME?</v>
      </c>
      <c r="Y472" s="1344" t="e">
        <f ca="1"/>
        <v>#NAME?</v>
      </c>
      <c r="Z472" s="1247"/>
    </row>
    <row r="473" spans="1:26" x14ac:dyDescent="0.2">
      <c r="A473" s="1338"/>
      <c r="B473" s="1339"/>
      <c r="C473" s="1340"/>
      <c r="D473" s="1341"/>
      <c r="E473" s="1338"/>
      <c r="F473" s="1339"/>
      <c r="G473" s="1340"/>
      <c r="H473" s="1341"/>
      <c r="I473" s="1338"/>
      <c r="J473" s="1339"/>
      <c r="K473" s="1340"/>
      <c r="L473" s="1341"/>
      <c r="M473" s="1338"/>
      <c r="N473" s="1339"/>
      <c r="O473" s="1340"/>
      <c r="P473" s="1341"/>
      <c r="X473" s="1343" t="e">
        <f ca="1"/>
        <v>#NAME?</v>
      </c>
      <c r="Y473" s="1344" t="e">
        <f ca="1"/>
        <v>#NAME?</v>
      </c>
      <c r="Z473" s="1247"/>
    </row>
    <row r="474" spans="1:26" x14ac:dyDescent="0.2">
      <c r="A474" s="1338"/>
      <c r="B474" s="1339"/>
      <c r="C474" s="1340"/>
      <c r="D474" s="1341"/>
      <c r="E474" s="1338"/>
      <c r="F474" s="1339"/>
      <c r="G474" s="1340"/>
      <c r="H474" s="1341"/>
      <c r="I474" s="1338"/>
      <c r="J474" s="1339"/>
      <c r="K474" s="1340"/>
      <c r="L474" s="1341"/>
      <c r="M474" s="1338"/>
      <c r="N474" s="1339"/>
      <c r="O474" s="1340"/>
      <c r="P474" s="1341"/>
      <c r="X474" s="1343" t="e">
        <f ca="1"/>
        <v>#NAME?</v>
      </c>
      <c r="Y474" s="1344" t="e">
        <f ca="1"/>
        <v>#NAME?</v>
      </c>
      <c r="Z474" s="1247"/>
    </row>
    <row r="475" spans="1:26" x14ac:dyDescent="0.2">
      <c r="A475" s="1338"/>
      <c r="B475" s="1339"/>
      <c r="C475" s="1340"/>
      <c r="D475" s="1341"/>
      <c r="E475" s="1338"/>
      <c r="F475" s="1339"/>
      <c r="G475" s="1340"/>
      <c r="H475" s="1341"/>
      <c r="I475" s="1338"/>
      <c r="J475" s="1339"/>
      <c r="K475" s="1340"/>
      <c r="L475" s="1341"/>
      <c r="M475" s="1338"/>
      <c r="N475" s="1339"/>
      <c r="O475" s="1340"/>
      <c r="P475" s="1341"/>
      <c r="X475" s="1343" t="e">
        <f ca="1"/>
        <v>#NAME?</v>
      </c>
      <c r="Y475" s="1344" t="e">
        <f ca="1"/>
        <v>#NAME?</v>
      </c>
      <c r="Z475" s="1247"/>
    </row>
    <row r="476" spans="1:26" x14ac:dyDescent="0.2">
      <c r="A476" s="1338"/>
      <c r="B476" s="1339"/>
      <c r="C476" s="1340"/>
      <c r="D476" s="1341"/>
      <c r="E476" s="1338"/>
      <c r="F476" s="1339"/>
      <c r="G476" s="1340"/>
      <c r="H476" s="1341"/>
      <c r="I476" s="1338"/>
      <c r="J476" s="1339"/>
      <c r="K476" s="1340"/>
      <c r="L476" s="1341"/>
      <c r="M476" s="1338"/>
      <c r="N476" s="1339"/>
      <c r="O476" s="1340"/>
      <c r="P476" s="1341"/>
      <c r="X476" s="1343" t="e">
        <f ca="1"/>
        <v>#NAME?</v>
      </c>
      <c r="Y476" s="1344" t="e">
        <f ca="1"/>
        <v>#NAME?</v>
      </c>
      <c r="Z476" s="1247"/>
    </row>
    <row r="477" spans="1:26" x14ac:dyDescent="0.2">
      <c r="A477" s="1338"/>
      <c r="B477" s="1339"/>
      <c r="C477" s="1340"/>
      <c r="D477" s="1341"/>
      <c r="E477" s="1338"/>
      <c r="F477" s="1339"/>
      <c r="G477" s="1340"/>
      <c r="H477" s="1341"/>
      <c r="I477" s="1338"/>
      <c r="J477" s="1339"/>
      <c r="K477" s="1340"/>
      <c r="L477" s="1341"/>
      <c r="M477" s="1338"/>
      <c r="N477" s="1339"/>
      <c r="O477" s="1340"/>
      <c r="P477" s="1341"/>
      <c r="X477" s="1343" t="e">
        <f ca="1"/>
        <v>#NAME?</v>
      </c>
      <c r="Y477" s="1344" t="e">
        <f ca="1"/>
        <v>#NAME?</v>
      </c>
      <c r="Z477" s="1247"/>
    </row>
    <row r="478" spans="1:26" x14ac:dyDescent="0.2">
      <c r="A478" s="1338"/>
      <c r="B478" s="1339"/>
      <c r="C478" s="1340"/>
      <c r="D478" s="1341"/>
      <c r="E478" s="1338"/>
      <c r="F478" s="1339"/>
      <c r="G478" s="1340"/>
      <c r="H478" s="1341"/>
      <c r="I478" s="1338"/>
      <c r="J478" s="1339"/>
      <c r="K478" s="1340"/>
      <c r="L478" s="1341"/>
      <c r="M478" s="1338"/>
      <c r="N478" s="1339"/>
      <c r="O478" s="1340"/>
      <c r="P478" s="1341"/>
      <c r="X478" s="1343" t="e">
        <f ca="1"/>
        <v>#NAME?</v>
      </c>
      <c r="Y478" s="1344" t="e">
        <f ca="1"/>
        <v>#NAME?</v>
      </c>
      <c r="Z478" s="1247"/>
    </row>
    <row r="479" spans="1:26" x14ac:dyDescent="0.2">
      <c r="A479" s="1338"/>
      <c r="B479" s="1339"/>
      <c r="C479" s="1340"/>
      <c r="D479" s="1341"/>
      <c r="E479" s="1338"/>
      <c r="F479" s="1339"/>
      <c r="G479" s="1340"/>
      <c r="H479" s="1341"/>
      <c r="I479" s="1338"/>
      <c r="J479" s="1339"/>
      <c r="K479" s="1340"/>
      <c r="L479" s="1341"/>
      <c r="M479" s="1338"/>
      <c r="N479" s="1339"/>
      <c r="O479" s="1340"/>
      <c r="P479" s="1341"/>
      <c r="X479" s="1343" t="e">
        <f ca="1"/>
        <v>#NAME?</v>
      </c>
      <c r="Y479" s="1344" t="e">
        <f ca="1"/>
        <v>#NAME?</v>
      </c>
      <c r="Z479" s="1247"/>
    </row>
    <row r="480" spans="1:26" x14ac:dyDescent="0.2">
      <c r="A480" s="1338"/>
      <c r="B480" s="1339"/>
      <c r="C480" s="1340"/>
      <c r="D480" s="1341"/>
      <c r="E480" s="1338"/>
      <c r="F480" s="1339"/>
      <c r="G480" s="1340"/>
      <c r="H480" s="1341"/>
      <c r="I480" s="1338"/>
      <c r="J480" s="1339"/>
      <c r="K480" s="1340"/>
      <c r="L480" s="1341"/>
      <c r="M480" s="1338"/>
      <c r="N480" s="1339"/>
      <c r="O480" s="1340"/>
      <c r="P480" s="1341"/>
      <c r="X480" s="1343" t="e">
        <f ca="1"/>
        <v>#NAME?</v>
      </c>
      <c r="Y480" s="1344" t="e">
        <f ca="1"/>
        <v>#NAME?</v>
      </c>
      <c r="Z480" s="1247"/>
    </row>
    <row r="481" spans="1:26" x14ac:dyDescent="0.2">
      <c r="A481" s="1338"/>
      <c r="B481" s="1339"/>
      <c r="C481" s="1340"/>
      <c r="D481" s="1341"/>
      <c r="E481" s="1338"/>
      <c r="F481" s="1339"/>
      <c r="G481" s="1340"/>
      <c r="H481" s="1341"/>
      <c r="I481" s="1338"/>
      <c r="J481" s="1339"/>
      <c r="K481" s="1340"/>
      <c r="L481" s="1341"/>
      <c r="M481" s="1338"/>
      <c r="N481" s="1339"/>
      <c r="O481" s="1340"/>
      <c r="P481" s="1341"/>
      <c r="X481" s="1343" t="e">
        <f ca="1"/>
        <v>#NAME?</v>
      </c>
      <c r="Y481" s="1344" t="e">
        <f ca="1"/>
        <v>#NAME?</v>
      </c>
      <c r="Z481" s="1247"/>
    </row>
    <row r="482" spans="1:26" x14ac:dyDescent="0.2">
      <c r="A482" s="1338"/>
      <c r="B482" s="1339"/>
      <c r="C482" s="1340"/>
      <c r="D482" s="1341"/>
      <c r="E482" s="1338"/>
      <c r="F482" s="1339"/>
      <c r="G482" s="1340"/>
      <c r="H482" s="1341"/>
      <c r="I482" s="1338"/>
      <c r="J482" s="1339"/>
      <c r="K482" s="1340"/>
      <c r="L482" s="1341"/>
      <c r="M482" s="1338"/>
      <c r="N482" s="1339"/>
      <c r="O482" s="1340"/>
      <c r="P482" s="1341"/>
      <c r="X482" s="1343" t="e">
        <f ca="1"/>
        <v>#NAME?</v>
      </c>
      <c r="Y482" s="1344" t="e">
        <f ca="1"/>
        <v>#NAME?</v>
      </c>
      <c r="Z482" s="1247"/>
    </row>
    <row r="483" spans="1:26" x14ac:dyDescent="0.2">
      <c r="A483" s="1338"/>
      <c r="B483" s="1339"/>
      <c r="C483" s="1340"/>
      <c r="D483" s="1341"/>
      <c r="E483" s="1338"/>
      <c r="F483" s="1339"/>
      <c r="G483" s="1340"/>
      <c r="H483" s="1341"/>
      <c r="I483" s="1338"/>
      <c r="J483" s="1339"/>
      <c r="K483" s="1340"/>
      <c r="L483" s="1341"/>
      <c r="M483" s="1338"/>
      <c r="N483" s="1339"/>
      <c r="O483" s="1340"/>
      <c r="P483" s="1341"/>
      <c r="X483" s="1343" t="e">
        <f ca="1"/>
        <v>#NAME?</v>
      </c>
      <c r="Y483" s="1344" t="e">
        <f ca="1"/>
        <v>#NAME?</v>
      </c>
      <c r="Z483" s="1247"/>
    </row>
    <row r="484" spans="1:26" x14ac:dyDescent="0.2">
      <c r="A484" s="1338"/>
      <c r="B484" s="1339"/>
      <c r="C484" s="1340"/>
      <c r="D484" s="1341"/>
      <c r="E484" s="1338"/>
      <c r="F484" s="1339"/>
      <c r="G484" s="1340"/>
      <c r="H484" s="1341"/>
      <c r="I484" s="1338"/>
      <c r="J484" s="1339"/>
      <c r="K484" s="1340"/>
      <c r="L484" s="1341"/>
      <c r="M484" s="1338"/>
      <c r="N484" s="1339"/>
      <c r="O484" s="1340"/>
      <c r="P484" s="1341"/>
      <c r="X484" s="1343" t="e">
        <f ca="1"/>
        <v>#NAME?</v>
      </c>
      <c r="Y484" s="1344" t="e">
        <f ca="1"/>
        <v>#NAME?</v>
      </c>
      <c r="Z484" s="1247"/>
    </row>
    <row r="485" spans="1:26" x14ac:dyDescent="0.2">
      <c r="A485" s="1338"/>
      <c r="B485" s="1339"/>
      <c r="C485" s="1340"/>
      <c r="D485" s="1341"/>
      <c r="E485" s="1338"/>
      <c r="F485" s="1339"/>
      <c r="G485" s="1340"/>
      <c r="H485" s="1341"/>
      <c r="I485" s="1338"/>
      <c r="J485" s="1339"/>
      <c r="K485" s="1340"/>
      <c r="L485" s="1341"/>
      <c r="M485" s="1338"/>
      <c r="N485" s="1339"/>
      <c r="O485" s="1340"/>
      <c r="P485" s="1341"/>
      <c r="X485" s="1343" t="e">
        <f ca="1"/>
        <v>#NAME?</v>
      </c>
      <c r="Y485" s="1344" t="e">
        <f ca="1"/>
        <v>#NAME?</v>
      </c>
      <c r="Z485" s="1247"/>
    </row>
    <row r="486" spans="1:26" x14ac:dyDescent="0.2">
      <c r="A486" s="1338"/>
      <c r="B486" s="1339"/>
      <c r="C486" s="1340"/>
      <c r="D486" s="1341"/>
      <c r="E486" s="1338"/>
      <c r="F486" s="1339"/>
      <c r="G486" s="1340"/>
      <c r="H486" s="1341"/>
      <c r="I486" s="1338"/>
      <c r="J486" s="1339"/>
      <c r="K486" s="1340"/>
      <c r="L486" s="1341"/>
      <c r="M486" s="1338"/>
      <c r="N486" s="1339"/>
      <c r="O486" s="1340"/>
      <c r="P486" s="1341"/>
      <c r="X486" s="1343" t="e">
        <f ca="1"/>
        <v>#NAME?</v>
      </c>
      <c r="Y486" s="1344" t="e">
        <f ca="1"/>
        <v>#NAME?</v>
      </c>
      <c r="Z486" s="1247"/>
    </row>
    <row r="487" spans="1:26" x14ac:dyDescent="0.2">
      <c r="A487" s="1338"/>
      <c r="B487" s="1339"/>
      <c r="C487" s="1340"/>
      <c r="D487" s="1341"/>
      <c r="E487" s="1338"/>
      <c r="F487" s="1339"/>
      <c r="G487" s="1340"/>
      <c r="H487" s="1341"/>
      <c r="I487" s="1338"/>
      <c r="J487" s="1339"/>
      <c r="K487" s="1340"/>
      <c r="L487" s="1341"/>
      <c r="M487" s="1338"/>
      <c r="N487" s="1339"/>
      <c r="O487" s="1340"/>
      <c r="P487" s="1341"/>
      <c r="X487" s="1343" t="e">
        <f ca="1"/>
        <v>#NAME?</v>
      </c>
      <c r="Y487" s="1344" t="e">
        <f ca="1"/>
        <v>#NAME?</v>
      </c>
      <c r="Z487" s="1247"/>
    </row>
    <row r="488" spans="1:26" x14ac:dyDescent="0.2">
      <c r="A488" s="1338"/>
      <c r="B488" s="1339"/>
      <c r="C488" s="1340"/>
      <c r="D488" s="1341"/>
      <c r="E488" s="1338"/>
      <c r="F488" s="1339"/>
      <c r="G488" s="1340"/>
      <c r="H488" s="1341"/>
      <c r="I488" s="1338"/>
      <c r="J488" s="1339"/>
      <c r="K488" s="1340"/>
      <c r="L488" s="1341"/>
      <c r="M488" s="1338"/>
      <c r="N488" s="1339"/>
      <c r="O488" s="1340"/>
      <c r="P488" s="1341"/>
      <c r="X488" s="1343" t="e">
        <f ca="1"/>
        <v>#NAME?</v>
      </c>
      <c r="Y488" s="1344" t="e">
        <f ca="1"/>
        <v>#NAME?</v>
      </c>
      <c r="Z488" s="1247"/>
    </row>
    <row r="489" spans="1:26" x14ac:dyDescent="0.2">
      <c r="A489" s="1338"/>
      <c r="B489" s="1339"/>
      <c r="C489" s="1340"/>
      <c r="D489" s="1341"/>
      <c r="E489" s="1338"/>
      <c r="F489" s="1339"/>
      <c r="G489" s="1340"/>
      <c r="H489" s="1341"/>
      <c r="I489" s="1338"/>
      <c r="J489" s="1339"/>
      <c r="K489" s="1340"/>
      <c r="L489" s="1341"/>
      <c r="M489" s="1338"/>
      <c r="N489" s="1339"/>
      <c r="O489" s="1340"/>
      <c r="P489" s="1341"/>
      <c r="X489" s="1343" t="e">
        <f ca="1"/>
        <v>#NAME?</v>
      </c>
      <c r="Y489" s="1344" t="e">
        <f ca="1"/>
        <v>#NAME?</v>
      </c>
      <c r="Z489" s="1247"/>
    </row>
    <row r="490" spans="1:26" x14ac:dyDescent="0.2">
      <c r="A490" s="1338"/>
      <c r="B490" s="1339"/>
      <c r="C490" s="1340"/>
      <c r="D490" s="1341"/>
      <c r="E490" s="1338"/>
      <c r="F490" s="1339"/>
      <c r="G490" s="1340"/>
      <c r="H490" s="1341"/>
      <c r="I490" s="1338"/>
      <c r="J490" s="1339"/>
      <c r="K490" s="1340"/>
      <c r="L490" s="1341"/>
      <c r="M490" s="1338"/>
      <c r="N490" s="1339"/>
      <c r="O490" s="1340"/>
      <c r="P490" s="1341"/>
      <c r="X490" s="1343" t="e">
        <f ca="1"/>
        <v>#NAME?</v>
      </c>
      <c r="Y490" s="1344" t="e">
        <f ca="1"/>
        <v>#NAME?</v>
      </c>
      <c r="Z490" s="1247"/>
    </row>
    <row r="491" spans="1:26" x14ac:dyDescent="0.2">
      <c r="A491" s="1338"/>
      <c r="B491" s="1339"/>
      <c r="C491" s="1340"/>
      <c r="D491" s="1341"/>
      <c r="E491" s="1338"/>
      <c r="F491" s="1339"/>
      <c r="G491" s="1340"/>
      <c r="H491" s="1341"/>
      <c r="I491" s="1338"/>
      <c r="J491" s="1339"/>
      <c r="K491" s="1340"/>
      <c r="L491" s="1341"/>
      <c r="M491" s="1338"/>
      <c r="N491" s="1339"/>
      <c r="O491" s="1340"/>
      <c r="P491" s="1341"/>
      <c r="X491" s="1343" t="e">
        <f ca="1"/>
        <v>#NAME?</v>
      </c>
      <c r="Y491" s="1344" t="e">
        <f ca="1"/>
        <v>#NAME?</v>
      </c>
      <c r="Z491" s="1247"/>
    </row>
    <row r="492" spans="1:26" x14ac:dyDescent="0.2">
      <c r="A492" s="1338"/>
      <c r="B492" s="1339"/>
      <c r="C492" s="1340"/>
      <c r="D492" s="1341"/>
      <c r="E492" s="1338"/>
      <c r="F492" s="1339"/>
      <c r="G492" s="1340"/>
      <c r="H492" s="1341"/>
      <c r="I492" s="1338"/>
      <c r="J492" s="1339"/>
      <c r="K492" s="1340"/>
      <c r="L492" s="1341"/>
      <c r="M492" s="1338"/>
      <c r="N492" s="1339"/>
      <c r="O492" s="1340"/>
      <c r="P492" s="1341"/>
      <c r="X492" s="1343" t="e">
        <f ca="1"/>
        <v>#NAME?</v>
      </c>
      <c r="Y492" s="1344" t="e">
        <f ca="1"/>
        <v>#NAME?</v>
      </c>
      <c r="Z492" s="1247"/>
    </row>
    <row r="493" spans="1:26" x14ac:dyDescent="0.2">
      <c r="A493" s="1338"/>
      <c r="B493" s="1339"/>
      <c r="C493" s="1340"/>
      <c r="D493" s="1341"/>
      <c r="E493" s="1338"/>
      <c r="F493" s="1339"/>
      <c r="G493" s="1340"/>
      <c r="H493" s="1341"/>
      <c r="I493" s="1338"/>
      <c r="J493" s="1339"/>
      <c r="K493" s="1340"/>
      <c r="L493" s="1341"/>
      <c r="M493" s="1338"/>
      <c r="N493" s="1339"/>
      <c r="O493" s="1340"/>
      <c r="P493" s="1341"/>
      <c r="X493" s="1343" t="e">
        <f ca="1"/>
        <v>#NAME?</v>
      </c>
      <c r="Y493" s="1344" t="e">
        <f ca="1"/>
        <v>#NAME?</v>
      </c>
      <c r="Z493" s="1247"/>
    </row>
    <row r="494" spans="1:26" x14ac:dyDescent="0.2">
      <c r="A494" s="1338"/>
      <c r="B494" s="1339"/>
      <c r="C494" s="1340"/>
      <c r="D494" s="1341"/>
      <c r="E494" s="1338"/>
      <c r="F494" s="1339"/>
      <c r="G494" s="1340"/>
      <c r="H494" s="1341"/>
      <c r="I494" s="1338"/>
      <c r="J494" s="1339"/>
      <c r="K494" s="1340"/>
      <c r="L494" s="1341"/>
      <c r="M494" s="1338"/>
      <c r="N494" s="1339"/>
      <c r="O494" s="1340"/>
      <c r="P494" s="1341"/>
      <c r="X494" s="1343" t="e">
        <f ca="1"/>
        <v>#NAME?</v>
      </c>
      <c r="Y494" s="1344" t="e">
        <f ca="1"/>
        <v>#NAME?</v>
      </c>
      <c r="Z494" s="1247"/>
    </row>
    <row r="495" spans="1:26" x14ac:dyDescent="0.2">
      <c r="A495" s="1338"/>
      <c r="B495" s="1339"/>
      <c r="C495" s="1340"/>
      <c r="D495" s="1341"/>
      <c r="E495" s="1338"/>
      <c r="F495" s="1339"/>
      <c r="G495" s="1340"/>
      <c r="H495" s="1341"/>
      <c r="I495" s="1338"/>
      <c r="J495" s="1339"/>
      <c r="K495" s="1340"/>
      <c r="L495" s="1341"/>
      <c r="M495" s="1338"/>
      <c r="N495" s="1339"/>
      <c r="O495" s="1340"/>
      <c r="P495" s="1341"/>
      <c r="X495" s="1343" t="e">
        <f ca="1"/>
        <v>#NAME?</v>
      </c>
      <c r="Y495" s="1344" t="e">
        <f ca="1"/>
        <v>#NAME?</v>
      </c>
      <c r="Z495" s="1247"/>
    </row>
    <row r="496" spans="1:26" x14ac:dyDescent="0.2">
      <c r="A496" s="1338"/>
      <c r="B496" s="1339"/>
      <c r="C496" s="1340"/>
      <c r="D496" s="1341"/>
      <c r="E496" s="1338"/>
      <c r="F496" s="1339"/>
      <c r="G496" s="1340"/>
      <c r="H496" s="1341"/>
      <c r="I496" s="1338"/>
      <c r="J496" s="1339"/>
      <c r="K496" s="1340"/>
      <c r="L496" s="1341"/>
      <c r="M496" s="1338"/>
      <c r="N496" s="1339"/>
      <c r="O496" s="1340"/>
      <c r="P496" s="1341"/>
      <c r="X496" s="1343" t="e">
        <f ca="1"/>
        <v>#NAME?</v>
      </c>
      <c r="Y496" s="1344" t="e">
        <f ca="1"/>
        <v>#NAME?</v>
      </c>
      <c r="Z496" s="1247"/>
    </row>
    <row r="497" spans="1:26" x14ac:dyDescent="0.2">
      <c r="A497" s="1338"/>
      <c r="B497" s="1339"/>
      <c r="C497" s="1340"/>
      <c r="D497" s="1341"/>
      <c r="E497" s="1338"/>
      <c r="F497" s="1339"/>
      <c r="G497" s="1340"/>
      <c r="H497" s="1341"/>
      <c r="I497" s="1338"/>
      <c r="J497" s="1339"/>
      <c r="K497" s="1340"/>
      <c r="L497" s="1341"/>
      <c r="M497" s="1338"/>
      <c r="N497" s="1339"/>
      <c r="O497" s="1340"/>
      <c r="P497" s="1341"/>
      <c r="X497" s="1343" t="e">
        <f ca="1"/>
        <v>#NAME?</v>
      </c>
      <c r="Y497" s="1344" t="e">
        <f ca="1"/>
        <v>#NAME?</v>
      </c>
      <c r="Z497" s="1247"/>
    </row>
    <row r="498" spans="1:26" x14ac:dyDescent="0.2">
      <c r="A498" s="1338"/>
      <c r="B498" s="1339"/>
      <c r="C498" s="1340"/>
      <c r="D498" s="1341"/>
      <c r="E498" s="1338"/>
      <c r="F498" s="1339"/>
      <c r="G498" s="1340"/>
      <c r="H498" s="1341"/>
      <c r="I498" s="1338"/>
      <c r="J498" s="1339"/>
      <c r="K498" s="1340"/>
      <c r="L498" s="1341"/>
      <c r="M498" s="1338"/>
      <c r="N498" s="1339"/>
      <c r="O498" s="1340"/>
      <c r="P498" s="1341"/>
      <c r="X498" s="1343" t="e">
        <f ca="1"/>
        <v>#NAME?</v>
      </c>
      <c r="Y498" s="1344" t="e">
        <f ca="1"/>
        <v>#NAME?</v>
      </c>
      <c r="Z498" s="1247"/>
    </row>
    <row r="499" spans="1:26" x14ac:dyDescent="0.2">
      <c r="A499" s="1338"/>
      <c r="B499" s="1339"/>
      <c r="C499" s="1340"/>
      <c r="D499" s="1341"/>
      <c r="E499" s="1338"/>
      <c r="F499" s="1339"/>
      <c r="G499" s="1340"/>
      <c r="H499" s="1341"/>
      <c r="I499" s="1338"/>
      <c r="J499" s="1339"/>
      <c r="K499" s="1340"/>
      <c r="L499" s="1341"/>
      <c r="M499" s="1338"/>
      <c r="N499" s="1339"/>
      <c r="O499" s="1340"/>
      <c r="P499" s="1341"/>
      <c r="X499" s="1343" t="e">
        <f ca="1"/>
        <v>#NAME?</v>
      </c>
      <c r="Y499" s="1344" t="e">
        <f ca="1"/>
        <v>#NAME?</v>
      </c>
      <c r="Z499" s="1247"/>
    </row>
    <row r="500" spans="1:26" x14ac:dyDescent="0.2">
      <c r="A500" s="1338"/>
      <c r="B500" s="1339"/>
      <c r="C500" s="1340"/>
      <c r="D500" s="1341"/>
      <c r="E500" s="1338"/>
      <c r="F500" s="1339"/>
      <c r="G500" s="1340"/>
      <c r="H500" s="1341"/>
      <c r="I500" s="1338"/>
      <c r="J500" s="1339"/>
      <c r="K500" s="1340"/>
      <c r="L500" s="1341"/>
      <c r="M500" s="1338"/>
      <c r="N500" s="1339"/>
      <c r="O500" s="1340"/>
      <c r="P500" s="1341"/>
      <c r="X500" s="1343" t="e">
        <f ca="1"/>
        <v>#NAME?</v>
      </c>
      <c r="Y500" s="1344" t="e">
        <f ca="1"/>
        <v>#NAME?</v>
      </c>
      <c r="Z500" s="1247"/>
    </row>
    <row r="501" spans="1:26" x14ac:dyDescent="0.2">
      <c r="A501" s="1338"/>
      <c r="B501" s="1339"/>
      <c r="C501" s="1340"/>
      <c r="D501" s="1341"/>
      <c r="E501" s="1338"/>
      <c r="F501" s="1339"/>
      <c r="G501" s="1340"/>
      <c r="H501" s="1341"/>
      <c r="I501" s="1338"/>
      <c r="J501" s="1339"/>
      <c r="K501" s="1340"/>
      <c r="L501" s="1341"/>
      <c r="M501" s="1338"/>
      <c r="N501" s="1339"/>
      <c r="O501" s="1340"/>
      <c r="P501" s="1341"/>
      <c r="X501" s="1343" t="e">
        <f ca="1"/>
        <v>#NAME?</v>
      </c>
      <c r="Y501" s="1344" t="e">
        <f ca="1"/>
        <v>#NAME?</v>
      </c>
      <c r="Z501" s="1247"/>
    </row>
    <row r="502" spans="1:26" x14ac:dyDescent="0.2">
      <c r="A502" s="1338"/>
      <c r="B502" s="1339"/>
      <c r="C502" s="1340"/>
      <c r="D502" s="1341"/>
      <c r="E502" s="1338"/>
      <c r="F502" s="1339"/>
      <c r="G502" s="1340"/>
      <c r="H502" s="1341"/>
      <c r="I502" s="1338"/>
      <c r="J502" s="1339"/>
      <c r="K502" s="1340"/>
      <c r="L502" s="1341"/>
      <c r="M502" s="1338"/>
      <c r="N502" s="1339"/>
      <c r="O502" s="1340"/>
      <c r="P502" s="1341"/>
      <c r="X502" s="1343" t="e">
        <f ca="1"/>
        <v>#NAME?</v>
      </c>
      <c r="Y502" s="1344" t="e">
        <f ca="1"/>
        <v>#NAME?</v>
      </c>
      <c r="Z502" s="1247"/>
    </row>
    <row r="503" spans="1:26" x14ac:dyDescent="0.2">
      <c r="A503" s="1338"/>
      <c r="B503" s="1339"/>
      <c r="C503" s="1340"/>
      <c r="D503" s="1341"/>
      <c r="E503" s="1338"/>
      <c r="F503" s="1339"/>
      <c r="G503" s="1340"/>
      <c r="H503" s="1341"/>
      <c r="I503" s="1338"/>
      <c r="J503" s="1339"/>
      <c r="K503" s="1340"/>
      <c r="L503" s="1341"/>
      <c r="M503" s="1338"/>
      <c r="N503" s="1339"/>
      <c r="O503" s="1340"/>
      <c r="P503" s="1341"/>
      <c r="X503" s="1343" t="e">
        <f ca="1"/>
        <v>#NAME?</v>
      </c>
      <c r="Y503" s="1344" t="e">
        <f ca="1"/>
        <v>#NAME?</v>
      </c>
      <c r="Z503" s="1247"/>
    </row>
    <row r="504" spans="1:26" x14ac:dyDescent="0.2">
      <c r="A504" s="1338"/>
      <c r="B504" s="1339"/>
      <c r="C504" s="1340"/>
      <c r="D504" s="1341"/>
      <c r="E504" s="1338"/>
      <c r="F504" s="1339"/>
      <c r="G504" s="1340"/>
      <c r="H504" s="1341"/>
      <c r="I504" s="1338"/>
      <c r="J504" s="1339"/>
      <c r="K504" s="1340"/>
      <c r="L504" s="1341"/>
      <c r="M504" s="1338"/>
      <c r="N504" s="1339"/>
      <c r="O504" s="1340"/>
      <c r="P504" s="1341"/>
      <c r="X504" s="1343" t="e">
        <f ca="1"/>
        <v>#NAME?</v>
      </c>
      <c r="Y504" s="1344" t="e">
        <f ca="1"/>
        <v>#NAME?</v>
      </c>
      <c r="Z504" s="1247"/>
    </row>
    <row r="505" spans="1:26" x14ac:dyDescent="0.2">
      <c r="A505" s="1338"/>
      <c r="B505" s="1339"/>
      <c r="C505" s="1340"/>
      <c r="D505" s="1341"/>
      <c r="E505" s="1338"/>
      <c r="F505" s="1339"/>
      <c r="G505" s="1340"/>
      <c r="H505" s="1341"/>
      <c r="I505" s="1338"/>
      <c r="J505" s="1339"/>
      <c r="K505" s="1340"/>
      <c r="L505" s="1341"/>
      <c r="M505" s="1338"/>
      <c r="N505" s="1339"/>
      <c r="O505" s="1340"/>
      <c r="P505" s="1341"/>
      <c r="X505" s="1343" t="e">
        <f ca="1"/>
        <v>#NAME?</v>
      </c>
      <c r="Y505" s="1344" t="e">
        <f ca="1"/>
        <v>#NAME?</v>
      </c>
      <c r="Z505" s="1247"/>
    </row>
    <row r="506" spans="1:26" x14ac:dyDescent="0.2">
      <c r="A506" s="1338"/>
      <c r="B506" s="1339"/>
      <c r="C506" s="1340"/>
      <c r="D506" s="1341"/>
      <c r="E506" s="1338"/>
      <c r="F506" s="1339"/>
      <c r="G506" s="1340"/>
      <c r="H506" s="1341"/>
      <c r="I506" s="1338"/>
      <c r="J506" s="1339"/>
      <c r="K506" s="1340"/>
      <c r="L506" s="1341"/>
      <c r="M506" s="1338"/>
      <c r="N506" s="1339"/>
      <c r="O506" s="1340"/>
      <c r="P506" s="1341"/>
      <c r="X506" s="1343" t="e">
        <f ca="1"/>
        <v>#NAME?</v>
      </c>
      <c r="Y506" s="1344" t="e">
        <f ca="1"/>
        <v>#NAME?</v>
      </c>
      <c r="Z506" s="1247"/>
    </row>
    <row r="507" spans="1:26" x14ac:dyDescent="0.2">
      <c r="A507" s="1338"/>
      <c r="B507" s="1339"/>
      <c r="C507" s="1340"/>
      <c r="D507" s="1341"/>
      <c r="E507" s="1338"/>
      <c r="F507" s="1339"/>
      <c r="G507" s="1340"/>
      <c r="H507" s="1341"/>
      <c r="I507" s="1338"/>
      <c r="J507" s="1339"/>
      <c r="K507" s="1340"/>
      <c r="L507" s="1341"/>
      <c r="M507" s="1338"/>
      <c r="N507" s="1339"/>
      <c r="O507" s="1340"/>
      <c r="P507" s="1341"/>
      <c r="X507" s="1343" t="e">
        <f ca="1"/>
        <v>#NAME?</v>
      </c>
      <c r="Y507" s="1344" t="e">
        <f ca="1"/>
        <v>#NAME?</v>
      </c>
      <c r="Z507" s="1247"/>
    </row>
    <row r="508" spans="1:26" x14ac:dyDescent="0.2">
      <c r="A508" s="1338"/>
      <c r="B508" s="1339"/>
      <c r="C508" s="1340"/>
      <c r="D508" s="1341"/>
      <c r="E508" s="1338"/>
      <c r="F508" s="1339"/>
      <c r="G508" s="1340"/>
      <c r="H508" s="1341"/>
      <c r="I508" s="1338"/>
      <c r="J508" s="1339"/>
      <c r="K508" s="1340"/>
      <c r="L508" s="1341"/>
      <c r="M508" s="1338"/>
      <c r="N508" s="1339"/>
      <c r="O508" s="1340"/>
      <c r="P508" s="1341"/>
      <c r="X508" s="1343" t="e">
        <f ca="1"/>
        <v>#NAME?</v>
      </c>
      <c r="Y508" s="1344" t="e">
        <f ca="1"/>
        <v>#NAME?</v>
      </c>
      <c r="Z508" s="1247"/>
    </row>
    <row r="509" spans="1:26" x14ac:dyDescent="0.2">
      <c r="A509" s="1338"/>
      <c r="B509" s="1339"/>
      <c r="C509" s="1340"/>
      <c r="D509" s="1341"/>
      <c r="E509" s="1338"/>
      <c r="F509" s="1339"/>
      <c r="G509" s="1340"/>
      <c r="H509" s="1341"/>
      <c r="I509" s="1338"/>
      <c r="J509" s="1339"/>
      <c r="K509" s="1340"/>
      <c r="L509" s="1341"/>
      <c r="M509" s="1338"/>
      <c r="N509" s="1339"/>
      <c r="O509" s="1340"/>
      <c r="P509" s="1341"/>
      <c r="X509" s="1343" t="e">
        <f ca="1"/>
        <v>#NAME?</v>
      </c>
      <c r="Y509" s="1344" t="e">
        <f ca="1"/>
        <v>#NAME?</v>
      </c>
      <c r="Z509" s="1247"/>
    </row>
    <row r="510" spans="1:26" x14ac:dyDescent="0.2">
      <c r="A510" s="1338"/>
      <c r="B510" s="1339"/>
      <c r="C510" s="1340"/>
      <c r="D510" s="1341"/>
      <c r="E510" s="1338"/>
      <c r="F510" s="1339"/>
      <c r="G510" s="1340"/>
      <c r="H510" s="1341"/>
      <c r="I510" s="1338"/>
      <c r="J510" s="1339"/>
      <c r="K510" s="1340"/>
      <c r="L510" s="1341"/>
      <c r="M510" s="1338"/>
      <c r="N510" s="1339"/>
      <c r="O510" s="1340"/>
      <c r="P510" s="1341"/>
      <c r="X510" s="1343" t="e">
        <f ca="1"/>
        <v>#NAME?</v>
      </c>
      <c r="Y510" s="1344" t="e">
        <f ca="1"/>
        <v>#NAME?</v>
      </c>
      <c r="Z510" s="1247"/>
    </row>
    <row r="511" spans="1:26" x14ac:dyDescent="0.2">
      <c r="A511" s="1338"/>
      <c r="B511" s="1339"/>
      <c r="C511" s="1340"/>
      <c r="D511" s="1341"/>
      <c r="E511" s="1338"/>
      <c r="F511" s="1339"/>
      <c r="G511" s="1340"/>
      <c r="H511" s="1341"/>
      <c r="I511" s="1338"/>
      <c r="J511" s="1339"/>
      <c r="K511" s="1340"/>
      <c r="L511" s="1341"/>
      <c r="M511" s="1338"/>
      <c r="N511" s="1339"/>
      <c r="O511" s="1340"/>
      <c r="P511" s="1341"/>
      <c r="X511" s="1343" t="e">
        <f ca="1"/>
        <v>#NAME?</v>
      </c>
      <c r="Y511" s="1344" t="e">
        <f ca="1"/>
        <v>#NAME?</v>
      </c>
      <c r="Z511" s="1247"/>
    </row>
    <row r="512" spans="1:26" x14ac:dyDescent="0.2">
      <c r="A512" s="1338"/>
      <c r="B512" s="1339"/>
      <c r="C512" s="1340"/>
      <c r="D512" s="1341"/>
      <c r="E512" s="1338"/>
      <c r="F512" s="1339"/>
      <c r="G512" s="1340"/>
      <c r="H512" s="1341"/>
      <c r="I512" s="1338"/>
      <c r="J512" s="1339"/>
      <c r="K512" s="1340"/>
      <c r="L512" s="1341"/>
      <c r="M512" s="1338"/>
      <c r="N512" s="1339"/>
      <c r="O512" s="1340"/>
      <c r="P512" s="1341"/>
      <c r="X512" s="1343" t="e">
        <f ca="1"/>
        <v>#NAME?</v>
      </c>
      <c r="Y512" s="1344" t="e">
        <f ca="1"/>
        <v>#NAME?</v>
      </c>
      <c r="Z512" s="1247"/>
    </row>
    <row r="513" spans="1:26" x14ac:dyDescent="0.2">
      <c r="A513" s="1338"/>
      <c r="B513" s="1339"/>
      <c r="C513" s="1340"/>
      <c r="D513" s="1341"/>
      <c r="E513" s="1338"/>
      <c r="F513" s="1339"/>
      <c r="G513" s="1340"/>
      <c r="H513" s="1341"/>
      <c r="I513" s="1338"/>
      <c r="J513" s="1339"/>
      <c r="K513" s="1340"/>
      <c r="L513" s="1341"/>
      <c r="M513" s="1338"/>
      <c r="N513" s="1339"/>
      <c r="O513" s="1340"/>
      <c r="P513" s="1341"/>
      <c r="X513" s="1343" t="e">
        <f ca="1"/>
        <v>#NAME?</v>
      </c>
      <c r="Y513" s="1344" t="e">
        <f ca="1"/>
        <v>#NAME?</v>
      </c>
      <c r="Z513" s="1247"/>
    </row>
    <row r="514" spans="1:26" x14ac:dyDescent="0.2">
      <c r="A514" s="1338"/>
      <c r="B514" s="1339"/>
      <c r="C514" s="1340"/>
      <c r="D514" s="1341"/>
      <c r="E514" s="1338"/>
      <c r="F514" s="1339"/>
      <c r="G514" s="1340"/>
      <c r="H514" s="1341"/>
      <c r="I514" s="1338"/>
      <c r="J514" s="1339"/>
      <c r="K514" s="1340"/>
      <c r="L514" s="1341"/>
      <c r="M514" s="1338"/>
      <c r="N514" s="1339"/>
      <c r="O514" s="1340"/>
      <c r="P514" s="1341"/>
      <c r="X514" s="1343" t="e">
        <f ca="1"/>
        <v>#NAME?</v>
      </c>
      <c r="Y514" s="1344" t="e">
        <f ca="1"/>
        <v>#NAME?</v>
      </c>
      <c r="Z514" s="1247"/>
    </row>
    <row r="515" spans="1:26" x14ac:dyDescent="0.2">
      <c r="A515" s="1338"/>
      <c r="B515" s="1339"/>
      <c r="C515" s="1340"/>
      <c r="D515" s="1341"/>
      <c r="E515" s="1338"/>
      <c r="F515" s="1339"/>
      <c r="G515" s="1340"/>
      <c r="H515" s="1341"/>
      <c r="I515" s="1338"/>
      <c r="J515" s="1339"/>
      <c r="K515" s="1340"/>
      <c r="L515" s="1341"/>
      <c r="M515" s="1338"/>
      <c r="N515" s="1339"/>
      <c r="O515" s="1340"/>
      <c r="P515" s="1341"/>
      <c r="X515" s="1343" t="e">
        <f ca="1"/>
        <v>#NAME?</v>
      </c>
      <c r="Y515" s="1344" t="e">
        <f ca="1"/>
        <v>#NAME?</v>
      </c>
      <c r="Z515" s="1247"/>
    </row>
    <row r="516" spans="1:26" x14ac:dyDescent="0.2">
      <c r="A516" s="1338"/>
      <c r="B516" s="1339"/>
      <c r="C516" s="1340"/>
      <c r="D516" s="1341"/>
      <c r="E516" s="1338"/>
      <c r="F516" s="1339"/>
      <c r="G516" s="1340"/>
      <c r="H516" s="1341"/>
      <c r="I516" s="1338"/>
      <c r="J516" s="1339"/>
      <c r="K516" s="1340"/>
      <c r="L516" s="1341"/>
      <c r="M516" s="1338"/>
      <c r="N516" s="1339"/>
      <c r="O516" s="1340"/>
      <c r="P516" s="1341"/>
      <c r="X516" s="1343" t="e">
        <f ca="1"/>
        <v>#NAME?</v>
      </c>
      <c r="Y516" s="1344" t="e">
        <f ca="1"/>
        <v>#NAME?</v>
      </c>
      <c r="Z516" s="1247"/>
    </row>
    <row r="517" spans="1:26" x14ac:dyDescent="0.2">
      <c r="A517" s="1338"/>
      <c r="B517" s="1339"/>
      <c r="C517" s="1340"/>
      <c r="D517" s="1341"/>
      <c r="E517" s="1338"/>
      <c r="F517" s="1339"/>
      <c r="G517" s="1340"/>
      <c r="H517" s="1341"/>
      <c r="I517" s="1338"/>
      <c r="J517" s="1339"/>
      <c r="K517" s="1340"/>
      <c r="L517" s="1341"/>
      <c r="M517" s="1338"/>
      <c r="N517" s="1339"/>
      <c r="O517" s="1340"/>
      <c r="P517" s="1341"/>
      <c r="X517" s="1343" t="e">
        <f ca="1"/>
        <v>#NAME?</v>
      </c>
      <c r="Y517" s="1344" t="e">
        <f ca="1"/>
        <v>#NAME?</v>
      </c>
      <c r="Z517" s="1247"/>
    </row>
    <row r="518" spans="1:26" x14ac:dyDescent="0.2">
      <c r="A518" s="1338"/>
      <c r="B518" s="1339"/>
      <c r="C518" s="1340"/>
      <c r="D518" s="1341"/>
      <c r="E518" s="1338"/>
      <c r="F518" s="1339"/>
      <c r="G518" s="1340"/>
      <c r="H518" s="1341"/>
      <c r="I518" s="1338"/>
      <c r="J518" s="1339"/>
      <c r="K518" s="1340"/>
      <c r="L518" s="1341"/>
      <c r="M518" s="1338"/>
      <c r="N518" s="1339"/>
      <c r="O518" s="1340"/>
      <c r="P518" s="1341"/>
      <c r="X518" s="1343" t="e">
        <f ca="1"/>
        <v>#NAME?</v>
      </c>
      <c r="Y518" s="1344" t="e">
        <f ca="1"/>
        <v>#NAME?</v>
      </c>
      <c r="Z518" s="1247"/>
    </row>
    <row r="519" spans="1:26" x14ac:dyDescent="0.2">
      <c r="A519" s="1338"/>
      <c r="B519" s="1339"/>
      <c r="C519" s="1340"/>
      <c r="D519" s="1341"/>
      <c r="E519" s="1338"/>
      <c r="F519" s="1339"/>
      <c r="G519" s="1340"/>
      <c r="H519" s="1341"/>
      <c r="I519" s="1338"/>
      <c r="J519" s="1339"/>
      <c r="K519" s="1340"/>
      <c r="L519" s="1341"/>
      <c r="M519" s="1338"/>
      <c r="N519" s="1339"/>
      <c r="O519" s="1340"/>
      <c r="P519" s="1341"/>
      <c r="X519" s="1343" t="e">
        <f ca="1"/>
        <v>#NAME?</v>
      </c>
      <c r="Y519" s="1344" t="e">
        <f ca="1"/>
        <v>#NAME?</v>
      </c>
      <c r="Z519" s="1247"/>
    </row>
    <row r="520" spans="1:26" x14ac:dyDescent="0.2">
      <c r="A520" s="1338"/>
      <c r="B520" s="1339"/>
      <c r="C520" s="1340"/>
      <c r="D520" s="1341"/>
      <c r="E520" s="1338"/>
      <c r="F520" s="1339"/>
      <c r="G520" s="1340"/>
      <c r="H520" s="1341"/>
      <c r="I520" s="1338"/>
      <c r="J520" s="1339"/>
      <c r="K520" s="1340"/>
      <c r="L520" s="1341"/>
      <c r="M520" s="1338"/>
      <c r="N520" s="1339"/>
      <c r="O520" s="1340"/>
      <c r="P520" s="1341"/>
      <c r="X520" s="1343" t="e">
        <f ca="1"/>
        <v>#NAME?</v>
      </c>
      <c r="Y520" s="1344" t="e">
        <f ca="1"/>
        <v>#NAME?</v>
      </c>
      <c r="Z520" s="1247"/>
    </row>
    <row r="521" spans="1:26" x14ac:dyDescent="0.2">
      <c r="A521" s="1338"/>
      <c r="B521" s="1339"/>
      <c r="C521" s="1340"/>
      <c r="D521" s="1341"/>
      <c r="E521" s="1338"/>
      <c r="F521" s="1339"/>
      <c r="G521" s="1340"/>
      <c r="H521" s="1341"/>
      <c r="I521" s="1338"/>
      <c r="J521" s="1339"/>
      <c r="K521" s="1340"/>
      <c r="L521" s="1341"/>
      <c r="M521" s="1338"/>
      <c r="N521" s="1339"/>
      <c r="O521" s="1340"/>
      <c r="P521" s="1341"/>
      <c r="X521" s="1343" t="e">
        <f ca="1"/>
        <v>#NAME?</v>
      </c>
      <c r="Y521" s="1344" t="e">
        <f ca="1"/>
        <v>#NAME?</v>
      </c>
      <c r="Z521" s="1247"/>
    </row>
    <row r="522" spans="1:26" x14ac:dyDescent="0.2">
      <c r="A522" s="1338"/>
      <c r="B522" s="1339"/>
      <c r="C522" s="1340"/>
      <c r="D522" s="1341"/>
      <c r="E522" s="1338"/>
      <c r="F522" s="1339"/>
      <c r="G522" s="1340"/>
      <c r="H522" s="1341"/>
      <c r="I522" s="1338"/>
      <c r="J522" s="1339"/>
      <c r="K522" s="1340"/>
      <c r="L522" s="1341"/>
      <c r="M522" s="1338"/>
      <c r="N522" s="1339"/>
      <c r="O522" s="1340"/>
      <c r="P522" s="1341"/>
      <c r="X522" s="1343" t="e">
        <f ca="1"/>
        <v>#NAME?</v>
      </c>
      <c r="Y522" s="1344" t="e">
        <f ca="1"/>
        <v>#NAME?</v>
      </c>
      <c r="Z522" s="1247"/>
    </row>
    <row r="523" spans="1:26" x14ac:dyDescent="0.2">
      <c r="A523" s="1338"/>
      <c r="B523" s="1339"/>
      <c r="C523" s="1340"/>
      <c r="D523" s="1341"/>
      <c r="E523" s="1338"/>
      <c r="F523" s="1339"/>
      <c r="G523" s="1340"/>
      <c r="H523" s="1341"/>
      <c r="I523" s="1338"/>
      <c r="J523" s="1339"/>
      <c r="K523" s="1340"/>
      <c r="L523" s="1341"/>
      <c r="M523" s="1338"/>
      <c r="N523" s="1339"/>
      <c r="O523" s="1340"/>
      <c r="P523" s="1341"/>
      <c r="X523" s="1343" t="e">
        <f ca="1"/>
        <v>#NAME?</v>
      </c>
      <c r="Y523" s="1344" t="e">
        <f ca="1"/>
        <v>#NAME?</v>
      </c>
      <c r="Z523" s="1247"/>
    </row>
    <row r="524" spans="1:26" x14ac:dyDescent="0.2">
      <c r="A524" s="1338"/>
      <c r="B524" s="1339"/>
      <c r="C524" s="1340"/>
      <c r="D524" s="1341"/>
      <c r="E524" s="1338"/>
      <c r="F524" s="1339"/>
      <c r="G524" s="1340"/>
      <c r="H524" s="1341"/>
      <c r="I524" s="1338"/>
      <c r="J524" s="1339"/>
      <c r="K524" s="1340"/>
      <c r="L524" s="1341"/>
      <c r="M524" s="1338"/>
      <c r="N524" s="1339"/>
      <c r="O524" s="1340"/>
      <c r="P524" s="1341"/>
      <c r="X524" s="1343" t="e">
        <f ca="1"/>
        <v>#NAME?</v>
      </c>
      <c r="Y524" s="1344" t="e">
        <f ca="1"/>
        <v>#NAME?</v>
      </c>
      <c r="Z524" s="1247"/>
    </row>
    <row r="525" spans="1:26" x14ac:dyDescent="0.2">
      <c r="A525" s="1338"/>
      <c r="B525" s="1339"/>
      <c r="C525" s="1340"/>
      <c r="D525" s="1341"/>
      <c r="E525" s="1338"/>
      <c r="F525" s="1339"/>
      <c r="G525" s="1340"/>
      <c r="H525" s="1341"/>
      <c r="I525" s="1338"/>
      <c r="J525" s="1339"/>
      <c r="K525" s="1340"/>
      <c r="L525" s="1341"/>
      <c r="M525" s="1338"/>
      <c r="N525" s="1339"/>
      <c r="O525" s="1340"/>
      <c r="P525" s="1341"/>
      <c r="X525" s="1343" t="e">
        <f ca="1"/>
        <v>#NAME?</v>
      </c>
      <c r="Y525" s="1344" t="e">
        <f ca="1"/>
        <v>#NAME?</v>
      </c>
      <c r="Z525" s="1247"/>
    </row>
    <row r="526" spans="1:26" x14ac:dyDescent="0.2">
      <c r="A526" s="1338"/>
      <c r="B526" s="1339"/>
      <c r="C526" s="1340"/>
      <c r="D526" s="1341"/>
      <c r="E526" s="1338"/>
      <c r="F526" s="1339"/>
      <c r="G526" s="1340"/>
      <c r="H526" s="1341"/>
      <c r="I526" s="1338"/>
      <c r="J526" s="1339"/>
      <c r="K526" s="1340"/>
      <c r="L526" s="1341"/>
      <c r="M526" s="1338"/>
      <c r="N526" s="1339"/>
      <c r="O526" s="1340"/>
      <c r="P526" s="1341"/>
      <c r="X526" s="1343" t="e">
        <f ca="1"/>
        <v>#NAME?</v>
      </c>
      <c r="Y526" s="1344" t="e">
        <f ca="1"/>
        <v>#NAME?</v>
      </c>
      <c r="Z526" s="1247"/>
    </row>
    <row r="527" spans="1:26" x14ac:dyDescent="0.2">
      <c r="A527" s="1338"/>
      <c r="B527" s="1339"/>
      <c r="C527" s="1340"/>
      <c r="D527" s="1341"/>
      <c r="E527" s="1338"/>
      <c r="F527" s="1339"/>
      <c r="G527" s="1340"/>
      <c r="H527" s="1341"/>
      <c r="I527" s="1338"/>
      <c r="J527" s="1339"/>
      <c r="K527" s="1340"/>
      <c r="L527" s="1341"/>
      <c r="M527" s="1338"/>
      <c r="N527" s="1339"/>
      <c r="O527" s="1340"/>
      <c r="P527" s="1341"/>
      <c r="X527" s="1343" t="e">
        <f ca="1"/>
        <v>#NAME?</v>
      </c>
      <c r="Y527" s="1344" t="e">
        <f ca="1"/>
        <v>#NAME?</v>
      </c>
      <c r="Z527" s="1247"/>
    </row>
    <row r="528" spans="1:26" x14ac:dyDescent="0.2">
      <c r="A528" s="1338"/>
      <c r="B528" s="1339"/>
      <c r="C528" s="1340"/>
      <c r="D528" s="1341"/>
      <c r="E528" s="1338"/>
      <c r="F528" s="1339"/>
      <c r="G528" s="1340"/>
      <c r="H528" s="1341"/>
      <c r="I528" s="1338"/>
      <c r="J528" s="1339"/>
      <c r="K528" s="1340"/>
      <c r="L528" s="1341"/>
      <c r="M528" s="1338"/>
      <c r="N528" s="1339"/>
      <c r="O528" s="1340"/>
      <c r="P528" s="1341"/>
      <c r="X528" s="1343" t="e">
        <f ca="1"/>
        <v>#NAME?</v>
      </c>
      <c r="Y528" s="1344" t="e">
        <f ca="1"/>
        <v>#NAME?</v>
      </c>
      <c r="Z528" s="1247"/>
    </row>
    <row r="529" spans="1:26" x14ac:dyDescent="0.2">
      <c r="A529" s="1338"/>
      <c r="B529" s="1339"/>
      <c r="C529" s="1340"/>
      <c r="D529" s="1341"/>
      <c r="E529" s="1338"/>
      <c r="F529" s="1339"/>
      <c r="G529" s="1340"/>
      <c r="H529" s="1341"/>
      <c r="I529" s="1338"/>
      <c r="J529" s="1339"/>
      <c r="K529" s="1340"/>
      <c r="L529" s="1341"/>
      <c r="M529" s="1338"/>
      <c r="N529" s="1339"/>
      <c r="O529" s="1340"/>
      <c r="P529" s="1341"/>
      <c r="X529" s="1343" t="e">
        <f ca="1"/>
        <v>#NAME?</v>
      </c>
      <c r="Y529" s="1344" t="e">
        <f ca="1"/>
        <v>#NAME?</v>
      </c>
      <c r="Z529" s="1247"/>
    </row>
    <row r="530" spans="1:26" x14ac:dyDescent="0.2">
      <c r="A530" s="1338"/>
      <c r="B530" s="1339"/>
      <c r="C530" s="1340"/>
      <c r="D530" s="1341"/>
      <c r="E530" s="1338"/>
      <c r="F530" s="1339"/>
      <c r="G530" s="1340"/>
      <c r="H530" s="1341"/>
      <c r="I530" s="1338"/>
      <c r="J530" s="1339"/>
      <c r="K530" s="1340"/>
      <c r="L530" s="1341"/>
      <c r="M530" s="1338"/>
      <c r="N530" s="1339"/>
      <c r="O530" s="1340"/>
      <c r="P530" s="1341"/>
      <c r="X530" s="1343" t="e">
        <f ca="1"/>
        <v>#NAME?</v>
      </c>
      <c r="Y530" s="1344" t="e">
        <f ca="1"/>
        <v>#NAME?</v>
      </c>
      <c r="Z530" s="1247"/>
    </row>
    <row r="531" spans="1:26" x14ac:dyDescent="0.2">
      <c r="A531" s="1338"/>
      <c r="B531" s="1339"/>
      <c r="C531" s="1340"/>
      <c r="D531" s="1341"/>
      <c r="E531" s="1338"/>
      <c r="F531" s="1339"/>
      <c r="G531" s="1340"/>
      <c r="H531" s="1341"/>
      <c r="I531" s="1338"/>
      <c r="J531" s="1339"/>
      <c r="K531" s="1340"/>
      <c r="L531" s="1341"/>
      <c r="M531" s="1338"/>
      <c r="N531" s="1339"/>
      <c r="O531" s="1340"/>
      <c r="P531" s="1341"/>
      <c r="X531" s="1343" t="e">
        <f ca="1"/>
        <v>#NAME?</v>
      </c>
      <c r="Y531" s="1344" t="e">
        <f ca="1"/>
        <v>#NAME?</v>
      </c>
      <c r="Z531" s="1247"/>
    </row>
    <row r="532" spans="1:26" x14ac:dyDescent="0.2">
      <c r="A532" s="1338"/>
      <c r="B532" s="1339"/>
      <c r="C532" s="1340"/>
      <c r="D532" s="1341"/>
      <c r="E532" s="1338"/>
      <c r="F532" s="1339"/>
      <c r="G532" s="1340"/>
      <c r="H532" s="1341"/>
      <c r="I532" s="1338"/>
      <c r="J532" s="1339"/>
      <c r="K532" s="1340"/>
      <c r="L532" s="1341"/>
      <c r="M532" s="1338"/>
      <c r="N532" s="1339"/>
      <c r="O532" s="1340"/>
      <c r="P532" s="1341"/>
      <c r="X532" s="1343" t="e">
        <f ca="1"/>
        <v>#NAME?</v>
      </c>
      <c r="Y532" s="1344" t="e">
        <f ca="1"/>
        <v>#NAME?</v>
      </c>
      <c r="Z532" s="1247"/>
    </row>
    <row r="533" spans="1:26" x14ac:dyDescent="0.2">
      <c r="A533" s="1338"/>
      <c r="B533" s="1339"/>
      <c r="C533" s="1340"/>
      <c r="D533" s="1341"/>
      <c r="E533" s="1338"/>
      <c r="F533" s="1339"/>
      <c r="G533" s="1340"/>
      <c r="H533" s="1341"/>
      <c r="I533" s="1338"/>
      <c r="J533" s="1339"/>
      <c r="K533" s="1340"/>
      <c r="L533" s="1341"/>
      <c r="M533" s="1338"/>
      <c r="N533" s="1339"/>
      <c r="O533" s="1340"/>
      <c r="P533" s="1341"/>
      <c r="X533" s="1343" t="e">
        <f ca="1"/>
        <v>#NAME?</v>
      </c>
      <c r="Y533" s="1344" t="e">
        <f ca="1"/>
        <v>#NAME?</v>
      </c>
      <c r="Z533" s="1247"/>
    </row>
    <row r="534" spans="1:26" x14ac:dyDescent="0.2">
      <c r="A534" s="1338"/>
      <c r="B534" s="1339"/>
      <c r="C534" s="1340"/>
      <c r="D534" s="1341"/>
      <c r="E534" s="1338"/>
      <c r="F534" s="1339"/>
      <c r="G534" s="1340"/>
      <c r="H534" s="1341"/>
      <c r="I534" s="1338"/>
      <c r="J534" s="1339"/>
      <c r="K534" s="1340"/>
      <c r="L534" s="1341"/>
      <c r="M534" s="1338"/>
      <c r="N534" s="1339"/>
      <c r="O534" s="1340"/>
      <c r="P534" s="1341"/>
      <c r="X534" s="1343" t="e">
        <f ca="1"/>
        <v>#NAME?</v>
      </c>
      <c r="Y534" s="1344" t="e">
        <f ca="1"/>
        <v>#NAME?</v>
      </c>
      <c r="Z534" s="1247"/>
    </row>
    <row r="535" spans="1:26" x14ac:dyDescent="0.2">
      <c r="A535" s="1338"/>
      <c r="B535" s="1339"/>
      <c r="C535" s="1340"/>
      <c r="D535" s="1341"/>
      <c r="E535" s="1338"/>
      <c r="F535" s="1339"/>
      <c r="G535" s="1340"/>
      <c r="H535" s="1341"/>
      <c r="I535" s="1338"/>
      <c r="J535" s="1339"/>
      <c r="K535" s="1340"/>
      <c r="L535" s="1341"/>
      <c r="M535" s="1338"/>
      <c r="N535" s="1339"/>
      <c r="O535" s="1340"/>
      <c r="P535" s="1341"/>
      <c r="X535" s="1343" t="e">
        <f ca="1"/>
        <v>#NAME?</v>
      </c>
      <c r="Y535" s="1344" t="e">
        <f ca="1"/>
        <v>#NAME?</v>
      </c>
      <c r="Z535" s="1247"/>
    </row>
    <row r="536" spans="1:26" x14ac:dyDescent="0.2">
      <c r="A536" s="1338"/>
      <c r="B536" s="1339"/>
      <c r="C536" s="1340"/>
      <c r="D536" s="1341"/>
      <c r="E536" s="1338"/>
      <c r="F536" s="1339"/>
      <c r="G536" s="1340"/>
      <c r="H536" s="1341"/>
      <c r="I536" s="1338"/>
      <c r="J536" s="1339"/>
      <c r="K536" s="1340"/>
      <c r="L536" s="1341"/>
      <c r="M536" s="1338"/>
      <c r="N536" s="1339"/>
      <c r="O536" s="1340"/>
      <c r="P536" s="1341"/>
      <c r="X536" s="1343" t="e">
        <f ca="1"/>
        <v>#NAME?</v>
      </c>
      <c r="Y536" s="1344" t="e">
        <f ca="1"/>
        <v>#NAME?</v>
      </c>
      <c r="Z536" s="1247"/>
    </row>
    <row r="537" spans="1:26" x14ac:dyDescent="0.2">
      <c r="A537" s="1338"/>
      <c r="B537" s="1339"/>
      <c r="C537" s="1340"/>
      <c r="D537" s="1341"/>
      <c r="E537" s="1338"/>
      <c r="F537" s="1339"/>
      <c r="G537" s="1340"/>
      <c r="H537" s="1341"/>
      <c r="I537" s="1338"/>
      <c r="J537" s="1339"/>
      <c r="K537" s="1340"/>
      <c r="L537" s="1341"/>
      <c r="M537" s="1338"/>
      <c r="N537" s="1339"/>
      <c r="O537" s="1340"/>
      <c r="P537" s="1341"/>
      <c r="X537" s="1343" t="e">
        <f ca="1"/>
        <v>#NAME?</v>
      </c>
      <c r="Y537" s="1344" t="e">
        <f ca="1"/>
        <v>#NAME?</v>
      </c>
      <c r="Z537" s="1247"/>
    </row>
    <row r="538" spans="1:26" x14ac:dyDescent="0.2">
      <c r="A538" s="1338"/>
      <c r="B538" s="1339"/>
      <c r="C538" s="1340"/>
      <c r="D538" s="1341"/>
      <c r="E538" s="1338"/>
      <c r="F538" s="1339"/>
      <c r="G538" s="1340"/>
      <c r="H538" s="1341"/>
      <c r="I538" s="1338"/>
      <c r="J538" s="1339"/>
      <c r="K538" s="1340"/>
      <c r="L538" s="1341"/>
      <c r="M538" s="1338"/>
      <c r="N538" s="1339"/>
      <c r="O538" s="1340"/>
      <c r="P538" s="1341"/>
      <c r="X538" s="1343" t="e">
        <f ca="1"/>
        <v>#NAME?</v>
      </c>
      <c r="Y538" s="1344" t="e">
        <f ca="1"/>
        <v>#NAME?</v>
      </c>
      <c r="Z538" s="1247"/>
    </row>
    <row r="539" spans="1:26" x14ac:dyDescent="0.2">
      <c r="A539" s="1338"/>
      <c r="B539" s="1339"/>
      <c r="C539" s="1340"/>
      <c r="D539" s="1341"/>
      <c r="E539" s="1338"/>
      <c r="F539" s="1339"/>
      <c r="G539" s="1340"/>
      <c r="H539" s="1341"/>
      <c r="I539" s="1338"/>
      <c r="J539" s="1339"/>
      <c r="K539" s="1340"/>
      <c r="L539" s="1341"/>
      <c r="M539" s="1338"/>
      <c r="N539" s="1339"/>
      <c r="O539" s="1340"/>
      <c r="P539" s="1341"/>
      <c r="X539" s="1343" t="e">
        <f ca="1"/>
        <v>#NAME?</v>
      </c>
      <c r="Y539" s="1344" t="e">
        <f ca="1"/>
        <v>#NAME?</v>
      </c>
      <c r="Z539" s="1247"/>
    </row>
    <row r="540" spans="1:26" x14ac:dyDescent="0.2">
      <c r="A540" s="1338"/>
      <c r="B540" s="1339"/>
      <c r="C540" s="1340"/>
      <c r="D540" s="1341"/>
      <c r="E540" s="1338"/>
      <c r="F540" s="1339"/>
      <c r="G540" s="1340"/>
      <c r="H540" s="1341"/>
      <c r="I540" s="1338"/>
      <c r="J540" s="1339"/>
      <c r="K540" s="1340"/>
      <c r="L540" s="1341"/>
      <c r="M540" s="1338"/>
      <c r="N540" s="1339"/>
      <c r="O540" s="1340"/>
      <c r="P540" s="1341"/>
      <c r="X540" s="1343" t="e">
        <f ca="1"/>
        <v>#NAME?</v>
      </c>
      <c r="Y540" s="1344" t="e">
        <f ca="1"/>
        <v>#NAME?</v>
      </c>
      <c r="Z540" s="1247"/>
    </row>
    <row r="541" spans="1:26" x14ac:dyDescent="0.2">
      <c r="A541" s="1338"/>
      <c r="B541" s="1339"/>
      <c r="C541" s="1340"/>
      <c r="D541" s="1341"/>
      <c r="E541" s="1338"/>
      <c r="F541" s="1339"/>
      <c r="G541" s="1340"/>
      <c r="H541" s="1341"/>
      <c r="I541" s="1338"/>
      <c r="J541" s="1339"/>
      <c r="K541" s="1340"/>
      <c r="L541" s="1341"/>
      <c r="M541" s="1338"/>
      <c r="N541" s="1339"/>
      <c r="O541" s="1340"/>
      <c r="P541" s="1341"/>
      <c r="X541" s="1343" t="e">
        <f ca="1"/>
        <v>#NAME?</v>
      </c>
      <c r="Y541" s="1344" t="e">
        <f ca="1"/>
        <v>#NAME?</v>
      </c>
      <c r="Z541" s="1247"/>
    </row>
    <row r="542" spans="1:26" x14ac:dyDescent="0.2">
      <c r="A542" s="1338"/>
      <c r="B542" s="1339"/>
      <c r="C542" s="1340"/>
      <c r="D542" s="1341"/>
      <c r="E542" s="1338"/>
      <c r="F542" s="1339"/>
      <c r="G542" s="1340"/>
      <c r="H542" s="1341"/>
      <c r="I542" s="1338"/>
      <c r="J542" s="1339"/>
      <c r="K542" s="1340"/>
      <c r="L542" s="1341"/>
      <c r="M542" s="1338"/>
      <c r="N542" s="1339"/>
      <c r="O542" s="1340"/>
      <c r="P542" s="1341"/>
      <c r="X542" s="1343" t="e">
        <f ca="1"/>
        <v>#NAME?</v>
      </c>
      <c r="Y542" s="1344" t="e">
        <f ca="1"/>
        <v>#NAME?</v>
      </c>
      <c r="Z542" s="1247"/>
    </row>
    <row r="543" spans="1:26" x14ac:dyDescent="0.2">
      <c r="A543" s="1338"/>
      <c r="B543" s="1339"/>
      <c r="C543" s="1340"/>
      <c r="D543" s="1341"/>
      <c r="E543" s="1338"/>
      <c r="F543" s="1339"/>
      <c r="G543" s="1340"/>
      <c r="H543" s="1341"/>
      <c r="I543" s="1338"/>
      <c r="J543" s="1339"/>
      <c r="K543" s="1340"/>
      <c r="L543" s="1341"/>
      <c r="M543" s="1338"/>
      <c r="N543" s="1339"/>
      <c r="O543" s="1340"/>
      <c r="P543" s="1341"/>
      <c r="X543" s="1343" t="e">
        <f ca="1"/>
        <v>#NAME?</v>
      </c>
      <c r="Y543" s="1344" t="e">
        <f ca="1"/>
        <v>#NAME?</v>
      </c>
      <c r="Z543" s="1247"/>
    </row>
    <row r="544" spans="1:26" x14ac:dyDescent="0.2">
      <c r="A544" s="1338"/>
      <c r="B544" s="1339"/>
      <c r="C544" s="1340"/>
      <c r="D544" s="1341"/>
      <c r="E544" s="1338"/>
      <c r="F544" s="1339"/>
      <c r="G544" s="1340"/>
      <c r="H544" s="1341"/>
      <c r="I544" s="1338"/>
      <c r="J544" s="1339"/>
      <c r="K544" s="1340"/>
      <c r="L544" s="1341"/>
      <c r="M544" s="1338"/>
      <c r="N544" s="1339"/>
      <c r="O544" s="1340"/>
      <c r="P544" s="1341"/>
      <c r="X544" s="1343" t="e">
        <f ca="1"/>
        <v>#NAME?</v>
      </c>
      <c r="Y544" s="1344" t="e">
        <f ca="1"/>
        <v>#NAME?</v>
      </c>
      <c r="Z544" s="1247"/>
    </row>
    <row r="545" spans="1:26" x14ac:dyDescent="0.2">
      <c r="A545" s="1338"/>
      <c r="B545" s="1339"/>
      <c r="C545" s="1340"/>
      <c r="D545" s="1341"/>
      <c r="E545" s="1338"/>
      <c r="F545" s="1339"/>
      <c r="G545" s="1340"/>
      <c r="H545" s="1341"/>
      <c r="I545" s="1338"/>
      <c r="J545" s="1339"/>
      <c r="K545" s="1340"/>
      <c r="L545" s="1341"/>
      <c r="M545" s="1338"/>
      <c r="N545" s="1339"/>
      <c r="O545" s="1340"/>
      <c r="P545" s="1341"/>
      <c r="X545" s="1343" t="e">
        <f ca="1"/>
        <v>#NAME?</v>
      </c>
      <c r="Y545" s="1344" t="e">
        <f ca="1"/>
        <v>#NAME?</v>
      </c>
      <c r="Z545" s="1247"/>
    </row>
    <row r="546" spans="1:26" x14ac:dyDescent="0.2">
      <c r="A546" s="1338"/>
      <c r="B546" s="1339"/>
      <c r="C546" s="1340"/>
      <c r="D546" s="1341"/>
      <c r="E546" s="1338"/>
      <c r="F546" s="1339"/>
      <c r="G546" s="1340"/>
      <c r="H546" s="1341"/>
      <c r="I546" s="1338"/>
      <c r="J546" s="1339"/>
      <c r="K546" s="1340"/>
      <c r="L546" s="1341"/>
      <c r="M546" s="1338"/>
      <c r="N546" s="1339"/>
      <c r="O546" s="1340"/>
      <c r="P546" s="1341"/>
      <c r="X546" s="1343" t="e">
        <f ca="1"/>
        <v>#NAME?</v>
      </c>
      <c r="Y546" s="1344" t="e">
        <f ca="1"/>
        <v>#NAME?</v>
      </c>
      <c r="Z546" s="1247"/>
    </row>
    <row r="547" spans="1:26" x14ac:dyDescent="0.2">
      <c r="A547" s="1338"/>
      <c r="B547" s="1339"/>
      <c r="C547" s="1340"/>
      <c r="D547" s="1341"/>
      <c r="E547" s="1338"/>
      <c r="F547" s="1339"/>
      <c r="G547" s="1340"/>
      <c r="H547" s="1341"/>
      <c r="I547" s="1338"/>
      <c r="J547" s="1339"/>
      <c r="K547" s="1340"/>
      <c r="L547" s="1341"/>
      <c r="M547" s="1338"/>
      <c r="N547" s="1339"/>
      <c r="O547" s="1340"/>
      <c r="P547" s="1341"/>
      <c r="X547" s="1343" t="e">
        <f ca="1"/>
        <v>#NAME?</v>
      </c>
      <c r="Y547" s="1344" t="e">
        <f ca="1"/>
        <v>#NAME?</v>
      </c>
      <c r="Z547" s="1247"/>
    </row>
    <row r="548" spans="1:26" x14ac:dyDescent="0.2">
      <c r="A548" s="1338"/>
      <c r="B548" s="1339"/>
      <c r="C548" s="1340"/>
      <c r="D548" s="1341"/>
      <c r="E548" s="1338"/>
      <c r="F548" s="1339"/>
      <c r="G548" s="1340"/>
      <c r="H548" s="1341"/>
      <c r="I548" s="1338"/>
      <c r="J548" s="1339"/>
      <c r="K548" s="1340"/>
      <c r="L548" s="1341"/>
      <c r="M548" s="1338"/>
      <c r="N548" s="1339"/>
      <c r="O548" s="1340"/>
      <c r="P548" s="1341"/>
      <c r="X548" s="1343" t="e">
        <f ca="1"/>
        <v>#NAME?</v>
      </c>
      <c r="Y548" s="1344" t="e">
        <f ca="1"/>
        <v>#NAME?</v>
      </c>
      <c r="Z548" s="1247"/>
    </row>
    <row r="549" spans="1:26" x14ac:dyDescent="0.2">
      <c r="A549" s="1338"/>
      <c r="B549" s="1339"/>
      <c r="C549" s="1340"/>
      <c r="D549" s="1341"/>
      <c r="E549" s="1338"/>
      <c r="F549" s="1339"/>
      <c r="G549" s="1340"/>
      <c r="H549" s="1341"/>
      <c r="I549" s="1338"/>
      <c r="J549" s="1339"/>
      <c r="K549" s="1340"/>
      <c r="L549" s="1341"/>
      <c r="M549" s="1338"/>
      <c r="N549" s="1339"/>
      <c r="O549" s="1340"/>
      <c r="P549" s="1341"/>
      <c r="X549" s="1343" t="e">
        <f ca="1"/>
        <v>#NAME?</v>
      </c>
      <c r="Y549" s="1344" t="e">
        <f ca="1"/>
        <v>#NAME?</v>
      </c>
      <c r="Z549" s="1247"/>
    </row>
    <row r="550" spans="1:26" x14ac:dyDescent="0.2">
      <c r="A550" s="1338"/>
      <c r="B550" s="1339"/>
      <c r="C550" s="1340"/>
      <c r="D550" s="1341"/>
      <c r="E550" s="1338"/>
      <c r="F550" s="1339"/>
      <c r="G550" s="1340"/>
      <c r="H550" s="1341"/>
      <c r="I550" s="1338"/>
      <c r="J550" s="1339"/>
      <c r="K550" s="1340"/>
      <c r="L550" s="1341"/>
      <c r="M550" s="1338"/>
      <c r="N550" s="1339"/>
      <c r="O550" s="1340"/>
      <c r="P550" s="1341"/>
      <c r="X550" s="1343" t="e">
        <f ca="1"/>
        <v>#NAME?</v>
      </c>
      <c r="Y550" s="1344" t="e">
        <f ca="1"/>
        <v>#NAME?</v>
      </c>
      <c r="Z550" s="1247"/>
    </row>
    <row r="551" spans="1:26" x14ac:dyDescent="0.2">
      <c r="A551" s="1338"/>
      <c r="B551" s="1339"/>
      <c r="C551" s="1340"/>
      <c r="D551" s="1341"/>
      <c r="E551" s="1338"/>
      <c r="F551" s="1339"/>
      <c r="G551" s="1340"/>
      <c r="H551" s="1341"/>
      <c r="I551" s="1338"/>
      <c r="J551" s="1339"/>
      <c r="K551" s="1340"/>
      <c r="L551" s="1341"/>
      <c r="M551" s="1338"/>
      <c r="N551" s="1339"/>
      <c r="O551" s="1340"/>
      <c r="P551" s="1341"/>
      <c r="X551" s="1343" t="e">
        <f ca="1"/>
        <v>#NAME?</v>
      </c>
      <c r="Y551" s="1344" t="e">
        <f ca="1"/>
        <v>#NAME?</v>
      </c>
      <c r="Z551" s="1247"/>
    </row>
    <row r="552" spans="1:26" x14ac:dyDescent="0.2">
      <c r="A552" s="1338"/>
      <c r="B552" s="1339"/>
      <c r="C552" s="1340"/>
      <c r="D552" s="1341"/>
      <c r="E552" s="1338"/>
      <c r="F552" s="1339"/>
      <c r="G552" s="1340"/>
      <c r="H552" s="1341"/>
      <c r="I552" s="1338"/>
      <c r="J552" s="1339"/>
      <c r="K552" s="1340"/>
      <c r="L552" s="1341"/>
      <c r="M552" s="1338"/>
      <c r="N552" s="1339"/>
      <c r="O552" s="1340"/>
      <c r="P552" s="1341"/>
      <c r="X552" s="1343" t="e">
        <f ca="1"/>
        <v>#NAME?</v>
      </c>
      <c r="Y552" s="1344" t="e">
        <f ca="1"/>
        <v>#NAME?</v>
      </c>
      <c r="Z552" s="1247"/>
    </row>
    <row r="553" spans="1:26" x14ac:dyDescent="0.2">
      <c r="A553" s="1338"/>
      <c r="B553" s="1339"/>
      <c r="C553" s="1340"/>
      <c r="D553" s="1341"/>
      <c r="E553" s="1338"/>
      <c r="F553" s="1339"/>
      <c r="G553" s="1340"/>
      <c r="H553" s="1341"/>
      <c r="I553" s="1338"/>
      <c r="J553" s="1339"/>
      <c r="K553" s="1340"/>
      <c r="L553" s="1341"/>
      <c r="M553" s="1338"/>
      <c r="N553" s="1339"/>
      <c r="O553" s="1340"/>
      <c r="P553" s="1341"/>
      <c r="X553" s="1343" t="e">
        <f ca="1"/>
        <v>#NAME?</v>
      </c>
      <c r="Y553" s="1344" t="e">
        <f ca="1"/>
        <v>#NAME?</v>
      </c>
      <c r="Z553" s="1247"/>
    </row>
    <row r="554" spans="1:26" x14ac:dyDescent="0.2">
      <c r="A554" s="1338"/>
      <c r="B554" s="1339"/>
      <c r="C554" s="1340"/>
      <c r="D554" s="1341"/>
      <c r="E554" s="1338"/>
      <c r="F554" s="1339"/>
      <c r="G554" s="1340"/>
      <c r="H554" s="1341"/>
      <c r="I554" s="1338"/>
      <c r="J554" s="1339"/>
      <c r="K554" s="1340"/>
      <c r="L554" s="1341"/>
      <c r="M554" s="1338"/>
      <c r="N554" s="1339"/>
      <c r="O554" s="1340"/>
      <c r="P554" s="1341"/>
      <c r="X554" s="1343" t="e">
        <f ca="1"/>
        <v>#NAME?</v>
      </c>
      <c r="Y554" s="1344" t="e">
        <f ca="1"/>
        <v>#NAME?</v>
      </c>
      <c r="Z554" s="1247"/>
    </row>
    <row r="555" spans="1:26" x14ac:dyDescent="0.2">
      <c r="A555" s="1338"/>
      <c r="B555" s="1339"/>
      <c r="C555" s="1340"/>
      <c r="D555" s="1341"/>
      <c r="E555" s="1338"/>
      <c r="F555" s="1339"/>
      <c r="G555" s="1340"/>
      <c r="H555" s="1341"/>
      <c r="I555" s="1338"/>
      <c r="J555" s="1339"/>
      <c r="K555" s="1340"/>
      <c r="L555" s="1341"/>
      <c r="M555" s="1338"/>
      <c r="N555" s="1339"/>
      <c r="O555" s="1340"/>
      <c r="P555" s="1341"/>
      <c r="X555" s="1343" t="e">
        <f ca="1"/>
        <v>#NAME?</v>
      </c>
      <c r="Y555" s="1344" t="e">
        <f ca="1"/>
        <v>#NAME?</v>
      </c>
      <c r="Z555" s="1247"/>
    </row>
    <row r="556" spans="1:26" x14ac:dyDescent="0.2">
      <c r="A556" s="1338"/>
      <c r="B556" s="1339"/>
      <c r="C556" s="1340"/>
      <c r="D556" s="1341"/>
      <c r="E556" s="1338"/>
      <c r="F556" s="1339"/>
      <c r="G556" s="1340"/>
      <c r="H556" s="1341"/>
      <c r="I556" s="1338"/>
      <c r="J556" s="1339"/>
      <c r="K556" s="1340"/>
      <c r="L556" s="1341"/>
      <c r="M556" s="1338"/>
      <c r="N556" s="1339"/>
      <c r="O556" s="1340"/>
      <c r="P556" s="1341"/>
      <c r="X556" s="1343" t="e">
        <f ca="1"/>
        <v>#NAME?</v>
      </c>
      <c r="Y556" s="1344" t="e">
        <f ca="1"/>
        <v>#NAME?</v>
      </c>
      <c r="Z556" s="1247"/>
    </row>
    <row r="557" spans="1:26" x14ac:dyDescent="0.2">
      <c r="A557" s="1338"/>
      <c r="B557" s="1339"/>
      <c r="C557" s="1340"/>
      <c r="D557" s="1341"/>
      <c r="E557" s="1338"/>
      <c r="F557" s="1339"/>
      <c r="G557" s="1340"/>
      <c r="H557" s="1341"/>
      <c r="I557" s="1338"/>
      <c r="J557" s="1339"/>
      <c r="K557" s="1340"/>
      <c r="L557" s="1341"/>
      <c r="M557" s="1338"/>
      <c r="N557" s="1339"/>
      <c r="O557" s="1340"/>
      <c r="P557" s="1341"/>
      <c r="X557" s="1343" t="e">
        <f ca="1"/>
        <v>#NAME?</v>
      </c>
      <c r="Y557" s="1344" t="e">
        <f ca="1"/>
        <v>#NAME?</v>
      </c>
      <c r="Z557" s="1247"/>
    </row>
    <row r="558" spans="1:26" x14ac:dyDescent="0.2">
      <c r="A558" s="1338"/>
      <c r="B558" s="1339"/>
      <c r="C558" s="1340"/>
      <c r="D558" s="1341"/>
      <c r="E558" s="1338"/>
      <c r="F558" s="1339"/>
      <c r="G558" s="1340"/>
      <c r="H558" s="1341"/>
      <c r="I558" s="1338"/>
      <c r="J558" s="1339"/>
      <c r="K558" s="1340"/>
      <c r="L558" s="1341"/>
      <c r="M558" s="1338"/>
      <c r="N558" s="1339"/>
      <c r="O558" s="1340"/>
      <c r="P558" s="1341"/>
      <c r="X558" s="1343" t="e">
        <f ca="1"/>
        <v>#NAME?</v>
      </c>
      <c r="Y558" s="1344" t="e">
        <f ca="1"/>
        <v>#NAME?</v>
      </c>
      <c r="Z558" s="1247"/>
    </row>
    <row r="559" spans="1:26" x14ac:dyDescent="0.2">
      <c r="A559" s="1338"/>
      <c r="B559" s="1339"/>
      <c r="C559" s="1340"/>
      <c r="D559" s="1341"/>
      <c r="E559" s="1338"/>
      <c r="F559" s="1339"/>
      <c r="G559" s="1340"/>
      <c r="H559" s="1341"/>
      <c r="I559" s="1338"/>
      <c r="J559" s="1339"/>
      <c r="K559" s="1340"/>
      <c r="L559" s="1341"/>
      <c r="M559" s="1338"/>
      <c r="N559" s="1339"/>
      <c r="O559" s="1340"/>
      <c r="P559" s="1341"/>
      <c r="X559" s="1343" t="e">
        <f ca="1"/>
        <v>#NAME?</v>
      </c>
      <c r="Y559" s="1344" t="e">
        <f ca="1"/>
        <v>#NAME?</v>
      </c>
      <c r="Z559" s="1247"/>
    </row>
    <row r="560" spans="1:26" x14ac:dyDescent="0.2">
      <c r="A560" s="1338"/>
      <c r="B560" s="1339"/>
      <c r="C560" s="1340"/>
      <c r="D560" s="1341"/>
      <c r="E560" s="1338"/>
      <c r="F560" s="1339"/>
      <c r="G560" s="1340"/>
      <c r="H560" s="1341"/>
      <c r="I560" s="1338"/>
      <c r="J560" s="1339"/>
      <c r="K560" s="1340"/>
      <c r="L560" s="1341"/>
      <c r="M560" s="1338"/>
      <c r="N560" s="1339"/>
      <c r="O560" s="1340"/>
      <c r="P560" s="1341"/>
      <c r="X560" s="1343" t="e">
        <f ca="1"/>
        <v>#NAME?</v>
      </c>
      <c r="Y560" s="1344" t="e">
        <f ca="1"/>
        <v>#NAME?</v>
      </c>
      <c r="Z560" s="1247"/>
    </row>
    <row r="561" spans="1:26" x14ac:dyDescent="0.2">
      <c r="A561" s="1338"/>
      <c r="B561" s="1339"/>
      <c r="C561" s="1340"/>
      <c r="D561" s="1341"/>
      <c r="E561" s="1338"/>
      <c r="F561" s="1339"/>
      <c r="G561" s="1340"/>
      <c r="H561" s="1341"/>
      <c r="I561" s="1338"/>
      <c r="J561" s="1339"/>
      <c r="K561" s="1340"/>
      <c r="L561" s="1341"/>
      <c r="M561" s="1338"/>
      <c r="N561" s="1339"/>
      <c r="O561" s="1340"/>
      <c r="P561" s="1341"/>
      <c r="X561" s="1343" t="e">
        <f ca="1"/>
        <v>#NAME?</v>
      </c>
      <c r="Y561" s="1344" t="e">
        <f ca="1"/>
        <v>#NAME?</v>
      </c>
      <c r="Z561" s="1247"/>
    </row>
    <row r="562" spans="1:26" x14ac:dyDescent="0.2">
      <c r="A562" s="1338"/>
      <c r="B562" s="1339"/>
      <c r="C562" s="1340"/>
      <c r="D562" s="1341"/>
      <c r="E562" s="1338"/>
      <c r="F562" s="1339"/>
      <c r="G562" s="1340"/>
      <c r="H562" s="1341"/>
      <c r="I562" s="1338"/>
      <c r="J562" s="1339"/>
      <c r="K562" s="1340"/>
      <c r="L562" s="1341"/>
      <c r="M562" s="1338"/>
      <c r="N562" s="1339"/>
      <c r="O562" s="1340"/>
      <c r="P562" s="1341"/>
      <c r="X562" s="1343" t="e">
        <f ca="1"/>
        <v>#NAME?</v>
      </c>
      <c r="Y562" s="1344" t="e">
        <f ca="1"/>
        <v>#NAME?</v>
      </c>
      <c r="Z562" s="1247"/>
    </row>
    <row r="563" spans="1:26" x14ac:dyDescent="0.2">
      <c r="A563" s="1338"/>
      <c r="B563" s="1339"/>
      <c r="C563" s="1340"/>
      <c r="D563" s="1341"/>
      <c r="E563" s="1338"/>
      <c r="F563" s="1339"/>
      <c r="G563" s="1340"/>
      <c r="H563" s="1341"/>
      <c r="I563" s="1338"/>
      <c r="J563" s="1339"/>
      <c r="K563" s="1340"/>
      <c r="L563" s="1341"/>
      <c r="M563" s="1338"/>
      <c r="N563" s="1339"/>
      <c r="O563" s="1340"/>
      <c r="P563" s="1341"/>
      <c r="X563" s="1343" t="e">
        <f ca="1"/>
        <v>#NAME?</v>
      </c>
      <c r="Y563" s="1344" t="e">
        <f ca="1"/>
        <v>#NAME?</v>
      </c>
      <c r="Z563" s="1247"/>
    </row>
    <row r="564" spans="1:26" x14ac:dyDescent="0.2">
      <c r="A564" s="1338"/>
      <c r="B564" s="1339"/>
      <c r="C564" s="1340"/>
      <c r="D564" s="1341"/>
      <c r="E564" s="1338"/>
      <c r="F564" s="1339"/>
      <c r="G564" s="1340"/>
      <c r="H564" s="1341"/>
      <c r="I564" s="1338"/>
      <c r="J564" s="1339"/>
      <c r="K564" s="1340"/>
      <c r="L564" s="1341"/>
      <c r="M564" s="1338"/>
      <c r="N564" s="1339"/>
      <c r="O564" s="1340"/>
      <c r="P564" s="1341"/>
      <c r="X564" s="1343" t="e">
        <f ca="1"/>
        <v>#NAME?</v>
      </c>
      <c r="Y564" s="1344" t="e">
        <f ca="1"/>
        <v>#NAME?</v>
      </c>
      <c r="Z564" s="1247"/>
    </row>
    <row r="565" spans="1:26" x14ac:dyDescent="0.2">
      <c r="A565" s="1338"/>
      <c r="B565" s="1339"/>
      <c r="C565" s="1340"/>
      <c r="D565" s="1341"/>
      <c r="E565" s="1338"/>
      <c r="F565" s="1339"/>
      <c r="G565" s="1340"/>
      <c r="H565" s="1341"/>
      <c r="I565" s="1338"/>
      <c r="J565" s="1339"/>
      <c r="K565" s="1340"/>
      <c r="L565" s="1341"/>
      <c r="M565" s="1338"/>
      <c r="N565" s="1339"/>
      <c r="O565" s="1340"/>
      <c r="P565" s="1341"/>
      <c r="X565" s="1343" t="e">
        <f ca="1"/>
        <v>#NAME?</v>
      </c>
      <c r="Y565" s="1344" t="e">
        <f ca="1"/>
        <v>#NAME?</v>
      </c>
      <c r="Z565" s="1247"/>
    </row>
    <row r="566" spans="1:26" x14ac:dyDescent="0.2">
      <c r="A566" s="1338"/>
      <c r="B566" s="1339"/>
      <c r="C566" s="1340"/>
      <c r="D566" s="1341"/>
      <c r="E566" s="1338"/>
      <c r="F566" s="1339"/>
      <c r="G566" s="1340"/>
      <c r="H566" s="1341"/>
      <c r="I566" s="1338"/>
      <c r="J566" s="1339"/>
      <c r="K566" s="1340"/>
      <c r="L566" s="1341"/>
      <c r="M566" s="1338"/>
      <c r="N566" s="1339"/>
      <c r="O566" s="1340"/>
      <c r="P566" s="1341"/>
      <c r="X566" s="1343" t="e">
        <f ca="1"/>
        <v>#NAME?</v>
      </c>
      <c r="Y566" s="1344" t="e">
        <f ca="1"/>
        <v>#NAME?</v>
      </c>
      <c r="Z566" s="1247"/>
    </row>
    <row r="567" spans="1:26" x14ac:dyDescent="0.2">
      <c r="A567" s="1338"/>
      <c r="B567" s="1339"/>
      <c r="C567" s="1340"/>
      <c r="D567" s="1341"/>
      <c r="E567" s="1338"/>
      <c r="F567" s="1339"/>
      <c r="G567" s="1340"/>
      <c r="H567" s="1341"/>
      <c r="I567" s="1338"/>
      <c r="J567" s="1339"/>
      <c r="K567" s="1340"/>
      <c r="L567" s="1341"/>
      <c r="M567" s="1338"/>
      <c r="N567" s="1339"/>
      <c r="O567" s="1340"/>
      <c r="P567" s="1341"/>
      <c r="X567" s="1343" t="e">
        <f ca="1"/>
        <v>#NAME?</v>
      </c>
      <c r="Y567" s="1344" t="e">
        <f ca="1"/>
        <v>#NAME?</v>
      </c>
      <c r="Z567" s="1247"/>
    </row>
    <row r="568" spans="1:26" x14ac:dyDescent="0.2">
      <c r="A568" s="1338"/>
      <c r="B568" s="1339"/>
      <c r="C568" s="1340"/>
      <c r="D568" s="1341"/>
      <c r="E568" s="1338"/>
      <c r="F568" s="1339"/>
      <c r="G568" s="1340"/>
      <c r="H568" s="1341"/>
      <c r="I568" s="1338"/>
      <c r="J568" s="1339"/>
      <c r="K568" s="1340"/>
      <c r="L568" s="1341"/>
      <c r="M568" s="1338"/>
      <c r="N568" s="1339"/>
      <c r="O568" s="1340"/>
      <c r="P568" s="1341"/>
      <c r="X568" s="1343" t="e">
        <f ca="1"/>
        <v>#NAME?</v>
      </c>
      <c r="Y568" s="1344" t="e">
        <f ca="1"/>
        <v>#NAME?</v>
      </c>
      <c r="Z568" s="1247"/>
    </row>
    <row r="569" spans="1:26" x14ac:dyDescent="0.2">
      <c r="A569" s="1338"/>
      <c r="B569" s="1339"/>
      <c r="C569" s="1340"/>
      <c r="D569" s="1341"/>
      <c r="E569" s="1338"/>
      <c r="F569" s="1339"/>
      <c r="G569" s="1340"/>
      <c r="H569" s="1341"/>
      <c r="I569" s="1338"/>
      <c r="J569" s="1339"/>
      <c r="K569" s="1340"/>
      <c r="L569" s="1341"/>
      <c r="M569" s="1338"/>
      <c r="N569" s="1339"/>
      <c r="O569" s="1340"/>
      <c r="P569" s="1341"/>
      <c r="X569" s="1343" t="e">
        <f ca="1"/>
        <v>#NAME?</v>
      </c>
      <c r="Y569" s="1344" t="e">
        <f ca="1"/>
        <v>#NAME?</v>
      </c>
      <c r="Z569" s="1247"/>
    </row>
    <row r="570" spans="1:26" x14ac:dyDescent="0.2">
      <c r="A570" s="1338"/>
      <c r="B570" s="1339"/>
      <c r="C570" s="1340"/>
      <c r="D570" s="1341"/>
      <c r="E570" s="1338"/>
      <c r="F570" s="1339"/>
      <c r="G570" s="1340"/>
      <c r="H570" s="1341"/>
      <c r="I570" s="1338"/>
      <c r="J570" s="1339"/>
      <c r="K570" s="1340"/>
      <c r="L570" s="1341"/>
      <c r="M570" s="1338"/>
      <c r="N570" s="1339"/>
      <c r="O570" s="1340"/>
      <c r="P570" s="1341"/>
      <c r="X570" s="1343" t="e">
        <f ca="1"/>
        <v>#NAME?</v>
      </c>
      <c r="Y570" s="1344" t="e">
        <f ca="1"/>
        <v>#NAME?</v>
      </c>
      <c r="Z570" s="1247"/>
    </row>
    <row r="571" spans="1:26" x14ac:dyDescent="0.2">
      <c r="A571" s="1338"/>
      <c r="B571" s="1339"/>
      <c r="C571" s="1340"/>
      <c r="D571" s="1341"/>
      <c r="E571" s="1338"/>
      <c r="F571" s="1339"/>
      <c r="G571" s="1340"/>
      <c r="H571" s="1341"/>
      <c r="I571" s="1338"/>
      <c r="J571" s="1339"/>
      <c r="K571" s="1340"/>
      <c r="L571" s="1341"/>
      <c r="M571" s="1338"/>
      <c r="N571" s="1339"/>
      <c r="O571" s="1340"/>
      <c r="P571" s="1341"/>
      <c r="X571" s="1343" t="e">
        <f ca="1"/>
        <v>#NAME?</v>
      </c>
      <c r="Y571" s="1344" t="e">
        <f ca="1"/>
        <v>#NAME?</v>
      </c>
      <c r="Z571" s="1247"/>
    </row>
    <row r="572" spans="1:26" x14ac:dyDescent="0.2">
      <c r="A572" s="1338"/>
      <c r="B572" s="1339"/>
      <c r="C572" s="1340"/>
      <c r="D572" s="1341"/>
      <c r="E572" s="1338"/>
      <c r="F572" s="1339"/>
      <c r="G572" s="1340"/>
      <c r="H572" s="1341"/>
      <c r="I572" s="1338"/>
      <c r="J572" s="1339"/>
      <c r="K572" s="1340"/>
      <c r="L572" s="1341"/>
      <c r="M572" s="1338"/>
      <c r="N572" s="1339"/>
      <c r="O572" s="1340"/>
      <c r="P572" s="1341"/>
      <c r="X572" s="1343" t="e">
        <f ca="1"/>
        <v>#NAME?</v>
      </c>
      <c r="Y572" s="1344" t="e">
        <f ca="1"/>
        <v>#NAME?</v>
      </c>
      <c r="Z572" s="1247"/>
    </row>
    <row r="573" spans="1:26" x14ac:dyDescent="0.2">
      <c r="A573" s="1338"/>
      <c r="B573" s="1339"/>
      <c r="C573" s="1340"/>
      <c r="D573" s="1341"/>
      <c r="E573" s="1338"/>
      <c r="F573" s="1339"/>
      <c r="G573" s="1340"/>
      <c r="H573" s="1341"/>
      <c r="I573" s="1338"/>
      <c r="J573" s="1339"/>
      <c r="K573" s="1340"/>
      <c r="L573" s="1341"/>
      <c r="M573" s="1338"/>
      <c r="N573" s="1339"/>
      <c r="O573" s="1340"/>
      <c r="P573" s="1341"/>
      <c r="X573" s="1343" t="e">
        <f ca="1"/>
        <v>#NAME?</v>
      </c>
      <c r="Y573" s="1344" t="e">
        <f ca="1"/>
        <v>#NAME?</v>
      </c>
      <c r="Z573" s="1247"/>
    </row>
    <row r="574" spans="1:26" x14ac:dyDescent="0.2">
      <c r="A574" s="1338"/>
      <c r="B574" s="1339"/>
      <c r="C574" s="1340"/>
      <c r="D574" s="1341"/>
      <c r="E574" s="1338"/>
      <c r="F574" s="1339"/>
      <c r="G574" s="1340"/>
      <c r="H574" s="1341"/>
      <c r="I574" s="1338"/>
      <c r="J574" s="1339"/>
      <c r="K574" s="1340"/>
      <c r="L574" s="1341"/>
      <c r="M574" s="1338"/>
      <c r="N574" s="1339"/>
      <c r="O574" s="1340"/>
      <c r="P574" s="1341"/>
      <c r="X574" s="1343" t="e">
        <f ca="1"/>
        <v>#NAME?</v>
      </c>
      <c r="Y574" s="1344" t="e">
        <f ca="1"/>
        <v>#NAME?</v>
      </c>
      <c r="Z574" s="1247"/>
    </row>
    <row r="575" spans="1:26" x14ac:dyDescent="0.2">
      <c r="A575" s="1338"/>
      <c r="B575" s="1339"/>
      <c r="C575" s="1340"/>
      <c r="D575" s="1341"/>
      <c r="E575" s="1338"/>
      <c r="F575" s="1339"/>
      <c r="G575" s="1340"/>
      <c r="H575" s="1341"/>
      <c r="I575" s="1338"/>
      <c r="J575" s="1339"/>
      <c r="K575" s="1340"/>
      <c r="L575" s="1341"/>
      <c r="M575" s="1338"/>
      <c r="N575" s="1339"/>
      <c r="O575" s="1340"/>
      <c r="P575" s="1341"/>
      <c r="X575" s="1343" t="e">
        <f ca="1"/>
        <v>#NAME?</v>
      </c>
      <c r="Y575" s="1344" t="e">
        <f ca="1"/>
        <v>#NAME?</v>
      </c>
      <c r="Z575" s="1247"/>
    </row>
    <row r="576" spans="1:26" x14ac:dyDescent="0.2">
      <c r="A576" s="1338"/>
      <c r="B576" s="1339"/>
      <c r="C576" s="1340"/>
      <c r="D576" s="1341"/>
      <c r="E576" s="1338"/>
      <c r="F576" s="1339"/>
      <c r="G576" s="1340"/>
      <c r="H576" s="1341"/>
      <c r="I576" s="1338"/>
      <c r="J576" s="1339"/>
      <c r="K576" s="1340"/>
      <c r="L576" s="1341"/>
      <c r="M576" s="1338"/>
      <c r="N576" s="1339"/>
      <c r="O576" s="1340"/>
      <c r="P576" s="1341"/>
      <c r="X576" s="1343" t="e">
        <f ca="1"/>
        <v>#NAME?</v>
      </c>
      <c r="Y576" s="1344" t="e">
        <f ca="1"/>
        <v>#NAME?</v>
      </c>
      <c r="Z576" s="1247"/>
    </row>
    <row r="577" spans="1:26" x14ac:dyDescent="0.2">
      <c r="A577" s="1338"/>
      <c r="B577" s="1339"/>
      <c r="C577" s="1340"/>
      <c r="D577" s="1341"/>
      <c r="E577" s="1338"/>
      <c r="F577" s="1339"/>
      <c r="G577" s="1340"/>
      <c r="H577" s="1341"/>
      <c r="I577" s="1338"/>
      <c r="J577" s="1339"/>
      <c r="K577" s="1340"/>
      <c r="L577" s="1341"/>
      <c r="M577" s="1338"/>
      <c r="N577" s="1339"/>
      <c r="O577" s="1340"/>
      <c r="P577" s="1341"/>
      <c r="X577" s="1343" t="e">
        <f ca="1"/>
        <v>#NAME?</v>
      </c>
      <c r="Y577" s="1344" t="e">
        <f ca="1"/>
        <v>#NAME?</v>
      </c>
      <c r="Z577" s="1247"/>
    </row>
    <row r="578" spans="1:26" x14ac:dyDescent="0.2">
      <c r="A578" s="1338"/>
      <c r="B578" s="1339"/>
      <c r="C578" s="1340"/>
      <c r="D578" s="1341"/>
      <c r="E578" s="1338"/>
      <c r="F578" s="1339"/>
      <c r="G578" s="1340"/>
      <c r="H578" s="1341"/>
      <c r="I578" s="1338"/>
      <c r="J578" s="1339"/>
      <c r="K578" s="1340"/>
      <c r="L578" s="1341"/>
      <c r="M578" s="1338"/>
      <c r="N578" s="1339"/>
      <c r="O578" s="1340"/>
      <c r="P578" s="1341"/>
      <c r="X578" s="1343" t="e">
        <f ca="1"/>
        <v>#NAME?</v>
      </c>
      <c r="Y578" s="1344" t="e">
        <f ca="1"/>
        <v>#NAME?</v>
      </c>
      <c r="Z578" s="1247"/>
    </row>
    <row r="579" spans="1:26" x14ac:dyDescent="0.2">
      <c r="A579" s="1338"/>
      <c r="B579" s="1339"/>
      <c r="C579" s="1340"/>
      <c r="D579" s="1341"/>
      <c r="E579" s="1338"/>
      <c r="F579" s="1339"/>
      <c r="G579" s="1340"/>
      <c r="H579" s="1341"/>
      <c r="I579" s="1338"/>
      <c r="J579" s="1339"/>
      <c r="K579" s="1340"/>
      <c r="L579" s="1341"/>
      <c r="M579" s="1338"/>
      <c r="N579" s="1339"/>
      <c r="O579" s="1340"/>
      <c r="P579" s="1341"/>
      <c r="X579" s="1343" t="e">
        <f ca="1"/>
        <v>#NAME?</v>
      </c>
      <c r="Y579" s="1344" t="e">
        <f ca="1"/>
        <v>#NAME?</v>
      </c>
      <c r="Z579" s="1247"/>
    </row>
    <row r="580" spans="1:26" x14ac:dyDescent="0.2">
      <c r="A580" s="1338"/>
      <c r="B580" s="1339"/>
      <c r="C580" s="1340"/>
      <c r="D580" s="1341"/>
      <c r="E580" s="1338"/>
      <c r="F580" s="1339"/>
      <c r="G580" s="1340"/>
      <c r="H580" s="1341"/>
      <c r="I580" s="1338"/>
      <c r="J580" s="1339"/>
      <c r="K580" s="1340"/>
      <c r="L580" s="1341"/>
      <c r="M580" s="1338"/>
      <c r="N580" s="1339"/>
      <c r="O580" s="1340"/>
      <c r="P580" s="1341"/>
      <c r="X580" s="1343" t="e">
        <f ca="1"/>
        <v>#NAME?</v>
      </c>
      <c r="Y580" s="1344" t="e">
        <f ca="1"/>
        <v>#NAME?</v>
      </c>
      <c r="Z580" s="1247"/>
    </row>
    <row r="581" spans="1:26" x14ac:dyDescent="0.2">
      <c r="A581" s="1338"/>
      <c r="B581" s="1339"/>
      <c r="C581" s="1340"/>
      <c r="D581" s="1341"/>
      <c r="E581" s="1338"/>
      <c r="F581" s="1339"/>
      <c r="G581" s="1340"/>
      <c r="H581" s="1341"/>
      <c r="I581" s="1338"/>
      <c r="J581" s="1339"/>
      <c r="K581" s="1340"/>
      <c r="L581" s="1341"/>
      <c r="M581" s="1338"/>
      <c r="N581" s="1339"/>
      <c r="O581" s="1340"/>
      <c r="P581" s="1341"/>
      <c r="X581" s="1343" t="e">
        <f ca="1"/>
        <v>#NAME?</v>
      </c>
      <c r="Y581" s="1344" t="e">
        <f ca="1"/>
        <v>#NAME?</v>
      </c>
      <c r="Z581" s="1247"/>
    </row>
    <row r="582" spans="1:26" x14ac:dyDescent="0.2">
      <c r="A582" s="1338"/>
      <c r="B582" s="1339"/>
      <c r="C582" s="1340"/>
      <c r="D582" s="1341"/>
      <c r="E582" s="1338"/>
      <c r="F582" s="1339"/>
      <c r="G582" s="1340"/>
      <c r="H582" s="1341"/>
      <c r="I582" s="1338"/>
      <c r="J582" s="1339"/>
      <c r="K582" s="1340"/>
      <c r="L582" s="1341"/>
      <c r="M582" s="1338"/>
      <c r="N582" s="1339"/>
      <c r="O582" s="1340"/>
      <c r="P582" s="1341"/>
      <c r="X582" s="1343" t="e">
        <f ca="1"/>
        <v>#NAME?</v>
      </c>
      <c r="Y582" s="1344" t="e">
        <f ca="1"/>
        <v>#NAME?</v>
      </c>
      <c r="Z582" s="1247"/>
    </row>
    <row r="583" spans="1:26" x14ac:dyDescent="0.2">
      <c r="A583" s="1338"/>
      <c r="B583" s="1339"/>
      <c r="C583" s="1340"/>
      <c r="D583" s="1341"/>
      <c r="E583" s="1338"/>
      <c r="F583" s="1339"/>
      <c r="G583" s="1340"/>
      <c r="H583" s="1341"/>
      <c r="I583" s="1338"/>
      <c r="J583" s="1339"/>
      <c r="K583" s="1340"/>
      <c r="L583" s="1341"/>
      <c r="M583" s="1338"/>
      <c r="N583" s="1339"/>
      <c r="O583" s="1340"/>
      <c r="P583" s="1341"/>
      <c r="X583" s="1343" t="e">
        <f ca="1"/>
        <v>#NAME?</v>
      </c>
      <c r="Y583" s="1344" t="e">
        <f ca="1"/>
        <v>#NAME?</v>
      </c>
      <c r="Z583" s="1247"/>
    </row>
    <row r="584" spans="1:26" x14ac:dyDescent="0.2">
      <c r="A584" s="1338"/>
      <c r="B584" s="1339"/>
      <c r="C584" s="1340"/>
      <c r="D584" s="1341"/>
      <c r="E584" s="1338"/>
      <c r="F584" s="1339"/>
      <c r="G584" s="1340"/>
      <c r="H584" s="1341"/>
      <c r="I584" s="1338"/>
      <c r="J584" s="1339"/>
      <c r="K584" s="1340"/>
      <c r="L584" s="1341"/>
      <c r="M584" s="1338"/>
      <c r="N584" s="1339"/>
      <c r="O584" s="1340"/>
      <c r="P584" s="1341"/>
      <c r="X584" s="1343" t="e">
        <f ca="1"/>
        <v>#NAME?</v>
      </c>
      <c r="Y584" s="1344" t="e">
        <f ca="1"/>
        <v>#NAME?</v>
      </c>
      <c r="Z584" s="1247"/>
    </row>
    <row r="585" spans="1:26" x14ac:dyDescent="0.2">
      <c r="A585" s="1338"/>
      <c r="B585" s="1339"/>
      <c r="C585" s="1340"/>
      <c r="D585" s="1341"/>
      <c r="E585" s="1338"/>
      <c r="F585" s="1339"/>
      <c r="G585" s="1340"/>
      <c r="H585" s="1341"/>
      <c r="I585" s="1338"/>
      <c r="J585" s="1339"/>
      <c r="K585" s="1340"/>
      <c r="L585" s="1341"/>
      <c r="M585" s="1338"/>
      <c r="N585" s="1339"/>
      <c r="O585" s="1340"/>
      <c r="P585" s="1341"/>
      <c r="X585" s="1343" t="e">
        <f ca="1"/>
        <v>#NAME?</v>
      </c>
      <c r="Y585" s="1344" t="e">
        <f ca="1"/>
        <v>#NAME?</v>
      </c>
      <c r="Z585" s="1247"/>
    </row>
    <row r="586" spans="1:26" x14ac:dyDescent="0.2">
      <c r="A586" s="1338"/>
      <c r="B586" s="1339"/>
      <c r="C586" s="1340"/>
      <c r="D586" s="1341"/>
      <c r="E586" s="1338"/>
      <c r="F586" s="1339"/>
      <c r="G586" s="1340"/>
      <c r="H586" s="1341"/>
      <c r="I586" s="1338"/>
      <c r="J586" s="1339"/>
      <c r="K586" s="1340"/>
      <c r="L586" s="1341"/>
      <c r="M586" s="1338"/>
      <c r="N586" s="1339"/>
      <c r="O586" s="1340"/>
      <c r="P586" s="1341"/>
      <c r="X586" s="1343" t="e">
        <f ca="1"/>
        <v>#NAME?</v>
      </c>
      <c r="Y586" s="1344" t="e">
        <f ca="1"/>
        <v>#NAME?</v>
      </c>
      <c r="Z586" s="1247"/>
    </row>
    <row r="587" spans="1:26" x14ac:dyDescent="0.2">
      <c r="A587" s="1338"/>
      <c r="B587" s="1339"/>
      <c r="C587" s="1340"/>
      <c r="D587" s="1341"/>
      <c r="E587" s="1338"/>
      <c r="F587" s="1339"/>
      <c r="G587" s="1340"/>
      <c r="H587" s="1341"/>
      <c r="I587" s="1338"/>
      <c r="J587" s="1339"/>
      <c r="K587" s="1340"/>
      <c r="L587" s="1341"/>
      <c r="M587" s="1338"/>
      <c r="N587" s="1339"/>
      <c r="O587" s="1340"/>
      <c r="P587" s="1341"/>
      <c r="X587" s="1343" t="e">
        <f ca="1"/>
        <v>#NAME?</v>
      </c>
      <c r="Y587" s="1344" t="e">
        <f ca="1"/>
        <v>#NAME?</v>
      </c>
      <c r="Z587" s="1247"/>
    </row>
    <row r="588" spans="1:26" x14ac:dyDescent="0.2">
      <c r="A588" s="1338"/>
      <c r="B588" s="1339"/>
      <c r="C588" s="1340"/>
      <c r="D588" s="1341"/>
      <c r="E588" s="1338"/>
      <c r="F588" s="1339"/>
      <c r="G588" s="1340"/>
      <c r="H588" s="1341"/>
      <c r="I588" s="1338"/>
      <c r="J588" s="1339"/>
      <c r="K588" s="1340"/>
      <c r="L588" s="1341"/>
      <c r="M588" s="1338"/>
      <c r="N588" s="1339"/>
      <c r="O588" s="1340"/>
      <c r="P588" s="1341"/>
      <c r="X588" s="1343" t="e">
        <f ca="1"/>
        <v>#NAME?</v>
      </c>
      <c r="Y588" s="1344" t="e">
        <f ca="1"/>
        <v>#NAME?</v>
      </c>
      <c r="Z588" s="1247"/>
    </row>
    <row r="589" spans="1:26" x14ac:dyDescent="0.2">
      <c r="A589" s="1338"/>
      <c r="B589" s="1339"/>
      <c r="C589" s="1340"/>
      <c r="D589" s="1341"/>
      <c r="E589" s="1338"/>
      <c r="F589" s="1339"/>
      <c r="G589" s="1340"/>
      <c r="H589" s="1341"/>
      <c r="I589" s="1338"/>
      <c r="J589" s="1339"/>
      <c r="K589" s="1340"/>
      <c r="L589" s="1341"/>
      <c r="M589" s="1338"/>
      <c r="N589" s="1339"/>
      <c r="O589" s="1340"/>
      <c r="P589" s="1341"/>
      <c r="X589" s="1343" t="e">
        <f ca="1"/>
        <v>#NAME?</v>
      </c>
      <c r="Y589" s="1344" t="e">
        <f ca="1"/>
        <v>#NAME?</v>
      </c>
      <c r="Z589" s="1247"/>
    </row>
    <row r="590" spans="1:26" x14ac:dyDescent="0.2">
      <c r="A590" s="1338"/>
      <c r="B590" s="1339"/>
      <c r="C590" s="1340"/>
      <c r="D590" s="1341"/>
      <c r="E590" s="1338"/>
      <c r="F590" s="1339"/>
      <c r="G590" s="1340"/>
      <c r="H590" s="1341"/>
      <c r="I590" s="1338"/>
      <c r="J590" s="1339"/>
      <c r="K590" s="1340"/>
      <c r="L590" s="1341"/>
      <c r="M590" s="1338"/>
      <c r="N590" s="1339"/>
      <c r="O590" s="1340"/>
      <c r="P590" s="1341"/>
      <c r="X590" s="1343" t="e">
        <f ca="1"/>
        <v>#NAME?</v>
      </c>
      <c r="Y590" s="1344" t="e">
        <f ca="1"/>
        <v>#NAME?</v>
      </c>
      <c r="Z590" s="1247"/>
    </row>
    <row r="591" spans="1:26" x14ac:dyDescent="0.2">
      <c r="A591" s="1338"/>
      <c r="B591" s="1339"/>
      <c r="C591" s="1340"/>
      <c r="D591" s="1341"/>
      <c r="E591" s="1338"/>
      <c r="F591" s="1339"/>
      <c r="G591" s="1340"/>
      <c r="H591" s="1341"/>
      <c r="I591" s="1338"/>
      <c r="J591" s="1339"/>
      <c r="K591" s="1340"/>
      <c r="L591" s="1341"/>
      <c r="M591" s="1338"/>
      <c r="N591" s="1339"/>
      <c r="O591" s="1340"/>
      <c r="P591" s="1341"/>
      <c r="X591" s="1343" t="e">
        <f ca="1"/>
        <v>#NAME?</v>
      </c>
      <c r="Y591" s="1344" t="e">
        <f ca="1"/>
        <v>#NAME?</v>
      </c>
      <c r="Z591" s="1247"/>
    </row>
    <row r="592" spans="1:26" x14ac:dyDescent="0.2">
      <c r="A592" s="1338"/>
      <c r="B592" s="1339"/>
      <c r="C592" s="1340"/>
      <c r="D592" s="1341"/>
      <c r="E592" s="1338"/>
      <c r="F592" s="1339"/>
      <c r="G592" s="1340"/>
      <c r="H592" s="1341"/>
      <c r="I592" s="1338"/>
      <c r="J592" s="1339"/>
      <c r="K592" s="1340"/>
      <c r="L592" s="1341"/>
      <c r="M592" s="1338"/>
      <c r="N592" s="1339"/>
      <c r="O592" s="1340"/>
      <c r="P592" s="1341"/>
      <c r="X592" s="1343" t="e">
        <f ca="1"/>
        <v>#NAME?</v>
      </c>
      <c r="Y592" s="1344" t="e">
        <f ca="1"/>
        <v>#NAME?</v>
      </c>
      <c r="Z592" s="1247"/>
    </row>
    <row r="593" spans="1:26" x14ac:dyDescent="0.2">
      <c r="A593" s="1338"/>
      <c r="B593" s="1339"/>
      <c r="C593" s="1340"/>
      <c r="D593" s="1341"/>
      <c r="E593" s="1338"/>
      <c r="F593" s="1339"/>
      <c r="G593" s="1340"/>
      <c r="H593" s="1341"/>
      <c r="I593" s="1338"/>
      <c r="J593" s="1339"/>
      <c r="K593" s="1340"/>
      <c r="L593" s="1341"/>
      <c r="M593" s="1338"/>
      <c r="N593" s="1339"/>
      <c r="O593" s="1340"/>
      <c r="P593" s="1341"/>
      <c r="X593" s="1343" t="e">
        <f ca="1"/>
        <v>#NAME?</v>
      </c>
      <c r="Y593" s="1344" t="e">
        <f ca="1"/>
        <v>#NAME?</v>
      </c>
      <c r="Z593" s="1247"/>
    </row>
    <row r="594" spans="1:26" x14ac:dyDescent="0.2">
      <c r="A594" s="1338"/>
      <c r="B594" s="1339"/>
      <c r="C594" s="1340"/>
      <c r="D594" s="1341"/>
      <c r="E594" s="1338"/>
      <c r="F594" s="1339"/>
      <c r="G594" s="1340"/>
      <c r="H594" s="1341"/>
      <c r="I594" s="1338"/>
      <c r="J594" s="1339"/>
      <c r="K594" s="1340"/>
      <c r="L594" s="1341"/>
      <c r="M594" s="1338"/>
      <c r="N594" s="1339"/>
      <c r="O594" s="1340"/>
      <c r="P594" s="1341"/>
      <c r="X594" s="1343" t="e">
        <f ca="1"/>
        <v>#NAME?</v>
      </c>
      <c r="Y594" s="1344" t="e">
        <f ca="1"/>
        <v>#NAME?</v>
      </c>
      <c r="Z594" s="1247"/>
    </row>
    <row r="595" spans="1:26" x14ac:dyDescent="0.2">
      <c r="A595" s="1338"/>
      <c r="B595" s="1339"/>
      <c r="C595" s="1340"/>
      <c r="D595" s="1341"/>
      <c r="E595" s="1338"/>
      <c r="F595" s="1339"/>
      <c r="G595" s="1340"/>
      <c r="H595" s="1341"/>
      <c r="I595" s="1338"/>
      <c r="J595" s="1339"/>
      <c r="K595" s="1340"/>
      <c r="L595" s="1341"/>
      <c r="M595" s="1338"/>
      <c r="N595" s="1339"/>
      <c r="O595" s="1340"/>
      <c r="P595" s="1341"/>
      <c r="X595" s="1343" t="e">
        <f ca="1"/>
        <v>#NAME?</v>
      </c>
      <c r="Y595" s="1344" t="e">
        <f ca="1"/>
        <v>#NAME?</v>
      </c>
      <c r="Z595" s="1247"/>
    </row>
    <row r="596" spans="1:26" x14ac:dyDescent="0.2">
      <c r="A596" s="1338"/>
      <c r="B596" s="1339"/>
      <c r="C596" s="1340"/>
      <c r="D596" s="1341"/>
      <c r="E596" s="1338"/>
      <c r="F596" s="1339"/>
      <c r="G596" s="1340"/>
      <c r="H596" s="1341"/>
      <c r="I596" s="1338"/>
      <c r="J596" s="1339"/>
      <c r="K596" s="1340"/>
      <c r="L596" s="1341"/>
      <c r="M596" s="1338"/>
      <c r="N596" s="1339"/>
      <c r="O596" s="1340"/>
      <c r="P596" s="1341"/>
      <c r="X596" s="1343" t="e">
        <f ca="1"/>
        <v>#NAME?</v>
      </c>
      <c r="Y596" s="1344" t="e">
        <f ca="1"/>
        <v>#NAME?</v>
      </c>
      <c r="Z596" s="1247"/>
    </row>
    <row r="597" spans="1:26" x14ac:dyDescent="0.2">
      <c r="A597" s="1338"/>
      <c r="B597" s="1339"/>
      <c r="C597" s="1340"/>
      <c r="D597" s="1341"/>
      <c r="E597" s="1338"/>
      <c r="F597" s="1339"/>
      <c r="G597" s="1340"/>
      <c r="H597" s="1341"/>
      <c r="I597" s="1338"/>
      <c r="J597" s="1339"/>
      <c r="K597" s="1340"/>
      <c r="L597" s="1341"/>
      <c r="M597" s="1338"/>
      <c r="N597" s="1339"/>
      <c r="O597" s="1340"/>
      <c r="P597" s="1341"/>
      <c r="X597" s="1343" t="e">
        <f ca="1"/>
        <v>#NAME?</v>
      </c>
      <c r="Y597" s="1344" t="e">
        <f ca="1"/>
        <v>#NAME?</v>
      </c>
      <c r="Z597" s="1247"/>
    </row>
    <row r="598" spans="1:26" x14ac:dyDescent="0.2">
      <c r="A598" s="1338"/>
      <c r="B598" s="1339"/>
      <c r="C598" s="1340"/>
      <c r="D598" s="1341"/>
      <c r="E598" s="1338"/>
      <c r="F598" s="1339"/>
      <c r="G598" s="1340"/>
      <c r="H598" s="1341"/>
      <c r="I598" s="1338"/>
      <c r="J598" s="1339"/>
      <c r="K598" s="1340"/>
      <c r="L598" s="1341"/>
      <c r="M598" s="1338"/>
      <c r="N598" s="1339"/>
      <c r="O598" s="1340"/>
      <c r="P598" s="1341"/>
      <c r="X598" s="1343" t="e">
        <f ca="1"/>
        <v>#NAME?</v>
      </c>
      <c r="Y598" s="1344" t="e">
        <f ca="1"/>
        <v>#NAME?</v>
      </c>
      <c r="Z598" s="1247"/>
    </row>
    <row r="599" spans="1:26" x14ac:dyDescent="0.2">
      <c r="A599" s="1338"/>
      <c r="B599" s="1339"/>
      <c r="C599" s="1340"/>
      <c r="D599" s="1341"/>
      <c r="E599" s="1338"/>
      <c r="F599" s="1339"/>
      <c r="G599" s="1340"/>
      <c r="H599" s="1341"/>
      <c r="I599" s="1338"/>
      <c r="J599" s="1339"/>
      <c r="K599" s="1340"/>
      <c r="L599" s="1341"/>
      <c r="M599" s="1338"/>
      <c r="N599" s="1339"/>
      <c r="O599" s="1340"/>
      <c r="P599" s="1341"/>
      <c r="X599" s="1343" t="e">
        <f ca="1"/>
        <v>#NAME?</v>
      </c>
      <c r="Y599" s="1344" t="e">
        <f ca="1"/>
        <v>#NAME?</v>
      </c>
      <c r="Z599" s="1247"/>
    </row>
    <row r="600" spans="1:26" x14ac:dyDescent="0.2">
      <c r="A600" s="1338"/>
      <c r="B600" s="1339"/>
      <c r="C600" s="1340"/>
      <c r="D600" s="1341"/>
      <c r="E600" s="1338"/>
      <c r="F600" s="1339"/>
      <c r="G600" s="1340"/>
      <c r="H600" s="1341"/>
      <c r="I600" s="1338"/>
      <c r="J600" s="1339"/>
      <c r="K600" s="1340"/>
      <c r="L600" s="1341"/>
      <c r="M600" s="1338"/>
      <c r="N600" s="1339"/>
      <c r="O600" s="1340"/>
      <c r="P600" s="1341"/>
      <c r="X600" s="1343" t="e">
        <f ca="1"/>
        <v>#NAME?</v>
      </c>
      <c r="Y600" s="1344" t="e">
        <f ca="1"/>
        <v>#NAME?</v>
      </c>
      <c r="Z600" s="1247"/>
    </row>
    <row r="601" spans="1:26" x14ac:dyDescent="0.2">
      <c r="A601" s="1338"/>
      <c r="B601" s="1339"/>
      <c r="C601" s="1340"/>
      <c r="D601" s="1341"/>
      <c r="E601" s="1338"/>
      <c r="F601" s="1339"/>
      <c r="G601" s="1340"/>
      <c r="H601" s="1341"/>
      <c r="I601" s="1338"/>
      <c r="J601" s="1339"/>
      <c r="K601" s="1340"/>
      <c r="L601" s="1341"/>
      <c r="M601" s="1338"/>
      <c r="N601" s="1339"/>
      <c r="O601" s="1340"/>
      <c r="P601" s="1341"/>
      <c r="X601" s="1343" t="e">
        <f ca="1"/>
        <v>#NAME?</v>
      </c>
      <c r="Y601" s="1344" t="e">
        <f ca="1"/>
        <v>#NAME?</v>
      </c>
      <c r="Z601" s="1247"/>
    </row>
    <row r="602" spans="1:26" x14ac:dyDescent="0.2">
      <c r="A602" s="1338"/>
      <c r="B602" s="1339"/>
      <c r="C602" s="1340"/>
      <c r="D602" s="1341"/>
      <c r="E602" s="1338"/>
      <c r="F602" s="1339"/>
      <c r="G602" s="1340"/>
      <c r="H602" s="1341"/>
      <c r="I602" s="1338"/>
      <c r="J602" s="1339"/>
      <c r="K602" s="1340"/>
      <c r="L602" s="1341"/>
      <c r="M602" s="1338"/>
      <c r="N602" s="1339"/>
      <c r="O602" s="1340"/>
      <c r="P602" s="1341"/>
      <c r="X602" s="1343" t="e">
        <f ca="1"/>
        <v>#NAME?</v>
      </c>
      <c r="Y602" s="1344" t="e">
        <f ca="1"/>
        <v>#NAME?</v>
      </c>
      <c r="Z602" s="1247"/>
    </row>
    <row r="603" spans="1:26" x14ac:dyDescent="0.2">
      <c r="A603" s="1338"/>
      <c r="B603" s="1339"/>
      <c r="C603" s="1340"/>
      <c r="D603" s="1341"/>
      <c r="E603" s="1338"/>
      <c r="F603" s="1339"/>
      <c r="G603" s="1340"/>
      <c r="H603" s="1341"/>
      <c r="I603" s="1338"/>
      <c r="J603" s="1339"/>
      <c r="K603" s="1340"/>
      <c r="L603" s="1341"/>
      <c r="M603" s="1338"/>
      <c r="N603" s="1339"/>
      <c r="O603" s="1340"/>
      <c r="P603" s="1341"/>
      <c r="X603" s="1343" t="e">
        <f ca="1"/>
        <v>#NAME?</v>
      </c>
      <c r="Y603" s="1344" t="e">
        <f ca="1"/>
        <v>#NAME?</v>
      </c>
      <c r="Z603" s="1247"/>
    </row>
    <row r="604" spans="1:26" x14ac:dyDescent="0.2">
      <c r="A604" s="1338"/>
      <c r="B604" s="1339"/>
      <c r="C604" s="1340"/>
      <c r="D604" s="1341"/>
      <c r="E604" s="1338"/>
      <c r="F604" s="1339"/>
      <c r="G604" s="1340"/>
      <c r="H604" s="1341"/>
      <c r="I604" s="1338"/>
      <c r="J604" s="1339"/>
      <c r="K604" s="1340"/>
      <c r="L604" s="1341"/>
      <c r="M604" s="1338"/>
      <c r="N604" s="1339"/>
      <c r="O604" s="1340"/>
      <c r="P604" s="1341"/>
      <c r="X604" s="1343" t="e">
        <f ca="1"/>
        <v>#NAME?</v>
      </c>
      <c r="Y604" s="1344" t="e">
        <f ca="1"/>
        <v>#NAME?</v>
      </c>
      <c r="Z604" s="1247"/>
    </row>
    <row r="605" spans="1:26" x14ac:dyDescent="0.2">
      <c r="A605" s="1338"/>
      <c r="B605" s="1339"/>
      <c r="C605" s="1340"/>
      <c r="D605" s="1341"/>
      <c r="E605" s="1338"/>
      <c r="F605" s="1339"/>
      <c r="G605" s="1340"/>
      <c r="H605" s="1341"/>
      <c r="I605" s="1338"/>
      <c r="J605" s="1339"/>
      <c r="K605" s="1340"/>
      <c r="L605" s="1341"/>
      <c r="M605" s="1338"/>
      <c r="N605" s="1339"/>
      <c r="O605" s="1340"/>
      <c r="P605" s="1341"/>
      <c r="X605" s="1343" t="e">
        <f ca="1"/>
        <v>#NAME?</v>
      </c>
      <c r="Y605" s="1344" t="e">
        <f ca="1"/>
        <v>#NAME?</v>
      </c>
      <c r="Z605" s="1247"/>
    </row>
    <row r="606" spans="1:26" x14ac:dyDescent="0.2">
      <c r="A606" s="1338"/>
      <c r="B606" s="1339"/>
      <c r="C606" s="1340"/>
      <c r="D606" s="1341"/>
      <c r="E606" s="1338"/>
      <c r="F606" s="1339"/>
      <c r="G606" s="1340"/>
      <c r="H606" s="1341"/>
      <c r="I606" s="1338"/>
      <c r="J606" s="1339"/>
      <c r="K606" s="1340"/>
      <c r="L606" s="1341"/>
      <c r="M606" s="1338"/>
      <c r="N606" s="1339"/>
      <c r="O606" s="1340"/>
      <c r="P606" s="1341"/>
      <c r="X606" s="1343" t="e">
        <f ca="1"/>
        <v>#NAME?</v>
      </c>
      <c r="Y606" s="1344" t="e">
        <f ca="1"/>
        <v>#NAME?</v>
      </c>
      <c r="Z606" s="1247"/>
    </row>
    <row r="607" spans="1:26" x14ac:dyDescent="0.2">
      <c r="A607" s="1338"/>
      <c r="B607" s="1339"/>
      <c r="C607" s="1340"/>
      <c r="D607" s="1341"/>
      <c r="E607" s="1338"/>
      <c r="F607" s="1339"/>
      <c r="G607" s="1340"/>
      <c r="H607" s="1341"/>
      <c r="I607" s="1338"/>
      <c r="J607" s="1339"/>
      <c r="K607" s="1340"/>
      <c r="L607" s="1341"/>
      <c r="M607" s="1338"/>
      <c r="N607" s="1339"/>
      <c r="O607" s="1340"/>
      <c r="P607" s="1341"/>
      <c r="X607" s="1343" t="e">
        <f ca="1"/>
        <v>#NAME?</v>
      </c>
      <c r="Y607" s="1344" t="e">
        <f ca="1"/>
        <v>#NAME?</v>
      </c>
      <c r="Z607" s="1247"/>
    </row>
    <row r="608" spans="1:26" x14ac:dyDescent="0.2">
      <c r="A608" s="1338"/>
      <c r="B608" s="1339"/>
      <c r="C608" s="1340"/>
      <c r="D608" s="1341"/>
      <c r="E608" s="1338"/>
      <c r="F608" s="1339"/>
      <c r="G608" s="1340"/>
      <c r="H608" s="1341"/>
      <c r="I608" s="1338"/>
      <c r="J608" s="1339"/>
      <c r="K608" s="1340"/>
      <c r="L608" s="1341"/>
      <c r="M608" s="1338"/>
      <c r="N608" s="1339"/>
      <c r="O608" s="1340"/>
      <c r="P608" s="1341"/>
      <c r="X608" s="1343" t="e">
        <f ca="1"/>
        <v>#NAME?</v>
      </c>
      <c r="Y608" s="1344" t="e">
        <f ca="1"/>
        <v>#NAME?</v>
      </c>
      <c r="Z608" s="1247"/>
    </row>
    <row r="609" spans="1:26" x14ac:dyDescent="0.2">
      <c r="A609" s="1338"/>
      <c r="B609" s="1339"/>
      <c r="C609" s="1340"/>
      <c r="D609" s="1341"/>
      <c r="E609" s="1338"/>
      <c r="F609" s="1339"/>
      <c r="G609" s="1340"/>
      <c r="H609" s="1341"/>
      <c r="I609" s="1338"/>
      <c r="J609" s="1339"/>
      <c r="K609" s="1340"/>
      <c r="L609" s="1341"/>
      <c r="M609" s="1338"/>
      <c r="N609" s="1339"/>
      <c r="O609" s="1340"/>
      <c r="P609" s="1341"/>
      <c r="X609" s="1343" t="e">
        <f ca="1"/>
        <v>#NAME?</v>
      </c>
      <c r="Y609" s="1344" t="e">
        <f ca="1"/>
        <v>#NAME?</v>
      </c>
      <c r="Z609" s="1247"/>
    </row>
    <row r="610" spans="1:26" x14ac:dyDescent="0.2">
      <c r="A610" s="1338"/>
      <c r="B610" s="1339"/>
      <c r="C610" s="1340"/>
      <c r="D610" s="1341"/>
      <c r="E610" s="1338"/>
      <c r="F610" s="1339"/>
      <c r="G610" s="1340"/>
      <c r="H610" s="1341"/>
      <c r="I610" s="1338"/>
      <c r="J610" s="1339"/>
      <c r="K610" s="1340"/>
      <c r="L610" s="1341"/>
      <c r="M610" s="1338"/>
      <c r="N610" s="1339"/>
      <c r="O610" s="1340"/>
      <c r="P610" s="1341"/>
      <c r="X610" s="1343" t="e">
        <f ca="1"/>
        <v>#NAME?</v>
      </c>
      <c r="Y610" s="1344" t="e">
        <f ca="1"/>
        <v>#NAME?</v>
      </c>
      <c r="Z610" s="1247"/>
    </row>
    <row r="611" spans="1:26" x14ac:dyDescent="0.2">
      <c r="A611" s="1338"/>
      <c r="B611" s="1339"/>
      <c r="C611" s="1340"/>
      <c r="D611" s="1341"/>
      <c r="E611" s="1338"/>
      <c r="F611" s="1339"/>
      <c r="G611" s="1340"/>
      <c r="H611" s="1341"/>
      <c r="I611" s="1338"/>
      <c r="J611" s="1339"/>
      <c r="K611" s="1340"/>
      <c r="L611" s="1341"/>
      <c r="M611" s="1338"/>
      <c r="N611" s="1339"/>
      <c r="O611" s="1340"/>
      <c r="P611" s="1341"/>
      <c r="X611" s="1343" t="e">
        <f ca="1"/>
        <v>#NAME?</v>
      </c>
      <c r="Y611" s="1344" t="e">
        <f ca="1"/>
        <v>#NAME?</v>
      </c>
      <c r="Z611" s="1247"/>
    </row>
    <row r="612" spans="1:26" x14ac:dyDescent="0.2">
      <c r="A612" s="1338"/>
      <c r="B612" s="1339"/>
      <c r="C612" s="1340"/>
      <c r="D612" s="1341"/>
      <c r="E612" s="1338"/>
      <c r="F612" s="1339"/>
      <c r="G612" s="1340"/>
      <c r="H612" s="1341"/>
      <c r="I612" s="1338"/>
      <c r="J612" s="1339"/>
      <c r="K612" s="1340"/>
      <c r="L612" s="1341"/>
      <c r="M612" s="1338"/>
      <c r="N612" s="1339"/>
      <c r="O612" s="1340"/>
      <c r="P612" s="1341"/>
      <c r="X612" s="1343" t="e">
        <f ca="1"/>
        <v>#NAME?</v>
      </c>
      <c r="Y612" s="1344" t="e">
        <f ca="1"/>
        <v>#NAME?</v>
      </c>
      <c r="Z612" s="1247"/>
    </row>
    <row r="613" spans="1:26" x14ac:dyDescent="0.2">
      <c r="A613" s="1338"/>
      <c r="B613" s="1339"/>
      <c r="C613" s="1340"/>
      <c r="D613" s="1341"/>
      <c r="E613" s="1338"/>
      <c r="F613" s="1339"/>
      <c r="G613" s="1340"/>
      <c r="H613" s="1341"/>
      <c r="I613" s="1338"/>
      <c r="J613" s="1339"/>
      <c r="K613" s="1340"/>
      <c r="L613" s="1341"/>
      <c r="M613" s="1338"/>
      <c r="N613" s="1339"/>
      <c r="O613" s="1340"/>
      <c r="P613" s="1341"/>
      <c r="X613" s="1343" t="e">
        <f ca="1"/>
        <v>#NAME?</v>
      </c>
      <c r="Y613" s="1344" t="e">
        <f ca="1"/>
        <v>#NAME?</v>
      </c>
      <c r="Z613" s="1247"/>
    </row>
    <row r="614" spans="1:26" x14ac:dyDescent="0.2">
      <c r="A614" s="1338"/>
      <c r="B614" s="1339"/>
      <c r="C614" s="1340"/>
      <c r="D614" s="1341"/>
      <c r="E614" s="1338"/>
      <c r="F614" s="1339"/>
      <c r="G614" s="1340"/>
      <c r="H614" s="1341"/>
      <c r="I614" s="1338"/>
      <c r="J614" s="1339"/>
      <c r="K614" s="1340"/>
      <c r="L614" s="1341"/>
      <c r="M614" s="1338"/>
      <c r="N614" s="1339"/>
      <c r="O614" s="1340"/>
      <c r="P614" s="1341"/>
      <c r="X614" s="1343" t="e">
        <f ca="1"/>
        <v>#NAME?</v>
      </c>
      <c r="Y614" s="1344" t="e">
        <f ca="1"/>
        <v>#NAME?</v>
      </c>
      <c r="Z614" s="1247"/>
    </row>
    <row r="615" spans="1:26" x14ac:dyDescent="0.2">
      <c r="A615" s="1338"/>
      <c r="B615" s="1339"/>
      <c r="C615" s="1340"/>
      <c r="D615" s="1341"/>
      <c r="E615" s="1338"/>
      <c r="F615" s="1339"/>
      <c r="G615" s="1340"/>
      <c r="H615" s="1341"/>
      <c r="I615" s="1338"/>
      <c r="J615" s="1339"/>
      <c r="K615" s="1340"/>
      <c r="L615" s="1341"/>
      <c r="M615" s="1338"/>
      <c r="N615" s="1339"/>
      <c r="O615" s="1340"/>
      <c r="P615" s="1341"/>
      <c r="X615" s="1343" t="e">
        <f ca="1"/>
        <v>#NAME?</v>
      </c>
      <c r="Y615" s="1344" t="e">
        <f ca="1"/>
        <v>#NAME?</v>
      </c>
      <c r="Z615" s="1247"/>
    </row>
    <row r="616" spans="1:26" x14ac:dyDescent="0.2">
      <c r="A616" s="1338"/>
      <c r="B616" s="1339"/>
      <c r="C616" s="1340"/>
      <c r="D616" s="1341"/>
      <c r="E616" s="1338"/>
      <c r="F616" s="1339"/>
      <c r="G616" s="1340"/>
      <c r="H616" s="1341"/>
      <c r="I616" s="1338"/>
      <c r="J616" s="1339"/>
      <c r="K616" s="1340"/>
      <c r="L616" s="1341"/>
      <c r="M616" s="1338"/>
      <c r="N616" s="1339"/>
      <c r="O616" s="1340"/>
      <c r="P616" s="1341"/>
      <c r="X616" s="1343" t="e">
        <f ca="1"/>
        <v>#NAME?</v>
      </c>
      <c r="Y616" s="1344" t="e">
        <f ca="1"/>
        <v>#NAME?</v>
      </c>
      <c r="Z616" s="1247"/>
    </row>
    <row r="617" spans="1:26" x14ac:dyDescent="0.2">
      <c r="A617" s="1338"/>
      <c r="B617" s="1339"/>
      <c r="C617" s="1340"/>
      <c r="D617" s="1341"/>
      <c r="E617" s="1338"/>
      <c r="F617" s="1339"/>
      <c r="G617" s="1340"/>
      <c r="H617" s="1341"/>
      <c r="I617" s="1338"/>
      <c r="J617" s="1339"/>
      <c r="K617" s="1340"/>
      <c r="L617" s="1341"/>
      <c r="M617" s="1338"/>
      <c r="N617" s="1339"/>
      <c r="O617" s="1340"/>
      <c r="P617" s="1341"/>
      <c r="X617" s="1343" t="e">
        <f ca="1"/>
        <v>#NAME?</v>
      </c>
      <c r="Y617" s="1344" t="e">
        <f ca="1"/>
        <v>#NAME?</v>
      </c>
      <c r="Z617" s="1247"/>
    </row>
    <row r="618" spans="1:26" x14ac:dyDescent="0.2">
      <c r="A618" s="1338"/>
      <c r="B618" s="1339"/>
      <c r="C618" s="1340"/>
      <c r="D618" s="1341"/>
      <c r="E618" s="1338"/>
      <c r="F618" s="1339"/>
      <c r="G618" s="1340"/>
      <c r="H618" s="1341"/>
      <c r="I618" s="1338"/>
      <c r="J618" s="1339"/>
      <c r="K618" s="1340"/>
      <c r="L618" s="1341"/>
      <c r="M618" s="1338"/>
      <c r="N618" s="1339"/>
      <c r="O618" s="1340"/>
      <c r="P618" s="1341"/>
      <c r="X618" s="1343" t="e">
        <f ca="1"/>
        <v>#NAME?</v>
      </c>
      <c r="Y618" s="1344" t="e">
        <f ca="1"/>
        <v>#NAME?</v>
      </c>
      <c r="Z618" s="1247"/>
    </row>
    <row r="619" spans="1:26" x14ac:dyDescent="0.2">
      <c r="A619" s="1338"/>
      <c r="B619" s="1339"/>
      <c r="C619" s="1340"/>
      <c r="D619" s="1341"/>
      <c r="E619" s="1338"/>
      <c r="F619" s="1339"/>
      <c r="G619" s="1340"/>
      <c r="H619" s="1341"/>
      <c r="I619" s="1338"/>
      <c r="J619" s="1339"/>
      <c r="K619" s="1340"/>
      <c r="L619" s="1341"/>
      <c r="M619" s="1338"/>
      <c r="N619" s="1339"/>
      <c r="O619" s="1340"/>
      <c r="P619" s="1341"/>
      <c r="X619" s="1343" t="e">
        <f ca="1"/>
        <v>#NAME?</v>
      </c>
      <c r="Y619" s="1344" t="e">
        <f ca="1"/>
        <v>#NAME?</v>
      </c>
      <c r="Z619" s="1247"/>
    </row>
    <row r="620" spans="1:26" x14ac:dyDescent="0.2">
      <c r="A620" s="1338"/>
      <c r="B620" s="1339"/>
      <c r="C620" s="1340"/>
      <c r="D620" s="1341"/>
      <c r="E620" s="1338"/>
      <c r="F620" s="1339"/>
      <c r="G620" s="1340"/>
      <c r="H620" s="1341"/>
      <c r="I620" s="1338"/>
      <c r="J620" s="1339"/>
      <c r="K620" s="1340"/>
      <c r="L620" s="1341"/>
      <c r="M620" s="1338"/>
      <c r="N620" s="1339"/>
      <c r="O620" s="1340"/>
      <c r="P620" s="1341"/>
      <c r="X620" s="1343" t="e">
        <f ca="1"/>
        <v>#NAME?</v>
      </c>
      <c r="Y620" s="1344" t="e">
        <f ca="1"/>
        <v>#NAME?</v>
      </c>
      <c r="Z620" s="1247"/>
    </row>
    <row r="621" spans="1:26" x14ac:dyDescent="0.2">
      <c r="A621" s="1338"/>
      <c r="B621" s="1339"/>
      <c r="C621" s="1340"/>
      <c r="D621" s="1341"/>
      <c r="E621" s="1338"/>
      <c r="F621" s="1339"/>
      <c r="G621" s="1340"/>
      <c r="H621" s="1341"/>
      <c r="I621" s="1338"/>
      <c r="J621" s="1339"/>
      <c r="K621" s="1340"/>
      <c r="L621" s="1341"/>
      <c r="M621" s="1338"/>
      <c r="N621" s="1339"/>
      <c r="O621" s="1340"/>
      <c r="P621" s="1341"/>
      <c r="X621" s="1343" t="e">
        <f ca="1"/>
        <v>#NAME?</v>
      </c>
      <c r="Y621" s="1344" t="e">
        <f ca="1"/>
        <v>#NAME?</v>
      </c>
      <c r="Z621" s="1247"/>
    </row>
    <row r="622" spans="1:26" x14ac:dyDescent="0.2">
      <c r="A622" s="1338"/>
      <c r="B622" s="1339"/>
      <c r="C622" s="1340"/>
      <c r="D622" s="1341"/>
      <c r="E622" s="1338"/>
      <c r="F622" s="1339"/>
      <c r="G622" s="1340"/>
      <c r="H622" s="1341"/>
      <c r="I622" s="1338"/>
      <c r="J622" s="1339"/>
      <c r="K622" s="1340"/>
      <c r="L622" s="1341"/>
      <c r="M622" s="1338"/>
      <c r="N622" s="1339"/>
      <c r="O622" s="1340"/>
      <c r="P622" s="1341"/>
      <c r="X622" s="1343" t="e">
        <f ca="1"/>
        <v>#NAME?</v>
      </c>
      <c r="Y622" s="1344" t="e">
        <f ca="1"/>
        <v>#NAME?</v>
      </c>
      <c r="Z622" s="1247"/>
    </row>
    <row r="623" spans="1:26" x14ac:dyDescent="0.2">
      <c r="A623" s="1338"/>
      <c r="B623" s="1339"/>
      <c r="C623" s="1340"/>
      <c r="D623" s="1341"/>
      <c r="E623" s="1338"/>
      <c r="F623" s="1339"/>
      <c r="G623" s="1340"/>
      <c r="H623" s="1341"/>
      <c r="I623" s="1338"/>
      <c r="J623" s="1339"/>
      <c r="K623" s="1340"/>
      <c r="L623" s="1341"/>
      <c r="M623" s="1338"/>
      <c r="N623" s="1339"/>
      <c r="O623" s="1340"/>
      <c r="P623" s="1341"/>
      <c r="X623" s="1343" t="e">
        <f ca="1"/>
        <v>#NAME?</v>
      </c>
      <c r="Y623" s="1344" t="e">
        <f ca="1"/>
        <v>#NAME?</v>
      </c>
      <c r="Z623" s="1247"/>
    </row>
    <row r="624" spans="1:26" x14ac:dyDescent="0.2">
      <c r="A624" s="1338"/>
      <c r="B624" s="1339"/>
      <c r="C624" s="1340"/>
      <c r="D624" s="1341"/>
      <c r="E624" s="1338"/>
      <c r="F624" s="1339"/>
      <c r="G624" s="1340"/>
      <c r="H624" s="1341"/>
      <c r="I624" s="1338"/>
      <c r="J624" s="1339"/>
      <c r="K624" s="1340"/>
      <c r="L624" s="1341"/>
      <c r="M624" s="1338"/>
      <c r="N624" s="1339"/>
      <c r="O624" s="1340"/>
      <c r="P624" s="1341"/>
      <c r="X624" s="1343" t="e">
        <f ca="1"/>
        <v>#NAME?</v>
      </c>
      <c r="Y624" s="1344" t="e">
        <f ca="1"/>
        <v>#NAME?</v>
      </c>
      <c r="Z624" s="1247"/>
    </row>
    <row r="625" spans="1:26" x14ac:dyDescent="0.2">
      <c r="A625" s="1338"/>
      <c r="B625" s="1339"/>
      <c r="C625" s="1340"/>
      <c r="D625" s="1341"/>
      <c r="E625" s="1338"/>
      <c r="F625" s="1339"/>
      <c r="G625" s="1340"/>
      <c r="H625" s="1341"/>
      <c r="I625" s="1338"/>
      <c r="J625" s="1339"/>
      <c r="K625" s="1340"/>
      <c r="L625" s="1341"/>
      <c r="M625" s="1338"/>
      <c r="N625" s="1339"/>
      <c r="O625" s="1340"/>
      <c r="P625" s="1341"/>
      <c r="X625" s="1343" t="e">
        <f ca="1"/>
        <v>#NAME?</v>
      </c>
      <c r="Y625" s="1344" t="e">
        <f ca="1"/>
        <v>#NAME?</v>
      </c>
      <c r="Z625" s="1247"/>
    </row>
    <row r="626" spans="1:26" x14ac:dyDescent="0.2">
      <c r="A626" s="1338"/>
      <c r="B626" s="1339"/>
      <c r="C626" s="1340"/>
      <c r="D626" s="1341"/>
      <c r="E626" s="1338"/>
      <c r="F626" s="1339"/>
      <c r="G626" s="1340"/>
      <c r="H626" s="1341"/>
      <c r="I626" s="1338"/>
      <c r="J626" s="1339"/>
      <c r="K626" s="1340"/>
      <c r="L626" s="1341"/>
      <c r="M626" s="1338"/>
      <c r="N626" s="1339"/>
      <c r="O626" s="1340"/>
      <c r="P626" s="1341"/>
      <c r="X626" s="1343" t="e">
        <f ca="1"/>
        <v>#NAME?</v>
      </c>
      <c r="Y626" s="1344" t="e">
        <f ca="1"/>
        <v>#NAME?</v>
      </c>
      <c r="Z626" s="1247"/>
    </row>
    <row r="627" spans="1:26" x14ac:dyDescent="0.2">
      <c r="A627" s="1338"/>
      <c r="B627" s="1339"/>
      <c r="C627" s="1340"/>
      <c r="D627" s="1341"/>
      <c r="E627" s="1338"/>
      <c r="F627" s="1339"/>
      <c r="G627" s="1340"/>
      <c r="H627" s="1341"/>
      <c r="I627" s="1338"/>
      <c r="J627" s="1339"/>
      <c r="K627" s="1340"/>
      <c r="L627" s="1341"/>
      <c r="M627" s="1338"/>
      <c r="N627" s="1339"/>
      <c r="O627" s="1340"/>
      <c r="P627" s="1341"/>
      <c r="X627" s="1343" t="e">
        <f ca="1"/>
        <v>#NAME?</v>
      </c>
      <c r="Y627" s="1344" t="e">
        <f ca="1"/>
        <v>#NAME?</v>
      </c>
      <c r="Z627" s="1247"/>
    </row>
    <row r="628" spans="1:26" x14ac:dyDescent="0.2">
      <c r="A628" s="1338"/>
      <c r="B628" s="1339"/>
      <c r="C628" s="1340"/>
      <c r="D628" s="1341"/>
      <c r="E628" s="1338"/>
      <c r="F628" s="1339"/>
      <c r="G628" s="1340"/>
      <c r="H628" s="1341"/>
      <c r="I628" s="1338"/>
      <c r="J628" s="1339"/>
      <c r="K628" s="1340"/>
      <c r="L628" s="1341"/>
      <c r="M628" s="1338"/>
      <c r="N628" s="1339"/>
      <c r="O628" s="1340"/>
      <c r="P628" s="1341"/>
      <c r="X628" s="1343" t="e">
        <f ca="1"/>
        <v>#NAME?</v>
      </c>
      <c r="Y628" s="1344" t="e">
        <f ca="1"/>
        <v>#NAME?</v>
      </c>
      <c r="Z628" s="1247"/>
    </row>
    <row r="629" spans="1:26" x14ac:dyDescent="0.2">
      <c r="A629" s="1338"/>
      <c r="B629" s="1339"/>
      <c r="C629" s="1340"/>
      <c r="D629" s="1341"/>
      <c r="E629" s="1338"/>
      <c r="F629" s="1339"/>
      <c r="G629" s="1340"/>
      <c r="H629" s="1341"/>
      <c r="I629" s="1338"/>
      <c r="J629" s="1339"/>
      <c r="K629" s="1340"/>
      <c r="L629" s="1341"/>
      <c r="M629" s="1338"/>
      <c r="N629" s="1339"/>
      <c r="O629" s="1340"/>
      <c r="P629" s="1341"/>
      <c r="X629" s="1343" t="e">
        <f ca="1"/>
        <v>#NAME?</v>
      </c>
      <c r="Y629" s="1344" t="e">
        <f ca="1"/>
        <v>#NAME?</v>
      </c>
      <c r="Z629" s="1247"/>
    </row>
    <row r="630" spans="1:26" x14ac:dyDescent="0.2">
      <c r="A630" s="1338"/>
      <c r="B630" s="1339"/>
      <c r="C630" s="1340"/>
      <c r="D630" s="1341"/>
      <c r="E630" s="1338"/>
      <c r="F630" s="1339"/>
      <c r="G630" s="1340"/>
      <c r="H630" s="1341"/>
      <c r="I630" s="1338"/>
      <c r="J630" s="1339"/>
      <c r="K630" s="1340"/>
      <c r="L630" s="1341"/>
      <c r="M630" s="1338"/>
      <c r="N630" s="1339"/>
      <c r="O630" s="1340"/>
      <c r="P630" s="1341"/>
      <c r="X630" s="1343" t="e">
        <f ca="1"/>
        <v>#NAME?</v>
      </c>
      <c r="Y630" s="1344" t="e">
        <f ca="1"/>
        <v>#NAME?</v>
      </c>
      <c r="Z630" s="1247"/>
    </row>
    <row r="631" spans="1:26" x14ac:dyDescent="0.2">
      <c r="A631" s="1338"/>
      <c r="B631" s="1339"/>
      <c r="C631" s="1340"/>
      <c r="D631" s="1341"/>
      <c r="E631" s="1338"/>
      <c r="F631" s="1339"/>
      <c r="G631" s="1340"/>
      <c r="H631" s="1341"/>
      <c r="I631" s="1338"/>
      <c r="J631" s="1339"/>
      <c r="K631" s="1340"/>
      <c r="L631" s="1341"/>
      <c r="M631" s="1338"/>
      <c r="N631" s="1339"/>
      <c r="O631" s="1340"/>
      <c r="P631" s="1341"/>
      <c r="X631" s="1343" t="e">
        <f ca="1"/>
        <v>#NAME?</v>
      </c>
      <c r="Y631" s="1344" t="e">
        <f ca="1"/>
        <v>#NAME?</v>
      </c>
      <c r="Z631" s="1247"/>
    </row>
    <row r="632" spans="1:26" x14ac:dyDescent="0.2">
      <c r="A632" s="1338"/>
      <c r="B632" s="1339"/>
      <c r="C632" s="1340"/>
      <c r="D632" s="1341"/>
      <c r="E632" s="1338"/>
      <c r="F632" s="1339"/>
      <c r="G632" s="1340"/>
      <c r="H632" s="1341"/>
      <c r="I632" s="1338"/>
      <c r="J632" s="1339"/>
      <c r="K632" s="1340"/>
      <c r="L632" s="1341"/>
      <c r="M632" s="1338"/>
      <c r="N632" s="1339"/>
      <c r="O632" s="1340"/>
      <c r="P632" s="1341"/>
      <c r="X632" s="1343" t="e">
        <f ca="1"/>
        <v>#NAME?</v>
      </c>
      <c r="Y632" s="1344" t="e">
        <f ca="1"/>
        <v>#NAME?</v>
      </c>
      <c r="Z632" s="1247"/>
    </row>
    <row r="633" spans="1:26" x14ac:dyDescent="0.2">
      <c r="A633" s="1338"/>
      <c r="B633" s="1339"/>
      <c r="C633" s="1340"/>
      <c r="D633" s="1341"/>
      <c r="E633" s="1338"/>
      <c r="F633" s="1339"/>
      <c r="G633" s="1340"/>
      <c r="H633" s="1341"/>
      <c r="I633" s="1338"/>
      <c r="J633" s="1339"/>
      <c r="K633" s="1340"/>
      <c r="L633" s="1341"/>
      <c r="M633" s="1338"/>
      <c r="N633" s="1339"/>
      <c r="O633" s="1340"/>
      <c r="P633" s="1341"/>
      <c r="X633" s="1343" t="e">
        <f ca="1"/>
        <v>#NAME?</v>
      </c>
      <c r="Y633" s="1344" t="e">
        <f ca="1"/>
        <v>#NAME?</v>
      </c>
      <c r="Z633" s="1247"/>
    </row>
    <row r="634" spans="1:26" x14ac:dyDescent="0.2">
      <c r="A634" s="1338"/>
      <c r="B634" s="1339"/>
      <c r="C634" s="1340"/>
      <c r="D634" s="1341"/>
      <c r="E634" s="1338"/>
      <c r="F634" s="1339"/>
      <c r="G634" s="1340"/>
      <c r="H634" s="1341"/>
      <c r="I634" s="1338"/>
      <c r="J634" s="1339"/>
      <c r="K634" s="1340"/>
      <c r="L634" s="1341"/>
      <c r="M634" s="1338"/>
      <c r="N634" s="1339"/>
      <c r="O634" s="1340"/>
      <c r="P634" s="1341"/>
      <c r="X634" s="1343" t="e">
        <f ca="1"/>
        <v>#NAME?</v>
      </c>
      <c r="Y634" s="1344" t="e">
        <f ca="1"/>
        <v>#NAME?</v>
      </c>
      <c r="Z634" s="1247"/>
    </row>
    <row r="635" spans="1:26" x14ac:dyDescent="0.2">
      <c r="A635" s="1338"/>
      <c r="B635" s="1339"/>
      <c r="C635" s="1340"/>
      <c r="D635" s="1341"/>
      <c r="E635" s="1338"/>
      <c r="F635" s="1339"/>
      <c r="G635" s="1340"/>
      <c r="H635" s="1341"/>
      <c r="I635" s="1338"/>
      <c r="J635" s="1339"/>
      <c r="K635" s="1340"/>
      <c r="L635" s="1341"/>
      <c r="M635" s="1338"/>
      <c r="N635" s="1339"/>
      <c r="O635" s="1340"/>
      <c r="P635" s="1341"/>
      <c r="X635" s="1343" t="e">
        <f ca="1"/>
        <v>#NAME?</v>
      </c>
      <c r="Y635" s="1344" t="e">
        <f ca="1"/>
        <v>#NAME?</v>
      </c>
      <c r="Z635" s="1247"/>
    </row>
    <row r="636" spans="1:26" x14ac:dyDescent="0.2">
      <c r="A636" s="1338"/>
      <c r="B636" s="1339"/>
      <c r="C636" s="1340"/>
      <c r="D636" s="1341"/>
      <c r="E636" s="1338"/>
      <c r="F636" s="1339"/>
      <c r="G636" s="1340"/>
      <c r="H636" s="1341"/>
      <c r="I636" s="1338"/>
      <c r="J636" s="1339"/>
      <c r="K636" s="1340"/>
      <c r="L636" s="1341"/>
      <c r="M636" s="1338"/>
      <c r="N636" s="1339"/>
      <c r="O636" s="1340"/>
      <c r="P636" s="1341"/>
      <c r="X636" s="1343" t="e">
        <f ca="1"/>
        <v>#NAME?</v>
      </c>
      <c r="Y636" s="1344" t="e">
        <f ca="1"/>
        <v>#NAME?</v>
      </c>
      <c r="Z636" s="1247"/>
    </row>
    <row r="637" spans="1:26" x14ac:dyDescent="0.2">
      <c r="A637" s="1338"/>
      <c r="B637" s="1339"/>
      <c r="C637" s="1340"/>
      <c r="D637" s="1341"/>
      <c r="E637" s="1338"/>
      <c r="F637" s="1339"/>
      <c r="G637" s="1340"/>
      <c r="H637" s="1341"/>
      <c r="I637" s="1338"/>
      <c r="J637" s="1339"/>
      <c r="K637" s="1340"/>
      <c r="L637" s="1341"/>
      <c r="M637" s="1338"/>
      <c r="N637" s="1339"/>
      <c r="O637" s="1340"/>
      <c r="P637" s="1341"/>
      <c r="X637" s="1343" t="e">
        <f ca="1"/>
        <v>#NAME?</v>
      </c>
      <c r="Y637" s="1344" t="e">
        <f ca="1"/>
        <v>#NAME?</v>
      </c>
      <c r="Z637" s="1247"/>
    </row>
    <row r="638" spans="1:26" x14ac:dyDescent="0.2">
      <c r="A638" s="1338"/>
      <c r="B638" s="1339"/>
      <c r="C638" s="1340"/>
      <c r="D638" s="1341"/>
      <c r="E638" s="1338"/>
      <c r="F638" s="1339"/>
      <c r="G638" s="1340"/>
      <c r="H638" s="1341"/>
      <c r="I638" s="1338"/>
      <c r="J638" s="1339"/>
      <c r="K638" s="1340"/>
      <c r="L638" s="1341"/>
      <c r="M638" s="1338"/>
      <c r="N638" s="1339"/>
      <c r="O638" s="1340"/>
      <c r="P638" s="1341"/>
      <c r="X638" s="1343" t="e">
        <f ca="1"/>
        <v>#NAME?</v>
      </c>
      <c r="Y638" s="1344" t="e">
        <f ca="1"/>
        <v>#NAME?</v>
      </c>
      <c r="Z638" s="1247"/>
    </row>
    <row r="639" spans="1:26" x14ac:dyDescent="0.2">
      <c r="A639" s="1338"/>
      <c r="B639" s="1339"/>
      <c r="C639" s="1340"/>
      <c r="D639" s="1341"/>
      <c r="E639" s="1338"/>
      <c r="F639" s="1339"/>
      <c r="G639" s="1340"/>
      <c r="H639" s="1341"/>
      <c r="I639" s="1338"/>
      <c r="J639" s="1339"/>
      <c r="K639" s="1340"/>
      <c r="L639" s="1341"/>
      <c r="M639" s="1338"/>
      <c r="N639" s="1339"/>
      <c r="O639" s="1340"/>
      <c r="P639" s="1341"/>
      <c r="X639" s="1343" t="e">
        <f ca="1"/>
        <v>#NAME?</v>
      </c>
      <c r="Y639" s="1344" t="e">
        <f ca="1"/>
        <v>#NAME?</v>
      </c>
      <c r="Z639" s="1247"/>
    </row>
    <row r="640" spans="1:26" x14ac:dyDescent="0.2">
      <c r="A640" s="1338"/>
      <c r="B640" s="1339"/>
      <c r="C640" s="1340"/>
      <c r="D640" s="1341"/>
      <c r="E640" s="1338"/>
      <c r="F640" s="1339"/>
      <c r="G640" s="1340"/>
      <c r="H640" s="1341"/>
      <c r="I640" s="1338"/>
      <c r="J640" s="1339"/>
      <c r="K640" s="1340"/>
      <c r="L640" s="1341"/>
      <c r="M640" s="1338"/>
      <c r="N640" s="1339"/>
      <c r="O640" s="1340"/>
      <c r="P640" s="1341"/>
      <c r="X640" s="1343" t="e">
        <f ca="1"/>
        <v>#NAME?</v>
      </c>
      <c r="Y640" s="1344" t="e">
        <f ca="1"/>
        <v>#NAME?</v>
      </c>
      <c r="Z640" s="1247"/>
    </row>
    <row r="641" spans="1:26" x14ac:dyDescent="0.2">
      <c r="A641" s="1338"/>
      <c r="B641" s="1339"/>
      <c r="C641" s="1340"/>
      <c r="D641" s="1341"/>
      <c r="E641" s="1338"/>
      <c r="F641" s="1339"/>
      <c r="G641" s="1340"/>
      <c r="H641" s="1341"/>
      <c r="I641" s="1338"/>
      <c r="J641" s="1339"/>
      <c r="K641" s="1340"/>
      <c r="L641" s="1341"/>
      <c r="M641" s="1338"/>
      <c r="N641" s="1339"/>
      <c r="O641" s="1340"/>
      <c r="P641" s="1341"/>
      <c r="X641" s="1343" t="e">
        <f ca="1"/>
        <v>#NAME?</v>
      </c>
      <c r="Y641" s="1344" t="e">
        <f ca="1"/>
        <v>#NAME?</v>
      </c>
      <c r="Z641" s="1247"/>
    </row>
    <row r="642" spans="1:26" x14ac:dyDescent="0.2">
      <c r="A642" s="1338"/>
      <c r="B642" s="1339"/>
      <c r="C642" s="1340"/>
      <c r="D642" s="1341"/>
      <c r="E642" s="1338"/>
      <c r="F642" s="1339"/>
      <c r="G642" s="1340"/>
      <c r="H642" s="1341"/>
      <c r="I642" s="1338"/>
      <c r="J642" s="1339"/>
      <c r="K642" s="1340"/>
      <c r="L642" s="1341"/>
      <c r="M642" s="1338"/>
      <c r="N642" s="1339"/>
      <c r="O642" s="1340"/>
      <c r="P642" s="1341"/>
      <c r="X642" s="1343" t="e">
        <f ca="1"/>
        <v>#NAME?</v>
      </c>
      <c r="Y642" s="1344" t="e">
        <f ca="1"/>
        <v>#NAME?</v>
      </c>
      <c r="Z642" s="1247"/>
    </row>
    <row r="643" spans="1:26" x14ac:dyDescent="0.2">
      <c r="A643" s="1338"/>
      <c r="B643" s="1339"/>
      <c r="C643" s="1340"/>
      <c r="D643" s="1341"/>
      <c r="E643" s="1338"/>
      <c r="F643" s="1339"/>
      <c r="G643" s="1340"/>
      <c r="H643" s="1341"/>
      <c r="I643" s="1338"/>
      <c r="J643" s="1339"/>
      <c r="K643" s="1340"/>
      <c r="L643" s="1341"/>
      <c r="M643" s="1338"/>
      <c r="N643" s="1339"/>
      <c r="O643" s="1340"/>
      <c r="P643" s="1341"/>
      <c r="X643" s="1343" t="e">
        <f ca="1"/>
        <v>#NAME?</v>
      </c>
      <c r="Y643" s="1344" t="e">
        <f ca="1"/>
        <v>#NAME?</v>
      </c>
      <c r="Z643" s="1247"/>
    </row>
    <row r="644" spans="1:26" x14ac:dyDescent="0.2">
      <c r="A644" s="1338"/>
      <c r="B644" s="1339"/>
      <c r="C644" s="1340"/>
      <c r="D644" s="1341"/>
      <c r="E644" s="1338"/>
      <c r="F644" s="1339"/>
      <c r="G644" s="1340"/>
      <c r="H644" s="1341"/>
      <c r="I644" s="1338"/>
      <c r="J644" s="1339"/>
      <c r="K644" s="1340"/>
      <c r="L644" s="1341"/>
      <c r="M644" s="1338"/>
      <c r="N644" s="1339"/>
      <c r="O644" s="1340"/>
      <c r="P644" s="1341"/>
      <c r="X644" s="1343" t="e">
        <f ca="1"/>
        <v>#NAME?</v>
      </c>
      <c r="Y644" s="1344" t="e">
        <f ca="1"/>
        <v>#NAME?</v>
      </c>
      <c r="Z644" s="1247"/>
    </row>
    <row r="645" spans="1:26" x14ac:dyDescent="0.2">
      <c r="A645" s="1338"/>
      <c r="B645" s="1339"/>
      <c r="C645" s="1340"/>
      <c r="D645" s="1341"/>
      <c r="E645" s="1338"/>
      <c r="F645" s="1339"/>
      <c r="G645" s="1340"/>
      <c r="H645" s="1341"/>
      <c r="I645" s="1338"/>
      <c r="J645" s="1339"/>
      <c r="K645" s="1340"/>
      <c r="L645" s="1341"/>
      <c r="M645" s="1338"/>
      <c r="N645" s="1339"/>
      <c r="O645" s="1340"/>
      <c r="P645" s="1341"/>
      <c r="X645" s="1343" t="e">
        <f ca="1"/>
        <v>#NAME?</v>
      </c>
      <c r="Y645" s="1344" t="e">
        <f ca="1"/>
        <v>#NAME?</v>
      </c>
      <c r="Z645" s="1247"/>
    </row>
    <row r="646" spans="1:26" x14ac:dyDescent="0.2">
      <c r="A646" s="1338"/>
      <c r="B646" s="1339"/>
      <c r="C646" s="1340"/>
      <c r="D646" s="1341"/>
      <c r="E646" s="1338"/>
      <c r="F646" s="1339"/>
      <c r="G646" s="1340"/>
      <c r="H646" s="1341"/>
      <c r="I646" s="1338"/>
      <c r="J646" s="1339"/>
      <c r="K646" s="1340"/>
      <c r="L646" s="1341"/>
      <c r="M646" s="1338"/>
      <c r="N646" s="1339"/>
      <c r="O646" s="1340"/>
      <c r="P646" s="1341"/>
      <c r="X646" s="1343" t="e">
        <f ca="1"/>
        <v>#NAME?</v>
      </c>
      <c r="Y646" s="1344" t="e">
        <f ca="1"/>
        <v>#NAME?</v>
      </c>
      <c r="Z646" s="1247"/>
    </row>
    <row r="647" spans="1:26" x14ac:dyDescent="0.2">
      <c r="A647" s="1338"/>
      <c r="B647" s="1339"/>
      <c r="C647" s="1340"/>
      <c r="D647" s="1341"/>
      <c r="E647" s="1338"/>
      <c r="F647" s="1339"/>
      <c r="G647" s="1340"/>
      <c r="H647" s="1341"/>
      <c r="I647" s="1338"/>
      <c r="J647" s="1339"/>
      <c r="K647" s="1340"/>
      <c r="L647" s="1341"/>
      <c r="M647" s="1338"/>
      <c r="N647" s="1339"/>
      <c r="O647" s="1340"/>
      <c r="P647" s="1341"/>
      <c r="X647" s="1343" t="e">
        <f ca="1"/>
        <v>#NAME?</v>
      </c>
      <c r="Y647" s="1344" t="e">
        <f ca="1"/>
        <v>#NAME?</v>
      </c>
      <c r="Z647" s="1247"/>
    </row>
    <row r="648" spans="1:26" x14ac:dyDescent="0.2">
      <c r="A648" s="1338"/>
      <c r="B648" s="1339"/>
      <c r="C648" s="1340"/>
      <c r="D648" s="1341"/>
      <c r="E648" s="1338"/>
      <c r="F648" s="1339"/>
      <c r="G648" s="1340"/>
      <c r="H648" s="1341"/>
      <c r="I648" s="1338"/>
      <c r="J648" s="1339"/>
      <c r="K648" s="1340"/>
      <c r="L648" s="1341"/>
      <c r="M648" s="1338"/>
      <c r="N648" s="1339"/>
      <c r="O648" s="1340"/>
      <c r="P648" s="1341"/>
      <c r="X648" s="1343" t="e">
        <f ca="1"/>
        <v>#NAME?</v>
      </c>
      <c r="Y648" s="1344" t="e">
        <f ca="1"/>
        <v>#NAME?</v>
      </c>
      <c r="Z648" s="1247"/>
    </row>
    <row r="649" spans="1:26" x14ac:dyDescent="0.2">
      <c r="A649" s="1338"/>
      <c r="B649" s="1339"/>
      <c r="C649" s="1340"/>
      <c r="D649" s="1341"/>
      <c r="E649" s="1338"/>
      <c r="F649" s="1339"/>
      <c r="G649" s="1340"/>
      <c r="H649" s="1341"/>
      <c r="I649" s="1338"/>
      <c r="J649" s="1339"/>
      <c r="K649" s="1340"/>
      <c r="L649" s="1341"/>
      <c r="M649" s="1338"/>
      <c r="N649" s="1339"/>
      <c r="O649" s="1340"/>
      <c r="P649" s="1341"/>
      <c r="X649" s="1343" t="e">
        <f ca="1"/>
        <v>#NAME?</v>
      </c>
      <c r="Y649" s="1344" t="e">
        <f ca="1"/>
        <v>#NAME?</v>
      </c>
      <c r="Z649" s="1247"/>
    </row>
    <row r="650" spans="1:26" x14ac:dyDescent="0.2">
      <c r="A650" s="1338"/>
      <c r="B650" s="1339"/>
      <c r="C650" s="1340"/>
      <c r="D650" s="1341"/>
      <c r="E650" s="1338"/>
      <c r="F650" s="1339"/>
      <c r="G650" s="1340"/>
      <c r="H650" s="1341"/>
      <c r="I650" s="1338"/>
      <c r="J650" s="1339"/>
      <c r="K650" s="1340"/>
      <c r="L650" s="1341"/>
      <c r="M650" s="1338"/>
      <c r="N650" s="1339"/>
      <c r="O650" s="1340"/>
      <c r="P650" s="1341"/>
      <c r="X650" s="1343" t="e">
        <f ca="1"/>
        <v>#NAME?</v>
      </c>
      <c r="Y650" s="1344" t="e">
        <f ca="1"/>
        <v>#NAME?</v>
      </c>
      <c r="Z650" s="1247"/>
    </row>
    <row r="651" spans="1:26" x14ac:dyDescent="0.2">
      <c r="A651" s="1338"/>
      <c r="B651" s="1339"/>
      <c r="C651" s="1340"/>
      <c r="D651" s="1341"/>
      <c r="E651" s="1338"/>
      <c r="F651" s="1339"/>
      <c r="G651" s="1340"/>
      <c r="H651" s="1341"/>
      <c r="I651" s="1338"/>
      <c r="J651" s="1339"/>
      <c r="K651" s="1340"/>
      <c r="L651" s="1341"/>
      <c r="M651" s="1338"/>
      <c r="N651" s="1339"/>
      <c r="O651" s="1340"/>
      <c r="P651" s="1341"/>
      <c r="X651" s="1343" t="e">
        <f ca="1"/>
        <v>#NAME?</v>
      </c>
      <c r="Y651" s="1344" t="e">
        <f ca="1"/>
        <v>#NAME?</v>
      </c>
      <c r="Z651" s="1247"/>
    </row>
    <row r="652" spans="1:26" x14ac:dyDescent="0.2">
      <c r="A652" s="1338"/>
      <c r="B652" s="1339"/>
      <c r="C652" s="1340"/>
      <c r="D652" s="1341"/>
      <c r="E652" s="1338"/>
      <c r="F652" s="1339"/>
      <c r="G652" s="1340"/>
      <c r="H652" s="1341"/>
      <c r="I652" s="1338"/>
      <c r="J652" s="1339"/>
      <c r="K652" s="1340"/>
      <c r="L652" s="1341"/>
      <c r="M652" s="1338"/>
      <c r="N652" s="1339"/>
      <c r="O652" s="1340"/>
      <c r="P652" s="1341"/>
      <c r="X652" s="1343" t="e">
        <f ca="1"/>
        <v>#NAME?</v>
      </c>
      <c r="Y652" s="1344" t="e">
        <f ca="1"/>
        <v>#NAME?</v>
      </c>
      <c r="Z652" s="1247"/>
    </row>
    <row r="653" spans="1:26" x14ac:dyDescent="0.2">
      <c r="A653" s="1338"/>
      <c r="B653" s="1339"/>
      <c r="C653" s="1340"/>
      <c r="D653" s="1341"/>
      <c r="E653" s="1338"/>
      <c r="F653" s="1339"/>
      <c r="G653" s="1340"/>
      <c r="H653" s="1341"/>
      <c r="I653" s="1338"/>
      <c r="J653" s="1339"/>
      <c r="K653" s="1340"/>
      <c r="L653" s="1341"/>
      <c r="M653" s="1338"/>
      <c r="N653" s="1339"/>
      <c r="O653" s="1340"/>
      <c r="P653" s="1341"/>
      <c r="X653" s="1343" t="e">
        <f ca="1"/>
        <v>#NAME?</v>
      </c>
      <c r="Y653" s="1344" t="e">
        <f ca="1"/>
        <v>#NAME?</v>
      </c>
      <c r="Z653" s="1247"/>
    </row>
    <row r="654" spans="1:26" x14ac:dyDescent="0.2">
      <c r="A654" s="1338"/>
      <c r="B654" s="1339"/>
      <c r="C654" s="1340"/>
      <c r="D654" s="1341"/>
      <c r="E654" s="1338"/>
      <c r="F654" s="1339"/>
      <c r="G654" s="1340"/>
      <c r="H654" s="1341"/>
      <c r="I654" s="1338"/>
      <c r="J654" s="1339"/>
      <c r="K654" s="1340"/>
      <c r="L654" s="1341"/>
      <c r="M654" s="1338"/>
      <c r="N654" s="1339"/>
      <c r="O654" s="1340"/>
      <c r="P654" s="1341"/>
      <c r="X654" s="1343" t="e">
        <f ca="1"/>
        <v>#NAME?</v>
      </c>
      <c r="Y654" s="1344" t="e">
        <f ca="1"/>
        <v>#NAME?</v>
      </c>
      <c r="Z654" s="1247"/>
    </row>
    <row r="655" spans="1:26" x14ac:dyDescent="0.2">
      <c r="A655" s="1338"/>
      <c r="B655" s="1339"/>
      <c r="C655" s="1340"/>
      <c r="D655" s="1341"/>
      <c r="E655" s="1338"/>
      <c r="F655" s="1339"/>
      <c r="G655" s="1340"/>
      <c r="H655" s="1341"/>
      <c r="I655" s="1338"/>
      <c r="J655" s="1339"/>
      <c r="K655" s="1340"/>
      <c r="L655" s="1341"/>
      <c r="M655" s="1338"/>
      <c r="N655" s="1339"/>
      <c r="O655" s="1340"/>
      <c r="P655" s="1341"/>
      <c r="X655" s="1343" t="e">
        <f ca="1"/>
        <v>#NAME?</v>
      </c>
      <c r="Y655" s="1344" t="e">
        <f ca="1"/>
        <v>#NAME?</v>
      </c>
      <c r="Z655" s="1247"/>
    </row>
    <row r="656" spans="1:26" x14ac:dyDescent="0.2">
      <c r="A656" s="1338"/>
      <c r="B656" s="1339"/>
      <c r="C656" s="1340"/>
      <c r="D656" s="1341"/>
      <c r="E656" s="1338"/>
      <c r="F656" s="1339"/>
      <c r="G656" s="1340"/>
      <c r="H656" s="1341"/>
      <c r="I656" s="1338"/>
      <c r="J656" s="1339"/>
      <c r="K656" s="1340"/>
      <c r="L656" s="1341"/>
      <c r="M656" s="1338"/>
      <c r="N656" s="1339"/>
      <c r="O656" s="1340"/>
      <c r="P656" s="1341"/>
      <c r="X656" s="1343" t="e">
        <f ca="1"/>
        <v>#NAME?</v>
      </c>
      <c r="Y656" s="1344" t="e">
        <f ca="1"/>
        <v>#NAME?</v>
      </c>
      <c r="Z656" s="1247"/>
    </row>
    <row r="657" spans="1:26" x14ac:dyDescent="0.2">
      <c r="A657" s="1338"/>
      <c r="B657" s="1339"/>
      <c r="C657" s="1340"/>
      <c r="D657" s="1341"/>
      <c r="E657" s="1338"/>
      <c r="F657" s="1339"/>
      <c r="G657" s="1340"/>
      <c r="H657" s="1341"/>
      <c r="I657" s="1338"/>
      <c r="J657" s="1339"/>
      <c r="K657" s="1340"/>
      <c r="L657" s="1341"/>
      <c r="M657" s="1338"/>
      <c r="N657" s="1339"/>
      <c r="O657" s="1340"/>
      <c r="P657" s="1341"/>
      <c r="X657" s="1343" t="e">
        <f ca="1"/>
        <v>#NAME?</v>
      </c>
      <c r="Y657" s="1344" t="e">
        <f ca="1"/>
        <v>#NAME?</v>
      </c>
      <c r="Z657" s="1247"/>
    </row>
    <row r="658" spans="1:26" x14ac:dyDescent="0.2">
      <c r="A658" s="1338"/>
      <c r="B658" s="1339"/>
      <c r="C658" s="1340"/>
      <c r="D658" s="1341"/>
      <c r="E658" s="1338"/>
      <c r="F658" s="1339"/>
      <c r="G658" s="1340"/>
      <c r="H658" s="1341"/>
      <c r="I658" s="1338"/>
      <c r="J658" s="1339"/>
      <c r="K658" s="1340"/>
      <c r="L658" s="1341"/>
      <c r="M658" s="1338"/>
      <c r="N658" s="1339"/>
      <c r="O658" s="1340"/>
      <c r="P658" s="1341"/>
      <c r="X658" s="1343" t="e">
        <f ca="1"/>
        <v>#NAME?</v>
      </c>
      <c r="Y658" s="1344" t="e">
        <f ca="1"/>
        <v>#NAME?</v>
      </c>
      <c r="Z658" s="1247"/>
    </row>
    <row r="659" spans="1:26" x14ac:dyDescent="0.2">
      <c r="A659" s="1338"/>
      <c r="B659" s="1339"/>
      <c r="C659" s="1340"/>
      <c r="D659" s="1341"/>
      <c r="E659" s="1338"/>
      <c r="F659" s="1339"/>
      <c r="G659" s="1340"/>
      <c r="H659" s="1341"/>
      <c r="I659" s="1338"/>
      <c r="J659" s="1339"/>
      <c r="K659" s="1340"/>
      <c r="L659" s="1341"/>
      <c r="M659" s="1338"/>
      <c r="N659" s="1339"/>
      <c r="O659" s="1340"/>
      <c r="P659" s="1341"/>
      <c r="X659" s="1343" t="e">
        <f ca="1"/>
        <v>#NAME?</v>
      </c>
      <c r="Y659" s="1344" t="e">
        <f ca="1"/>
        <v>#NAME?</v>
      </c>
      <c r="Z659" s="1247"/>
    </row>
    <row r="660" spans="1:26" x14ac:dyDescent="0.2">
      <c r="A660" s="1338"/>
      <c r="B660" s="1339"/>
      <c r="C660" s="1340"/>
      <c r="D660" s="1341"/>
      <c r="E660" s="1338"/>
      <c r="F660" s="1339"/>
      <c r="G660" s="1340"/>
      <c r="H660" s="1341"/>
      <c r="I660" s="1338"/>
      <c r="J660" s="1339"/>
      <c r="K660" s="1340"/>
      <c r="L660" s="1341"/>
      <c r="M660" s="1338"/>
      <c r="N660" s="1339"/>
      <c r="O660" s="1340"/>
      <c r="P660" s="1341"/>
      <c r="X660" s="1343" t="e">
        <f ca="1"/>
        <v>#NAME?</v>
      </c>
      <c r="Y660" s="1344" t="e">
        <f ca="1"/>
        <v>#NAME?</v>
      </c>
      <c r="Z660" s="1247"/>
    </row>
    <row r="661" spans="1:26" x14ac:dyDescent="0.2">
      <c r="A661" s="1338"/>
      <c r="B661" s="1339"/>
      <c r="C661" s="1340"/>
      <c r="D661" s="1341"/>
      <c r="E661" s="1338"/>
      <c r="F661" s="1339"/>
      <c r="G661" s="1340"/>
      <c r="H661" s="1341"/>
      <c r="I661" s="1338"/>
      <c r="J661" s="1339"/>
      <c r="K661" s="1340"/>
      <c r="L661" s="1341"/>
      <c r="M661" s="1338"/>
      <c r="N661" s="1339"/>
      <c r="O661" s="1340"/>
      <c r="P661" s="1341"/>
      <c r="X661" s="1343" t="e">
        <f ca="1"/>
        <v>#NAME?</v>
      </c>
      <c r="Y661" s="1344" t="e">
        <f ca="1"/>
        <v>#NAME?</v>
      </c>
      <c r="Z661" s="1247"/>
    </row>
    <row r="662" spans="1:26" x14ac:dyDescent="0.2">
      <c r="A662" s="1338"/>
      <c r="B662" s="1339"/>
      <c r="C662" s="1340"/>
      <c r="D662" s="1341"/>
      <c r="E662" s="1338"/>
      <c r="F662" s="1339"/>
      <c r="G662" s="1340"/>
      <c r="H662" s="1341"/>
      <c r="I662" s="1338"/>
      <c r="J662" s="1339"/>
      <c r="K662" s="1340"/>
      <c r="L662" s="1341"/>
      <c r="M662" s="1338"/>
      <c r="N662" s="1339"/>
      <c r="O662" s="1340"/>
      <c r="P662" s="1341"/>
      <c r="X662" s="1343" t="e">
        <f ca="1"/>
        <v>#NAME?</v>
      </c>
      <c r="Y662" s="1344" t="e">
        <f ca="1"/>
        <v>#NAME?</v>
      </c>
      <c r="Z662" s="1247"/>
    </row>
    <row r="663" spans="1:26" x14ac:dyDescent="0.2">
      <c r="A663" s="1338"/>
      <c r="B663" s="1339"/>
      <c r="C663" s="1340"/>
      <c r="D663" s="1341"/>
      <c r="E663" s="1338"/>
      <c r="F663" s="1339"/>
      <c r="G663" s="1340"/>
      <c r="H663" s="1341"/>
      <c r="I663" s="1338"/>
      <c r="J663" s="1339"/>
      <c r="K663" s="1340"/>
      <c r="L663" s="1341"/>
      <c r="M663" s="1338"/>
      <c r="N663" s="1339"/>
      <c r="O663" s="1340"/>
      <c r="P663" s="1341"/>
      <c r="X663" s="1343" t="e">
        <f ca="1"/>
        <v>#NAME?</v>
      </c>
      <c r="Y663" s="1344" t="e">
        <f ca="1"/>
        <v>#NAME?</v>
      </c>
      <c r="Z663" s="1247"/>
    </row>
    <row r="664" spans="1:26" x14ac:dyDescent="0.2">
      <c r="A664" s="1338"/>
      <c r="B664" s="1339"/>
      <c r="C664" s="1340"/>
      <c r="D664" s="1341"/>
      <c r="E664" s="1338"/>
      <c r="F664" s="1339"/>
      <c r="G664" s="1340"/>
      <c r="H664" s="1341"/>
      <c r="I664" s="1338"/>
      <c r="J664" s="1339"/>
      <c r="K664" s="1340"/>
      <c r="L664" s="1341"/>
      <c r="M664" s="1338"/>
      <c r="N664" s="1339"/>
      <c r="O664" s="1340"/>
      <c r="P664" s="1341"/>
      <c r="X664" s="1343" t="e">
        <f ca="1"/>
        <v>#NAME?</v>
      </c>
      <c r="Y664" s="1344" t="e">
        <f ca="1"/>
        <v>#NAME?</v>
      </c>
      <c r="Z664" s="1247"/>
    </row>
    <row r="665" spans="1:26" x14ac:dyDescent="0.2">
      <c r="A665" s="1338"/>
      <c r="B665" s="1339"/>
      <c r="C665" s="1340"/>
      <c r="D665" s="1341"/>
      <c r="E665" s="1338"/>
      <c r="F665" s="1339"/>
      <c r="G665" s="1340"/>
      <c r="H665" s="1341"/>
      <c r="I665" s="1338"/>
      <c r="J665" s="1339"/>
      <c r="K665" s="1340"/>
      <c r="L665" s="1341"/>
      <c r="M665" s="1338"/>
      <c r="N665" s="1339"/>
      <c r="O665" s="1340"/>
      <c r="P665" s="1341"/>
      <c r="X665" s="1343" t="e">
        <f ca="1"/>
        <v>#NAME?</v>
      </c>
      <c r="Y665" s="1344" t="e">
        <f ca="1"/>
        <v>#NAME?</v>
      </c>
      <c r="Z665" s="1247"/>
    </row>
    <row r="666" spans="1:26" x14ac:dyDescent="0.2">
      <c r="A666" s="1338"/>
      <c r="B666" s="1339"/>
      <c r="C666" s="1340"/>
      <c r="D666" s="1341"/>
      <c r="E666" s="1338"/>
      <c r="F666" s="1339"/>
      <c r="G666" s="1340"/>
      <c r="H666" s="1341"/>
      <c r="I666" s="1338"/>
      <c r="J666" s="1339"/>
      <c r="K666" s="1340"/>
      <c r="L666" s="1341"/>
      <c r="M666" s="1338"/>
      <c r="N666" s="1339"/>
      <c r="O666" s="1340"/>
      <c r="P666" s="1341"/>
      <c r="X666" s="1343" t="e">
        <f ca="1"/>
        <v>#NAME?</v>
      </c>
      <c r="Y666" s="1344" t="e">
        <f ca="1"/>
        <v>#NAME?</v>
      </c>
      <c r="Z666" s="1247"/>
    </row>
    <row r="667" spans="1:26" x14ac:dyDescent="0.2">
      <c r="A667" s="1338"/>
      <c r="B667" s="1339"/>
      <c r="C667" s="1340"/>
      <c r="D667" s="1341"/>
      <c r="E667" s="1338"/>
      <c r="F667" s="1339"/>
      <c r="G667" s="1340"/>
      <c r="H667" s="1341"/>
      <c r="I667" s="1338"/>
      <c r="J667" s="1339"/>
      <c r="K667" s="1340"/>
      <c r="L667" s="1341"/>
      <c r="M667" s="1338"/>
      <c r="N667" s="1339"/>
      <c r="O667" s="1340"/>
      <c r="P667" s="1341"/>
      <c r="X667" s="1343" t="e">
        <f ca="1"/>
        <v>#NAME?</v>
      </c>
      <c r="Y667" s="1344" t="e">
        <f ca="1"/>
        <v>#NAME?</v>
      </c>
      <c r="Z667" s="1247"/>
    </row>
    <row r="668" spans="1:26" x14ac:dyDescent="0.2">
      <c r="A668" s="1338"/>
      <c r="B668" s="1339"/>
      <c r="C668" s="1340"/>
      <c r="D668" s="1341"/>
      <c r="E668" s="1338"/>
      <c r="F668" s="1339"/>
      <c r="G668" s="1340"/>
      <c r="H668" s="1341"/>
      <c r="I668" s="1338"/>
      <c r="J668" s="1339"/>
      <c r="K668" s="1340"/>
      <c r="L668" s="1341"/>
      <c r="M668" s="1338"/>
      <c r="N668" s="1339"/>
      <c r="O668" s="1340"/>
      <c r="P668" s="1341"/>
      <c r="X668" s="1343" t="e">
        <f ca="1"/>
        <v>#NAME?</v>
      </c>
      <c r="Y668" s="1344" t="e">
        <f ca="1"/>
        <v>#NAME?</v>
      </c>
      <c r="Z668" s="1247"/>
    </row>
    <row r="669" spans="1:26" x14ac:dyDescent="0.2">
      <c r="A669" s="1338"/>
      <c r="B669" s="1339"/>
      <c r="C669" s="1340"/>
      <c r="D669" s="1341"/>
      <c r="E669" s="1338"/>
      <c r="F669" s="1339"/>
      <c r="G669" s="1340"/>
      <c r="H669" s="1341"/>
      <c r="I669" s="1338"/>
      <c r="J669" s="1339"/>
      <c r="K669" s="1340"/>
      <c r="L669" s="1341"/>
      <c r="M669" s="1338"/>
      <c r="N669" s="1339"/>
      <c r="O669" s="1340"/>
      <c r="P669" s="1341"/>
      <c r="X669" s="1343" t="e">
        <f ca="1"/>
        <v>#NAME?</v>
      </c>
      <c r="Y669" s="1344" t="e">
        <f ca="1"/>
        <v>#NAME?</v>
      </c>
      <c r="Z669" s="1247"/>
    </row>
    <row r="670" spans="1:26" x14ac:dyDescent="0.2">
      <c r="A670" s="1338"/>
      <c r="B670" s="1339"/>
      <c r="C670" s="1340"/>
      <c r="D670" s="1341"/>
      <c r="E670" s="1338"/>
      <c r="F670" s="1339"/>
      <c r="G670" s="1340"/>
      <c r="H670" s="1341"/>
      <c r="I670" s="1338"/>
      <c r="J670" s="1339"/>
      <c r="K670" s="1340"/>
      <c r="L670" s="1341"/>
      <c r="M670" s="1338"/>
      <c r="N670" s="1339"/>
      <c r="O670" s="1340"/>
      <c r="P670" s="1341"/>
      <c r="X670" s="1343" t="e">
        <f ca="1"/>
        <v>#NAME?</v>
      </c>
      <c r="Y670" s="1344" t="e">
        <f ca="1"/>
        <v>#NAME?</v>
      </c>
      <c r="Z670" s="1247"/>
    </row>
    <row r="671" spans="1:26" x14ac:dyDescent="0.2">
      <c r="A671" s="1338"/>
      <c r="B671" s="1339"/>
      <c r="C671" s="1340"/>
      <c r="D671" s="1341"/>
      <c r="E671" s="1338"/>
      <c r="F671" s="1339"/>
      <c r="G671" s="1340"/>
      <c r="H671" s="1341"/>
      <c r="I671" s="1338"/>
      <c r="J671" s="1339"/>
      <c r="K671" s="1340"/>
      <c r="L671" s="1341"/>
      <c r="M671" s="1338"/>
      <c r="N671" s="1339"/>
      <c r="O671" s="1340"/>
      <c r="P671" s="1341"/>
      <c r="X671" s="1343" t="e">
        <f ca="1"/>
        <v>#NAME?</v>
      </c>
      <c r="Y671" s="1344" t="e">
        <f ca="1"/>
        <v>#NAME?</v>
      </c>
      <c r="Z671" s="1247"/>
    </row>
    <row r="672" spans="1:26" x14ac:dyDescent="0.2">
      <c r="A672" s="1338"/>
      <c r="B672" s="1339"/>
      <c r="C672" s="1340"/>
      <c r="D672" s="1341"/>
      <c r="E672" s="1338"/>
      <c r="F672" s="1339"/>
      <c r="G672" s="1340"/>
      <c r="H672" s="1341"/>
      <c r="I672" s="1338"/>
      <c r="J672" s="1339"/>
      <c r="K672" s="1340"/>
      <c r="L672" s="1341"/>
      <c r="M672" s="1338"/>
      <c r="N672" s="1339"/>
      <c r="O672" s="1340"/>
      <c r="P672" s="1341"/>
      <c r="X672" s="1343" t="e">
        <f ca="1"/>
        <v>#NAME?</v>
      </c>
      <c r="Y672" s="1344" t="e">
        <f ca="1"/>
        <v>#NAME?</v>
      </c>
      <c r="Z672" s="1247"/>
    </row>
    <row r="673" spans="1:26" x14ac:dyDescent="0.2">
      <c r="A673" s="1338"/>
      <c r="B673" s="1339"/>
      <c r="C673" s="1340"/>
      <c r="D673" s="1341"/>
      <c r="E673" s="1338"/>
      <c r="F673" s="1339"/>
      <c r="G673" s="1340"/>
      <c r="H673" s="1341"/>
      <c r="I673" s="1338"/>
      <c r="J673" s="1339"/>
      <c r="K673" s="1340"/>
      <c r="L673" s="1341"/>
      <c r="M673" s="1338"/>
      <c r="N673" s="1339"/>
      <c r="O673" s="1340"/>
      <c r="P673" s="1341"/>
      <c r="X673" s="1343" t="e">
        <f ca="1"/>
        <v>#NAME?</v>
      </c>
      <c r="Y673" s="1344" t="e">
        <f ca="1"/>
        <v>#NAME?</v>
      </c>
      <c r="Z673" s="1247"/>
    </row>
    <row r="674" spans="1:26" x14ac:dyDescent="0.2">
      <c r="A674" s="1338"/>
      <c r="B674" s="1339"/>
      <c r="C674" s="1340"/>
      <c r="D674" s="1341"/>
      <c r="E674" s="1338"/>
      <c r="F674" s="1339"/>
      <c r="G674" s="1340"/>
      <c r="H674" s="1341"/>
      <c r="I674" s="1338"/>
      <c r="J674" s="1339"/>
      <c r="K674" s="1340"/>
      <c r="L674" s="1341"/>
      <c r="M674" s="1338"/>
      <c r="N674" s="1339"/>
      <c r="O674" s="1340"/>
      <c r="P674" s="1341"/>
      <c r="X674" s="1343" t="e">
        <f ca="1"/>
        <v>#NAME?</v>
      </c>
      <c r="Y674" s="1344" t="e">
        <f ca="1"/>
        <v>#NAME?</v>
      </c>
      <c r="Z674" s="1247"/>
    </row>
    <row r="675" spans="1:26" x14ac:dyDescent="0.2">
      <c r="A675" s="1338"/>
      <c r="B675" s="1339"/>
      <c r="C675" s="1340"/>
      <c r="D675" s="1341"/>
      <c r="E675" s="1338"/>
      <c r="F675" s="1339"/>
      <c r="G675" s="1340"/>
      <c r="H675" s="1341"/>
      <c r="I675" s="1338"/>
      <c r="J675" s="1339"/>
      <c r="K675" s="1340"/>
      <c r="L675" s="1341"/>
      <c r="M675" s="1338"/>
      <c r="N675" s="1339"/>
      <c r="O675" s="1340"/>
      <c r="P675" s="1341"/>
      <c r="X675" s="1343" t="e">
        <f ca="1"/>
        <v>#NAME?</v>
      </c>
      <c r="Y675" s="1344" t="e">
        <f ca="1"/>
        <v>#NAME?</v>
      </c>
      <c r="Z675" s="1247"/>
    </row>
    <row r="676" spans="1:26" x14ac:dyDescent="0.2">
      <c r="A676" s="1338"/>
      <c r="B676" s="1339"/>
      <c r="C676" s="1340"/>
      <c r="D676" s="1341"/>
      <c r="E676" s="1338"/>
      <c r="F676" s="1339"/>
      <c r="G676" s="1340"/>
      <c r="H676" s="1341"/>
      <c r="I676" s="1338"/>
      <c r="J676" s="1339"/>
      <c r="K676" s="1340"/>
      <c r="L676" s="1341"/>
      <c r="M676" s="1338"/>
      <c r="N676" s="1339"/>
      <c r="O676" s="1340"/>
      <c r="P676" s="1341"/>
      <c r="X676" s="1343" t="e">
        <f ca="1"/>
        <v>#NAME?</v>
      </c>
      <c r="Y676" s="1344" t="e">
        <f ca="1"/>
        <v>#NAME?</v>
      </c>
      <c r="Z676" s="1247"/>
    </row>
    <row r="677" spans="1:26" x14ac:dyDescent="0.2">
      <c r="A677" s="1338"/>
      <c r="B677" s="1339"/>
      <c r="C677" s="1340"/>
      <c r="D677" s="1341"/>
      <c r="E677" s="1338"/>
      <c r="F677" s="1339"/>
      <c r="G677" s="1340"/>
      <c r="H677" s="1341"/>
      <c r="I677" s="1338"/>
      <c r="J677" s="1339"/>
      <c r="K677" s="1340"/>
      <c r="L677" s="1341"/>
      <c r="M677" s="1338"/>
      <c r="N677" s="1339"/>
      <c r="O677" s="1340"/>
      <c r="P677" s="1341"/>
      <c r="X677" s="1343" t="e">
        <f ca="1"/>
        <v>#NAME?</v>
      </c>
      <c r="Y677" s="1344" t="e">
        <f ca="1"/>
        <v>#NAME?</v>
      </c>
      <c r="Z677" s="1247"/>
    </row>
    <row r="678" spans="1:26" x14ac:dyDescent="0.2">
      <c r="A678" s="1338"/>
      <c r="B678" s="1339"/>
      <c r="C678" s="1340"/>
      <c r="D678" s="1341"/>
      <c r="E678" s="1338"/>
      <c r="F678" s="1339"/>
      <c r="G678" s="1340"/>
      <c r="H678" s="1341"/>
      <c r="I678" s="1338"/>
      <c r="J678" s="1339"/>
      <c r="K678" s="1340"/>
      <c r="L678" s="1341"/>
      <c r="M678" s="1338"/>
      <c r="N678" s="1339"/>
      <c r="O678" s="1340"/>
      <c r="P678" s="1341"/>
      <c r="X678" s="1343" t="e">
        <f ca="1"/>
        <v>#NAME?</v>
      </c>
      <c r="Y678" s="1344" t="e">
        <f ca="1"/>
        <v>#NAME?</v>
      </c>
      <c r="Z678" s="1247"/>
    </row>
    <row r="679" spans="1:26" x14ac:dyDescent="0.2">
      <c r="A679" s="1338"/>
      <c r="B679" s="1339"/>
      <c r="C679" s="1340"/>
      <c r="D679" s="1341"/>
      <c r="E679" s="1338"/>
      <c r="F679" s="1339"/>
      <c r="G679" s="1340"/>
      <c r="H679" s="1341"/>
      <c r="I679" s="1338"/>
      <c r="J679" s="1339"/>
      <c r="K679" s="1340"/>
      <c r="L679" s="1341"/>
      <c r="M679" s="1338"/>
      <c r="N679" s="1339"/>
      <c r="O679" s="1340"/>
      <c r="P679" s="1341"/>
      <c r="X679" s="1343" t="e">
        <f ca="1"/>
        <v>#NAME?</v>
      </c>
      <c r="Y679" s="1344" t="e">
        <f ca="1"/>
        <v>#NAME?</v>
      </c>
      <c r="Z679" s="1247"/>
    </row>
    <row r="680" spans="1:26" x14ac:dyDescent="0.2">
      <c r="A680" s="1338"/>
      <c r="B680" s="1339"/>
      <c r="C680" s="1340"/>
      <c r="D680" s="1341"/>
      <c r="E680" s="1338"/>
      <c r="F680" s="1339"/>
      <c r="G680" s="1340"/>
      <c r="H680" s="1341"/>
      <c r="I680" s="1338"/>
      <c r="J680" s="1339"/>
      <c r="K680" s="1340"/>
      <c r="L680" s="1341"/>
      <c r="M680" s="1338"/>
      <c r="N680" s="1339"/>
      <c r="O680" s="1340"/>
      <c r="P680" s="1341"/>
      <c r="X680" s="1343" t="e">
        <f ca="1"/>
        <v>#NAME?</v>
      </c>
      <c r="Y680" s="1344" t="e">
        <f ca="1"/>
        <v>#NAME?</v>
      </c>
      <c r="Z680" s="1247"/>
    </row>
    <row r="681" spans="1:26" x14ac:dyDescent="0.2">
      <c r="A681" s="1338"/>
      <c r="B681" s="1339"/>
      <c r="C681" s="1340"/>
      <c r="D681" s="1341"/>
      <c r="E681" s="1338"/>
      <c r="F681" s="1339"/>
      <c r="G681" s="1340"/>
      <c r="H681" s="1341"/>
      <c r="I681" s="1338"/>
      <c r="J681" s="1339"/>
      <c r="K681" s="1340"/>
      <c r="L681" s="1341"/>
      <c r="M681" s="1338"/>
      <c r="N681" s="1339"/>
      <c r="O681" s="1340"/>
      <c r="P681" s="1341"/>
      <c r="X681" s="1343" t="e">
        <f ca="1"/>
        <v>#NAME?</v>
      </c>
      <c r="Y681" s="1344" t="e">
        <f ca="1"/>
        <v>#NAME?</v>
      </c>
      <c r="Z681" s="1247"/>
    </row>
    <row r="682" spans="1:26" x14ac:dyDescent="0.2">
      <c r="A682" s="1338"/>
      <c r="B682" s="1339"/>
      <c r="C682" s="1340"/>
      <c r="D682" s="1341"/>
      <c r="E682" s="1338"/>
      <c r="F682" s="1339"/>
      <c r="G682" s="1340"/>
      <c r="H682" s="1341"/>
      <c r="I682" s="1338"/>
      <c r="J682" s="1339"/>
      <c r="K682" s="1340"/>
      <c r="L682" s="1341"/>
      <c r="M682" s="1338"/>
      <c r="N682" s="1339"/>
      <c r="O682" s="1340"/>
      <c r="P682" s="1341"/>
      <c r="X682" s="1343" t="e">
        <f ca="1"/>
        <v>#NAME?</v>
      </c>
      <c r="Y682" s="1344" t="e">
        <f ca="1"/>
        <v>#NAME?</v>
      </c>
      <c r="Z682" s="1247"/>
    </row>
    <row r="683" spans="1:26" x14ac:dyDescent="0.2">
      <c r="A683" s="1338"/>
      <c r="B683" s="1339"/>
      <c r="C683" s="1340"/>
      <c r="D683" s="1341"/>
      <c r="E683" s="1338"/>
      <c r="F683" s="1339"/>
      <c r="G683" s="1340"/>
      <c r="H683" s="1341"/>
      <c r="I683" s="1338"/>
      <c r="J683" s="1339"/>
      <c r="K683" s="1340"/>
      <c r="L683" s="1341"/>
      <c r="M683" s="1338"/>
      <c r="N683" s="1339"/>
      <c r="O683" s="1340"/>
      <c r="P683" s="1341"/>
      <c r="X683" s="1343" t="e">
        <f ca="1"/>
        <v>#NAME?</v>
      </c>
      <c r="Y683" s="1344" t="e">
        <f ca="1"/>
        <v>#NAME?</v>
      </c>
      <c r="Z683" s="1247"/>
    </row>
    <row r="684" spans="1:26" x14ac:dyDescent="0.2">
      <c r="A684" s="1338"/>
      <c r="B684" s="1339"/>
      <c r="C684" s="1340"/>
      <c r="D684" s="1341"/>
      <c r="E684" s="1338"/>
      <c r="F684" s="1339"/>
      <c r="G684" s="1340"/>
      <c r="H684" s="1341"/>
      <c r="I684" s="1338"/>
      <c r="J684" s="1339"/>
      <c r="K684" s="1340"/>
      <c r="L684" s="1341"/>
      <c r="M684" s="1338"/>
      <c r="N684" s="1339"/>
      <c r="O684" s="1340"/>
      <c r="P684" s="1341"/>
      <c r="X684" s="1343" t="e">
        <f ca="1"/>
        <v>#NAME?</v>
      </c>
      <c r="Y684" s="1344" t="e">
        <f ca="1"/>
        <v>#NAME?</v>
      </c>
      <c r="Z684" s="1247"/>
    </row>
    <row r="685" spans="1:26" x14ac:dyDescent="0.2">
      <c r="A685" s="1338"/>
      <c r="B685" s="1339"/>
      <c r="C685" s="1340"/>
      <c r="D685" s="1341"/>
      <c r="E685" s="1338"/>
      <c r="F685" s="1339"/>
      <c r="G685" s="1340"/>
      <c r="H685" s="1341"/>
      <c r="I685" s="1338"/>
      <c r="J685" s="1339"/>
      <c r="K685" s="1340"/>
      <c r="L685" s="1341"/>
      <c r="M685" s="1338"/>
      <c r="N685" s="1339"/>
      <c r="O685" s="1340"/>
      <c r="P685" s="1341"/>
      <c r="X685" s="1343" t="e">
        <f ca="1"/>
        <v>#NAME?</v>
      </c>
      <c r="Y685" s="1344" t="e">
        <f ca="1"/>
        <v>#NAME?</v>
      </c>
      <c r="Z685" s="1247"/>
    </row>
    <row r="686" spans="1:26" x14ac:dyDescent="0.2">
      <c r="A686" s="1338"/>
      <c r="B686" s="1339"/>
      <c r="C686" s="1340"/>
      <c r="D686" s="1341"/>
      <c r="E686" s="1338"/>
      <c r="F686" s="1339"/>
      <c r="G686" s="1340"/>
      <c r="H686" s="1341"/>
      <c r="I686" s="1338"/>
      <c r="J686" s="1339"/>
      <c r="K686" s="1340"/>
      <c r="L686" s="1341"/>
      <c r="M686" s="1338"/>
      <c r="N686" s="1339"/>
      <c r="O686" s="1340"/>
      <c r="P686" s="1341"/>
      <c r="X686" s="1343" t="e">
        <f ca="1"/>
        <v>#NAME?</v>
      </c>
      <c r="Y686" s="1344" t="e">
        <f ca="1"/>
        <v>#NAME?</v>
      </c>
      <c r="Z686" s="1247"/>
    </row>
    <row r="687" spans="1:26" x14ac:dyDescent="0.2">
      <c r="A687" s="1338"/>
      <c r="B687" s="1339"/>
      <c r="C687" s="1340"/>
      <c r="D687" s="1341"/>
      <c r="E687" s="1338"/>
      <c r="F687" s="1339"/>
      <c r="G687" s="1340"/>
      <c r="H687" s="1341"/>
      <c r="I687" s="1338"/>
      <c r="J687" s="1339"/>
      <c r="K687" s="1340"/>
      <c r="L687" s="1341"/>
      <c r="M687" s="1338"/>
      <c r="N687" s="1339"/>
      <c r="O687" s="1340"/>
      <c r="P687" s="1341"/>
      <c r="X687" s="1343" t="e">
        <f ca="1"/>
        <v>#NAME?</v>
      </c>
      <c r="Y687" s="1344" t="e">
        <f ca="1"/>
        <v>#NAME?</v>
      </c>
      <c r="Z687" s="1247"/>
    </row>
    <row r="688" spans="1:26" x14ac:dyDescent="0.2">
      <c r="A688" s="1338"/>
      <c r="B688" s="1339"/>
      <c r="C688" s="1340"/>
      <c r="D688" s="1341"/>
      <c r="E688" s="1338"/>
      <c r="F688" s="1339"/>
      <c r="G688" s="1340"/>
      <c r="H688" s="1341"/>
      <c r="I688" s="1338"/>
      <c r="J688" s="1339"/>
      <c r="K688" s="1340"/>
      <c r="L688" s="1341"/>
      <c r="M688" s="1338"/>
      <c r="N688" s="1339"/>
      <c r="O688" s="1340"/>
      <c r="P688" s="1341"/>
      <c r="X688" s="1343" t="e">
        <f ca="1"/>
        <v>#NAME?</v>
      </c>
      <c r="Y688" s="1344" t="e">
        <f ca="1"/>
        <v>#NAME?</v>
      </c>
      <c r="Z688" s="1247"/>
    </row>
    <row r="689" spans="1:26" x14ac:dyDescent="0.2">
      <c r="A689" s="1338"/>
      <c r="B689" s="1339"/>
      <c r="C689" s="1340"/>
      <c r="D689" s="1341"/>
      <c r="E689" s="1338"/>
      <c r="F689" s="1339"/>
      <c r="G689" s="1340"/>
      <c r="H689" s="1341"/>
      <c r="I689" s="1338"/>
      <c r="J689" s="1339"/>
      <c r="K689" s="1340"/>
      <c r="L689" s="1341"/>
      <c r="M689" s="1338"/>
      <c r="N689" s="1339"/>
      <c r="O689" s="1340"/>
      <c r="P689" s="1341"/>
      <c r="X689" s="1343" t="e">
        <f ca="1"/>
        <v>#NAME?</v>
      </c>
      <c r="Y689" s="1344" t="e">
        <f ca="1"/>
        <v>#NAME?</v>
      </c>
      <c r="Z689" s="1247"/>
    </row>
    <row r="690" spans="1:26" x14ac:dyDescent="0.2">
      <c r="A690" s="1338"/>
      <c r="B690" s="1339"/>
      <c r="C690" s="1340"/>
      <c r="D690" s="1341"/>
      <c r="E690" s="1338"/>
      <c r="F690" s="1339"/>
      <c r="G690" s="1340"/>
      <c r="H690" s="1341"/>
      <c r="I690" s="1338"/>
      <c r="J690" s="1339"/>
      <c r="K690" s="1340"/>
      <c r="L690" s="1341"/>
      <c r="M690" s="1338"/>
      <c r="N690" s="1339"/>
      <c r="O690" s="1340"/>
      <c r="P690" s="1341"/>
      <c r="X690" s="1343" t="e">
        <f ca="1"/>
        <v>#NAME?</v>
      </c>
      <c r="Y690" s="1344" t="e">
        <f ca="1"/>
        <v>#NAME?</v>
      </c>
      <c r="Z690" s="1247"/>
    </row>
    <row r="691" spans="1:26" x14ac:dyDescent="0.2">
      <c r="A691" s="1338"/>
      <c r="B691" s="1339"/>
      <c r="C691" s="1340"/>
      <c r="D691" s="1341"/>
      <c r="E691" s="1338"/>
      <c r="F691" s="1339"/>
      <c r="G691" s="1340"/>
      <c r="H691" s="1341"/>
      <c r="I691" s="1338"/>
      <c r="J691" s="1339"/>
      <c r="K691" s="1340"/>
      <c r="L691" s="1341"/>
      <c r="M691" s="1338"/>
      <c r="N691" s="1339"/>
      <c r="O691" s="1340"/>
      <c r="P691" s="1341"/>
      <c r="X691" s="1343" t="e">
        <f ca="1"/>
        <v>#NAME?</v>
      </c>
      <c r="Y691" s="1344" t="e">
        <f ca="1"/>
        <v>#NAME?</v>
      </c>
      <c r="Z691" s="1247"/>
    </row>
    <row r="692" spans="1:26" x14ac:dyDescent="0.2">
      <c r="A692" s="1338"/>
      <c r="B692" s="1339"/>
      <c r="C692" s="1340"/>
      <c r="D692" s="1341"/>
      <c r="E692" s="1338"/>
      <c r="F692" s="1339"/>
      <c r="G692" s="1340"/>
      <c r="H692" s="1341"/>
      <c r="I692" s="1338"/>
      <c r="J692" s="1339"/>
      <c r="K692" s="1340"/>
      <c r="L692" s="1341"/>
      <c r="M692" s="1338"/>
      <c r="N692" s="1339"/>
      <c r="O692" s="1340"/>
      <c r="P692" s="1341"/>
      <c r="X692" s="1343" t="e">
        <f ca="1"/>
        <v>#NAME?</v>
      </c>
      <c r="Y692" s="1344" t="e">
        <f ca="1"/>
        <v>#NAME?</v>
      </c>
      <c r="Z692" s="1247"/>
    </row>
    <row r="693" spans="1:26" x14ac:dyDescent="0.2">
      <c r="A693" s="1338"/>
      <c r="B693" s="1339"/>
      <c r="C693" s="1340"/>
      <c r="D693" s="1341"/>
      <c r="E693" s="1338"/>
      <c r="F693" s="1339"/>
      <c r="G693" s="1340"/>
      <c r="H693" s="1341"/>
      <c r="I693" s="1338"/>
      <c r="J693" s="1339"/>
      <c r="K693" s="1340"/>
      <c r="L693" s="1341"/>
      <c r="M693" s="1338"/>
      <c r="N693" s="1339"/>
      <c r="O693" s="1340"/>
      <c r="P693" s="1341"/>
      <c r="X693" s="1343" t="e">
        <f ca="1"/>
        <v>#NAME?</v>
      </c>
      <c r="Y693" s="1344" t="e">
        <f ca="1"/>
        <v>#NAME?</v>
      </c>
      <c r="Z693" s="1247"/>
    </row>
    <row r="694" spans="1:26" x14ac:dyDescent="0.2">
      <c r="A694" s="1338"/>
      <c r="B694" s="1339"/>
      <c r="C694" s="1340"/>
      <c r="D694" s="1341"/>
      <c r="E694" s="1338"/>
      <c r="F694" s="1339"/>
      <c r="G694" s="1340"/>
      <c r="H694" s="1341"/>
      <c r="I694" s="1338"/>
      <c r="J694" s="1339"/>
      <c r="K694" s="1340"/>
      <c r="L694" s="1341"/>
      <c r="M694" s="1338"/>
      <c r="N694" s="1339"/>
      <c r="O694" s="1340"/>
      <c r="P694" s="1341"/>
      <c r="X694" s="1343" t="e">
        <f ca="1"/>
        <v>#NAME?</v>
      </c>
      <c r="Y694" s="1344" t="e">
        <f ca="1"/>
        <v>#NAME?</v>
      </c>
      <c r="Z694" s="1247"/>
    </row>
    <row r="695" spans="1:26" x14ac:dyDescent="0.2">
      <c r="A695" s="1338"/>
      <c r="B695" s="1339"/>
      <c r="C695" s="1340"/>
      <c r="D695" s="1341"/>
      <c r="E695" s="1338"/>
      <c r="F695" s="1339"/>
      <c r="G695" s="1340"/>
      <c r="H695" s="1341"/>
      <c r="I695" s="1338"/>
      <c r="J695" s="1339"/>
      <c r="K695" s="1340"/>
      <c r="L695" s="1341"/>
      <c r="M695" s="1338"/>
      <c r="N695" s="1339"/>
      <c r="O695" s="1340"/>
      <c r="P695" s="1341"/>
      <c r="X695" s="1343" t="e">
        <f ca="1"/>
        <v>#NAME?</v>
      </c>
      <c r="Y695" s="1344" t="e">
        <f ca="1"/>
        <v>#NAME?</v>
      </c>
      <c r="Z695" s="1247"/>
    </row>
    <row r="696" spans="1:26" x14ac:dyDescent="0.2">
      <c r="A696" s="1338"/>
      <c r="B696" s="1339"/>
      <c r="C696" s="1340"/>
      <c r="D696" s="1341"/>
      <c r="E696" s="1338"/>
      <c r="F696" s="1339"/>
      <c r="G696" s="1340"/>
      <c r="H696" s="1341"/>
      <c r="I696" s="1338"/>
      <c r="J696" s="1339"/>
      <c r="K696" s="1340"/>
      <c r="L696" s="1341"/>
      <c r="M696" s="1338"/>
      <c r="N696" s="1339"/>
      <c r="O696" s="1340"/>
      <c r="P696" s="1341"/>
      <c r="X696" s="1343" t="e">
        <f ca="1"/>
        <v>#NAME?</v>
      </c>
      <c r="Y696" s="1344" t="e">
        <f ca="1"/>
        <v>#NAME?</v>
      </c>
      <c r="Z696" s="1247"/>
    </row>
    <row r="697" spans="1:26" x14ac:dyDescent="0.2">
      <c r="A697" s="1338"/>
      <c r="B697" s="1339"/>
      <c r="C697" s="1340"/>
      <c r="D697" s="1341"/>
      <c r="E697" s="1338"/>
      <c r="F697" s="1339"/>
      <c r="G697" s="1340"/>
      <c r="H697" s="1341"/>
      <c r="I697" s="1338"/>
      <c r="J697" s="1339"/>
      <c r="K697" s="1340"/>
      <c r="L697" s="1341"/>
      <c r="M697" s="1338"/>
      <c r="N697" s="1339"/>
      <c r="O697" s="1340"/>
      <c r="P697" s="1341"/>
      <c r="X697" s="1343" t="e">
        <f ca="1"/>
        <v>#NAME?</v>
      </c>
      <c r="Y697" s="1344" t="e">
        <f ca="1"/>
        <v>#NAME?</v>
      </c>
      <c r="Z697" s="1247"/>
    </row>
    <row r="698" spans="1:26" x14ac:dyDescent="0.2">
      <c r="A698" s="1338"/>
      <c r="B698" s="1339"/>
      <c r="C698" s="1340"/>
      <c r="D698" s="1341"/>
      <c r="E698" s="1338"/>
      <c r="F698" s="1339"/>
      <c r="G698" s="1340"/>
      <c r="H698" s="1341"/>
      <c r="I698" s="1338"/>
      <c r="J698" s="1339"/>
      <c r="K698" s="1340"/>
      <c r="L698" s="1341"/>
      <c r="M698" s="1338"/>
      <c r="N698" s="1339"/>
      <c r="O698" s="1340"/>
      <c r="P698" s="1341"/>
      <c r="X698" s="1343" t="e">
        <f ca="1"/>
        <v>#NAME?</v>
      </c>
      <c r="Y698" s="1344" t="e">
        <f ca="1"/>
        <v>#NAME?</v>
      </c>
      <c r="Z698" s="1247"/>
    </row>
    <row r="699" spans="1:26" x14ac:dyDescent="0.2">
      <c r="A699" s="1338"/>
      <c r="B699" s="1339"/>
      <c r="C699" s="1340"/>
      <c r="D699" s="1341"/>
      <c r="E699" s="1338"/>
      <c r="F699" s="1339"/>
      <c r="G699" s="1340"/>
      <c r="H699" s="1341"/>
      <c r="I699" s="1338"/>
      <c r="J699" s="1339"/>
      <c r="K699" s="1340"/>
      <c r="L699" s="1341"/>
      <c r="M699" s="1338"/>
      <c r="N699" s="1339"/>
      <c r="O699" s="1340"/>
      <c r="P699" s="1341"/>
      <c r="X699" s="1343" t="e">
        <f ca="1"/>
        <v>#NAME?</v>
      </c>
      <c r="Y699" s="1344" t="e">
        <f ca="1"/>
        <v>#NAME?</v>
      </c>
      <c r="Z699" s="1247"/>
    </row>
    <row r="700" spans="1:26" x14ac:dyDescent="0.2">
      <c r="A700" s="1338"/>
      <c r="B700" s="1339"/>
      <c r="C700" s="1340"/>
      <c r="D700" s="1341"/>
      <c r="E700" s="1338"/>
      <c r="F700" s="1339"/>
      <c r="G700" s="1340"/>
      <c r="H700" s="1341"/>
      <c r="I700" s="1338"/>
      <c r="J700" s="1339"/>
      <c r="K700" s="1340"/>
      <c r="L700" s="1341"/>
      <c r="M700" s="1338"/>
      <c r="N700" s="1339"/>
      <c r="O700" s="1340"/>
      <c r="P700" s="1341"/>
      <c r="X700" s="1343" t="e">
        <f ca="1"/>
        <v>#NAME?</v>
      </c>
      <c r="Y700" s="1344" t="e">
        <f ca="1"/>
        <v>#NAME?</v>
      </c>
      <c r="Z700" s="1247"/>
    </row>
    <row r="701" spans="1:26" x14ac:dyDescent="0.2">
      <c r="A701" s="1338"/>
      <c r="B701" s="1339"/>
      <c r="C701" s="1340"/>
      <c r="D701" s="1341"/>
      <c r="E701" s="1338"/>
      <c r="F701" s="1339"/>
      <c r="G701" s="1340"/>
      <c r="H701" s="1341"/>
      <c r="I701" s="1338"/>
      <c r="J701" s="1339"/>
      <c r="K701" s="1340"/>
      <c r="L701" s="1341"/>
      <c r="M701" s="1338"/>
      <c r="N701" s="1339"/>
      <c r="O701" s="1340"/>
      <c r="P701" s="1341"/>
      <c r="X701" s="1343" t="e">
        <f ca="1"/>
        <v>#NAME?</v>
      </c>
      <c r="Y701" s="1344" t="e">
        <f ca="1"/>
        <v>#NAME?</v>
      </c>
      <c r="Z701" s="1247"/>
    </row>
    <row r="702" spans="1:26" x14ac:dyDescent="0.2">
      <c r="A702" s="1338"/>
      <c r="B702" s="1339"/>
      <c r="C702" s="1340"/>
      <c r="D702" s="1341"/>
      <c r="E702" s="1338"/>
      <c r="F702" s="1339"/>
      <c r="G702" s="1340"/>
      <c r="H702" s="1341"/>
      <c r="I702" s="1338"/>
      <c r="J702" s="1339"/>
      <c r="K702" s="1340"/>
      <c r="L702" s="1341"/>
      <c r="M702" s="1338"/>
      <c r="N702" s="1339"/>
      <c r="O702" s="1340"/>
      <c r="P702" s="1341"/>
      <c r="X702" s="1343" t="e">
        <f ca="1"/>
        <v>#NAME?</v>
      </c>
      <c r="Y702" s="1344" t="e">
        <f ca="1"/>
        <v>#NAME?</v>
      </c>
      <c r="Z702" s="1247"/>
    </row>
    <row r="703" spans="1:26" x14ac:dyDescent="0.2">
      <c r="A703" s="1338"/>
      <c r="B703" s="1339"/>
      <c r="C703" s="1340"/>
      <c r="D703" s="1341"/>
      <c r="E703" s="1338"/>
      <c r="F703" s="1339"/>
      <c r="G703" s="1340"/>
      <c r="H703" s="1341"/>
      <c r="I703" s="1338"/>
      <c r="J703" s="1339"/>
      <c r="K703" s="1340"/>
      <c r="L703" s="1341"/>
      <c r="M703" s="1338"/>
      <c r="N703" s="1339"/>
      <c r="O703" s="1340"/>
      <c r="P703" s="1341"/>
      <c r="X703" s="1343" t="e">
        <f ca="1"/>
        <v>#NAME?</v>
      </c>
      <c r="Y703" s="1344" t="e">
        <f ca="1"/>
        <v>#NAME?</v>
      </c>
      <c r="Z703" s="1247"/>
    </row>
    <row r="704" spans="1:26" x14ac:dyDescent="0.2">
      <c r="A704" s="1338"/>
      <c r="B704" s="1339"/>
      <c r="C704" s="1340"/>
      <c r="D704" s="1341"/>
      <c r="E704" s="1338"/>
      <c r="F704" s="1339"/>
      <c r="G704" s="1340"/>
      <c r="H704" s="1341"/>
      <c r="I704" s="1338"/>
      <c r="J704" s="1339"/>
      <c r="K704" s="1340"/>
      <c r="L704" s="1341"/>
      <c r="M704" s="1338"/>
      <c r="N704" s="1339"/>
      <c r="O704" s="1340"/>
      <c r="P704" s="1341"/>
      <c r="X704" s="1343" t="e">
        <f ca="1"/>
        <v>#NAME?</v>
      </c>
      <c r="Y704" s="1344" t="e">
        <f ca="1"/>
        <v>#NAME?</v>
      </c>
      <c r="Z704" s="1247"/>
    </row>
    <row r="705" spans="1:26" x14ac:dyDescent="0.2">
      <c r="A705" s="1338"/>
      <c r="B705" s="1339"/>
      <c r="C705" s="1340"/>
      <c r="D705" s="1341"/>
      <c r="E705" s="1338"/>
      <c r="F705" s="1339"/>
      <c r="G705" s="1340"/>
      <c r="H705" s="1341"/>
      <c r="I705" s="1338"/>
      <c r="J705" s="1339"/>
      <c r="K705" s="1340"/>
      <c r="L705" s="1341"/>
      <c r="M705" s="1338"/>
      <c r="N705" s="1339"/>
      <c r="O705" s="1340"/>
      <c r="P705" s="1341"/>
      <c r="X705" s="1343" t="e">
        <f ca="1"/>
        <v>#NAME?</v>
      </c>
      <c r="Y705" s="1344" t="e">
        <f ca="1"/>
        <v>#NAME?</v>
      </c>
      <c r="Z705" s="1247"/>
    </row>
    <row r="706" spans="1:26" x14ac:dyDescent="0.2">
      <c r="A706" s="1338"/>
      <c r="B706" s="1339"/>
      <c r="C706" s="1340"/>
      <c r="D706" s="1341"/>
      <c r="E706" s="1338"/>
      <c r="F706" s="1339"/>
      <c r="G706" s="1340"/>
      <c r="H706" s="1341"/>
      <c r="I706" s="1338"/>
      <c r="J706" s="1339"/>
      <c r="K706" s="1340"/>
      <c r="L706" s="1341"/>
      <c r="M706" s="1338"/>
      <c r="N706" s="1339"/>
      <c r="O706" s="1340"/>
      <c r="P706" s="1341"/>
      <c r="X706" s="1343" t="e">
        <f ca="1"/>
        <v>#NAME?</v>
      </c>
      <c r="Y706" s="1344" t="e">
        <f ca="1"/>
        <v>#NAME?</v>
      </c>
      <c r="Z706" s="1247"/>
    </row>
    <row r="707" spans="1:26" x14ac:dyDescent="0.2">
      <c r="A707" s="1338"/>
      <c r="B707" s="1339"/>
      <c r="C707" s="1340"/>
      <c r="D707" s="1341"/>
      <c r="E707" s="1338"/>
      <c r="F707" s="1339"/>
      <c r="G707" s="1340"/>
      <c r="H707" s="1341"/>
      <c r="I707" s="1338"/>
      <c r="J707" s="1339"/>
      <c r="K707" s="1340"/>
      <c r="L707" s="1341"/>
      <c r="M707" s="1338"/>
      <c r="N707" s="1339"/>
      <c r="O707" s="1340"/>
      <c r="P707" s="1341"/>
      <c r="X707" s="1343" t="e">
        <f ca="1"/>
        <v>#NAME?</v>
      </c>
      <c r="Y707" s="1344" t="e">
        <f ca="1"/>
        <v>#NAME?</v>
      </c>
    </row>
    <row r="708" spans="1:26" x14ac:dyDescent="0.2">
      <c r="A708" s="1338"/>
      <c r="B708" s="1339"/>
      <c r="C708" s="1340"/>
      <c r="D708" s="1341"/>
      <c r="E708" s="1338"/>
      <c r="F708" s="1339"/>
      <c r="G708" s="1340"/>
      <c r="H708" s="1341"/>
      <c r="I708" s="1338"/>
      <c r="J708" s="1339"/>
      <c r="K708" s="1340"/>
      <c r="L708" s="1341"/>
      <c r="M708" s="1338"/>
      <c r="N708" s="1339"/>
      <c r="O708" s="1340"/>
      <c r="P708" s="1341"/>
      <c r="X708" s="1343" t="e">
        <f ca="1"/>
        <v>#NAME?</v>
      </c>
      <c r="Y708" s="1344" t="e">
        <f ca="1"/>
        <v>#NAME?</v>
      </c>
    </row>
    <row r="709" spans="1:26" x14ac:dyDescent="0.2">
      <c r="A709" s="1338"/>
      <c r="B709" s="1339"/>
      <c r="C709" s="1340"/>
      <c r="D709" s="1341"/>
      <c r="E709" s="1338"/>
      <c r="F709" s="1339"/>
      <c r="G709" s="1340"/>
      <c r="H709" s="1341"/>
      <c r="I709" s="1338"/>
      <c r="J709" s="1339"/>
      <c r="K709" s="1340"/>
      <c r="L709" s="1341"/>
      <c r="M709" s="1338"/>
      <c r="N709" s="1339"/>
      <c r="O709" s="1340"/>
      <c r="P709" s="1341"/>
      <c r="X709" s="1343" t="e">
        <f ca="1"/>
        <v>#NAME?</v>
      </c>
      <c r="Y709" s="1344" t="e">
        <f ca="1"/>
        <v>#NAME?</v>
      </c>
    </row>
    <row r="710" spans="1:26" x14ac:dyDescent="0.2">
      <c r="A710" s="1338"/>
      <c r="B710" s="1339"/>
      <c r="C710" s="1340"/>
      <c r="D710" s="1341"/>
      <c r="E710" s="1338"/>
      <c r="F710" s="1339"/>
      <c r="G710" s="1340"/>
      <c r="H710" s="1341"/>
      <c r="I710" s="1338"/>
      <c r="J710" s="1339"/>
      <c r="K710" s="1340"/>
      <c r="L710" s="1341"/>
      <c r="M710" s="1338"/>
      <c r="N710" s="1339"/>
      <c r="O710" s="1340"/>
      <c r="P710" s="1341"/>
      <c r="X710" s="1343" t="e">
        <f ca="1"/>
        <v>#NAME?</v>
      </c>
      <c r="Y710" s="1344" t="e">
        <f ca="1"/>
        <v>#NAME?</v>
      </c>
    </row>
    <row r="711" spans="1:26" x14ac:dyDescent="0.2">
      <c r="A711" s="1338"/>
      <c r="B711" s="1339"/>
      <c r="C711" s="1340"/>
      <c r="D711" s="1341"/>
      <c r="E711" s="1338"/>
      <c r="F711" s="1339"/>
      <c r="G711" s="1340"/>
      <c r="H711" s="1341"/>
      <c r="I711" s="1338"/>
      <c r="J711" s="1339"/>
      <c r="K711" s="1340"/>
      <c r="L711" s="1341"/>
      <c r="M711" s="1338"/>
      <c r="N711" s="1339"/>
      <c r="O711" s="1340"/>
      <c r="P711" s="1341"/>
      <c r="X711" s="1343" t="e">
        <f ca="1"/>
        <v>#NAME?</v>
      </c>
      <c r="Y711" s="1344" t="e">
        <f ca="1"/>
        <v>#NAME?</v>
      </c>
    </row>
    <row r="712" spans="1:26" x14ac:dyDescent="0.2">
      <c r="A712" s="1338"/>
      <c r="B712" s="1339"/>
      <c r="C712" s="1340"/>
      <c r="D712" s="1341"/>
      <c r="E712" s="1338"/>
      <c r="F712" s="1339"/>
      <c r="G712" s="1340"/>
      <c r="H712" s="1341"/>
      <c r="I712" s="1338"/>
      <c r="J712" s="1339"/>
      <c r="K712" s="1340"/>
      <c r="L712" s="1341"/>
      <c r="M712" s="1338"/>
      <c r="N712" s="1339"/>
      <c r="O712" s="1340"/>
      <c r="P712" s="1341"/>
      <c r="X712" s="1343" t="e">
        <f ca="1"/>
        <v>#NAME?</v>
      </c>
      <c r="Y712" s="1344" t="e">
        <f ca="1"/>
        <v>#NAME?</v>
      </c>
    </row>
    <row r="713" spans="1:26" x14ac:dyDescent="0.2">
      <c r="A713" s="1338"/>
      <c r="B713" s="1339"/>
      <c r="C713" s="1340"/>
      <c r="D713" s="1341"/>
      <c r="E713" s="1338"/>
      <c r="F713" s="1339"/>
      <c r="G713" s="1340"/>
      <c r="H713" s="1341"/>
      <c r="I713" s="1338"/>
      <c r="J713" s="1339"/>
      <c r="K713" s="1340"/>
      <c r="L713" s="1341"/>
      <c r="M713" s="1338"/>
      <c r="N713" s="1339"/>
      <c r="O713" s="1340"/>
      <c r="P713" s="1341"/>
      <c r="X713" s="1343" t="e">
        <f ca="1"/>
        <v>#NAME?</v>
      </c>
      <c r="Y713" s="1344" t="e">
        <f ca="1"/>
        <v>#NAME?</v>
      </c>
    </row>
    <row r="714" spans="1:26" x14ac:dyDescent="0.2">
      <c r="A714" s="1338"/>
      <c r="B714" s="1339"/>
      <c r="C714" s="1340"/>
      <c r="D714" s="1341"/>
      <c r="E714" s="1338"/>
      <c r="F714" s="1339"/>
      <c r="G714" s="1340"/>
      <c r="H714" s="1341"/>
      <c r="I714" s="1338"/>
      <c r="J714" s="1339"/>
      <c r="K714" s="1340"/>
      <c r="L714" s="1341"/>
      <c r="M714" s="1338"/>
      <c r="N714" s="1339"/>
      <c r="O714" s="1340"/>
      <c r="P714" s="1341"/>
      <c r="X714" s="1343" t="e">
        <f ca="1"/>
        <v>#NAME?</v>
      </c>
      <c r="Y714" s="1344" t="e">
        <f ca="1"/>
        <v>#NAME?</v>
      </c>
    </row>
    <row r="715" spans="1:26" x14ac:dyDescent="0.2">
      <c r="A715" s="1338"/>
      <c r="B715" s="1339"/>
      <c r="C715" s="1340"/>
      <c r="D715" s="1341"/>
      <c r="E715" s="1338"/>
      <c r="F715" s="1339"/>
      <c r="G715" s="1340"/>
      <c r="H715" s="1341"/>
      <c r="I715" s="1338"/>
      <c r="J715" s="1339"/>
      <c r="K715" s="1340"/>
      <c r="L715" s="1341"/>
      <c r="M715" s="1338"/>
      <c r="N715" s="1339"/>
      <c r="O715" s="1340"/>
      <c r="P715" s="1341"/>
      <c r="X715" s="1343" t="e">
        <f ca="1"/>
        <v>#NAME?</v>
      </c>
      <c r="Y715" s="1344" t="e">
        <f ca="1"/>
        <v>#NAME?</v>
      </c>
    </row>
    <row r="716" spans="1:26" x14ac:dyDescent="0.2">
      <c r="A716" s="1338"/>
      <c r="B716" s="1339"/>
      <c r="C716" s="1340"/>
      <c r="D716" s="1341"/>
      <c r="E716" s="1338"/>
      <c r="F716" s="1339"/>
      <c r="G716" s="1340"/>
      <c r="H716" s="1341"/>
      <c r="I716" s="1338"/>
      <c r="J716" s="1339"/>
      <c r="K716" s="1340"/>
      <c r="L716" s="1341"/>
      <c r="M716" s="1338"/>
      <c r="N716" s="1339"/>
      <c r="O716" s="1340"/>
      <c r="P716" s="1341"/>
      <c r="X716" s="1343" t="e">
        <f ca="1"/>
        <v>#NAME?</v>
      </c>
      <c r="Y716" s="1344" t="e">
        <f ca="1"/>
        <v>#NAME?</v>
      </c>
    </row>
    <row r="717" spans="1:26" x14ac:dyDescent="0.2">
      <c r="A717" s="1338"/>
      <c r="B717" s="1339"/>
      <c r="C717" s="1340"/>
      <c r="D717" s="1341"/>
      <c r="E717" s="1338"/>
      <c r="F717" s="1339"/>
      <c r="G717" s="1340"/>
      <c r="H717" s="1341"/>
      <c r="I717" s="1338"/>
      <c r="J717" s="1339"/>
      <c r="K717" s="1340"/>
      <c r="L717" s="1341"/>
      <c r="M717" s="1338"/>
      <c r="N717" s="1339"/>
      <c r="O717" s="1340"/>
      <c r="P717" s="1341"/>
      <c r="X717" s="1343" t="e">
        <f ca="1"/>
        <v>#NAME?</v>
      </c>
      <c r="Y717" s="1344" t="e">
        <f ca="1"/>
        <v>#NAME?</v>
      </c>
    </row>
    <row r="718" spans="1:26" x14ac:dyDescent="0.2">
      <c r="A718" s="1338"/>
      <c r="B718" s="1339"/>
      <c r="C718" s="1340"/>
      <c r="D718" s="1341"/>
      <c r="E718" s="1338"/>
      <c r="F718" s="1339"/>
      <c r="G718" s="1340"/>
      <c r="H718" s="1341"/>
      <c r="I718" s="1338"/>
      <c r="J718" s="1339"/>
      <c r="K718" s="1340"/>
      <c r="L718" s="1341"/>
      <c r="M718" s="1338"/>
      <c r="N718" s="1339"/>
      <c r="O718" s="1340"/>
      <c r="P718" s="1341"/>
      <c r="X718" s="1343" t="e">
        <f ca="1"/>
        <v>#NAME?</v>
      </c>
      <c r="Y718" s="1344" t="e">
        <f ca="1"/>
        <v>#NAME?</v>
      </c>
    </row>
    <row r="719" spans="1:26" x14ac:dyDescent="0.2">
      <c r="A719" s="1338"/>
      <c r="B719" s="1339"/>
      <c r="C719" s="1340"/>
      <c r="D719" s="1341"/>
      <c r="E719" s="1338"/>
      <c r="F719" s="1339"/>
      <c r="G719" s="1340"/>
      <c r="H719" s="1341"/>
      <c r="I719" s="1338"/>
      <c r="J719" s="1339"/>
      <c r="K719" s="1340"/>
      <c r="L719" s="1341"/>
      <c r="M719" s="1338"/>
      <c r="N719" s="1339"/>
      <c r="O719" s="1340"/>
      <c r="P719" s="1341"/>
      <c r="X719" s="1343" t="e">
        <f ca="1"/>
        <v>#NAME?</v>
      </c>
      <c r="Y719" s="1344" t="e">
        <f ca="1"/>
        <v>#NAME?</v>
      </c>
    </row>
    <row r="720" spans="1:26" x14ac:dyDescent="0.2">
      <c r="A720" s="1338"/>
      <c r="B720" s="1339"/>
      <c r="C720" s="1340"/>
      <c r="D720" s="1341"/>
      <c r="E720" s="1338"/>
      <c r="F720" s="1339"/>
      <c r="G720" s="1340"/>
      <c r="H720" s="1341"/>
      <c r="I720" s="1338"/>
      <c r="J720" s="1339"/>
      <c r="K720" s="1340"/>
      <c r="L720" s="1341"/>
      <c r="M720" s="1338"/>
      <c r="N720" s="1339"/>
      <c r="O720" s="1340"/>
      <c r="P720" s="1341"/>
      <c r="X720" s="1343" t="e">
        <f ca="1"/>
        <v>#NAME?</v>
      </c>
      <c r="Y720" s="1344" t="e">
        <f ca="1"/>
        <v>#NAME?</v>
      </c>
    </row>
    <row r="721" spans="1:25" x14ac:dyDescent="0.2">
      <c r="A721" s="1338"/>
      <c r="B721" s="1339"/>
      <c r="C721" s="1340"/>
      <c r="D721" s="1341"/>
      <c r="E721" s="1338"/>
      <c r="F721" s="1339"/>
      <c r="G721" s="1340"/>
      <c r="H721" s="1341"/>
      <c r="I721" s="1338"/>
      <c r="J721" s="1339"/>
      <c r="K721" s="1340"/>
      <c r="L721" s="1341"/>
      <c r="M721" s="1338"/>
      <c r="N721" s="1339"/>
      <c r="O721" s="1340"/>
      <c r="P721" s="1341"/>
      <c r="X721" s="1343" t="e">
        <f ca="1"/>
        <v>#NAME?</v>
      </c>
      <c r="Y721" s="1344" t="e">
        <f ca="1"/>
        <v>#NAME?</v>
      </c>
    </row>
    <row r="722" spans="1:25" x14ac:dyDescent="0.2">
      <c r="A722" s="1338"/>
      <c r="B722" s="1339"/>
      <c r="C722" s="1340"/>
      <c r="D722" s="1341"/>
      <c r="E722" s="1338"/>
      <c r="F722" s="1339"/>
      <c r="G722" s="1340"/>
      <c r="H722" s="1341"/>
      <c r="I722" s="1338"/>
      <c r="J722" s="1339"/>
      <c r="K722" s="1340"/>
      <c r="L722" s="1341"/>
      <c r="M722" s="1338"/>
      <c r="N722" s="1339"/>
      <c r="O722" s="1340"/>
      <c r="P722" s="1341"/>
      <c r="X722" s="1343" t="e">
        <f ca="1"/>
        <v>#NAME?</v>
      </c>
      <c r="Y722" s="1344" t="e">
        <f ca="1"/>
        <v>#NAME?</v>
      </c>
    </row>
    <row r="723" spans="1:25" x14ac:dyDescent="0.2">
      <c r="A723" s="1338"/>
      <c r="B723" s="1339"/>
      <c r="C723" s="1340"/>
      <c r="D723" s="1341"/>
      <c r="E723" s="1338"/>
      <c r="F723" s="1339"/>
      <c r="G723" s="1340"/>
      <c r="H723" s="1341"/>
      <c r="I723" s="1338"/>
      <c r="J723" s="1339"/>
      <c r="K723" s="1340"/>
      <c r="L723" s="1341"/>
      <c r="M723" s="1338"/>
      <c r="N723" s="1339"/>
      <c r="O723" s="1340"/>
      <c r="P723" s="1341"/>
      <c r="X723" s="1343" t="e">
        <f ca="1"/>
        <v>#NAME?</v>
      </c>
      <c r="Y723" s="1344" t="e">
        <f ca="1"/>
        <v>#NAME?</v>
      </c>
    </row>
    <row r="724" spans="1:25" x14ac:dyDescent="0.2">
      <c r="A724" s="1338"/>
      <c r="B724" s="1339"/>
      <c r="C724" s="1340"/>
      <c r="D724" s="1341"/>
      <c r="E724" s="1338"/>
      <c r="F724" s="1339"/>
      <c r="G724" s="1340"/>
      <c r="H724" s="1341"/>
      <c r="I724" s="1338"/>
      <c r="J724" s="1339"/>
      <c r="K724" s="1340"/>
      <c r="L724" s="1341"/>
      <c r="M724" s="1338"/>
      <c r="N724" s="1339"/>
      <c r="O724" s="1340"/>
      <c r="P724" s="1341"/>
      <c r="X724" s="1343" t="e">
        <f ca="1"/>
        <v>#NAME?</v>
      </c>
      <c r="Y724" s="1344" t="e">
        <f ca="1"/>
        <v>#NAME?</v>
      </c>
    </row>
    <row r="725" spans="1:25" x14ac:dyDescent="0.2">
      <c r="A725" s="1338"/>
      <c r="B725" s="1339"/>
      <c r="C725" s="1340"/>
      <c r="D725" s="1341"/>
      <c r="E725" s="1338"/>
      <c r="F725" s="1339"/>
      <c r="G725" s="1340"/>
      <c r="H725" s="1341"/>
      <c r="I725" s="1338"/>
      <c r="J725" s="1339"/>
      <c r="K725" s="1340"/>
      <c r="L725" s="1341"/>
      <c r="M725" s="1338"/>
      <c r="N725" s="1339"/>
      <c r="O725" s="1340"/>
      <c r="P725" s="1341"/>
      <c r="X725" s="1343" t="e">
        <f ca="1"/>
        <v>#NAME?</v>
      </c>
      <c r="Y725" s="1344" t="e">
        <f ca="1"/>
        <v>#NAME?</v>
      </c>
    </row>
    <row r="726" spans="1:25" x14ac:dyDescent="0.2">
      <c r="A726" s="1338"/>
      <c r="B726" s="1339"/>
      <c r="C726" s="1340"/>
      <c r="D726" s="1341"/>
      <c r="E726" s="1338"/>
      <c r="F726" s="1339"/>
      <c r="G726" s="1340"/>
      <c r="H726" s="1341"/>
      <c r="I726" s="1338"/>
      <c r="J726" s="1339"/>
      <c r="K726" s="1340"/>
      <c r="L726" s="1341"/>
      <c r="M726" s="1338"/>
      <c r="N726" s="1339"/>
      <c r="O726" s="1340"/>
      <c r="P726" s="1341"/>
      <c r="X726" s="1343" t="e">
        <f ca="1"/>
        <v>#NAME?</v>
      </c>
      <c r="Y726" s="1344" t="e">
        <f ca="1"/>
        <v>#NAME?</v>
      </c>
    </row>
    <row r="727" spans="1:25" x14ac:dyDescent="0.2">
      <c r="A727" s="1338"/>
      <c r="B727" s="1339"/>
      <c r="C727" s="1340"/>
      <c r="D727" s="1341"/>
      <c r="E727" s="1338"/>
      <c r="F727" s="1339"/>
      <c r="G727" s="1340"/>
      <c r="H727" s="1341"/>
      <c r="I727" s="1338"/>
      <c r="J727" s="1339"/>
      <c r="K727" s="1340"/>
      <c r="L727" s="1341"/>
      <c r="M727" s="1338"/>
      <c r="N727" s="1339"/>
      <c r="O727" s="1340"/>
      <c r="P727" s="1341"/>
      <c r="X727" s="1343" t="e">
        <f ca="1"/>
        <v>#NAME?</v>
      </c>
      <c r="Y727" s="1344" t="e">
        <f ca="1"/>
        <v>#NAME?</v>
      </c>
    </row>
    <row r="728" spans="1:25" x14ac:dyDescent="0.2">
      <c r="A728" s="1338"/>
      <c r="B728" s="1339"/>
      <c r="C728" s="1340"/>
      <c r="D728" s="1341"/>
      <c r="E728" s="1338"/>
      <c r="F728" s="1339"/>
      <c r="G728" s="1340"/>
      <c r="H728" s="1341"/>
      <c r="I728" s="1338"/>
      <c r="J728" s="1339"/>
      <c r="K728" s="1340"/>
      <c r="L728" s="1341"/>
      <c r="M728" s="1338"/>
      <c r="N728" s="1339"/>
      <c r="O728" s="1340"/>
      <c r="P728" s="1341"/>
      <c r="X728" s="1343" t="e">
        <f ca="1"/>
        <v>#NAME?</v>
      </c>
      <c r="Y728" s="1344" t="e">
        <f ca="1"/>
        <v>#NAME?</v>
      </c>
    </row>
    <row r="729" spans="1:25" x14ac:dyDescent="0.2">
      <c r="A729" s="1338"/>
      <c r="B729" s="1339"/>
      <c r="C729" s="1340"/>
      <c r="D729" s="1341"/>
      <c r="E729" s="1338"/>
      <c r="F729" s="1339"/>
      <c r="G729" s="1340"/>
      <c r="H729" s="1341"/>
      <c r="I729" s="1338"/>
      <c r="J729" s="1339"/>
      <c r="K729" s="1340"/>
      <c r="L729" s="1341"/>
      <c r="M729" s="1338"/>
      <c r="N729" s="1339"/>
      <c r="O729" s="1340"/>
      <c r="P729" s="1341"/>
      <c r="X729" s="1343" t="e">
        <f ca="1"/>
        <v>#NAME?</v>
      </c>
      <c r="Y729" s="1344" t="e">
        <f ca="1"/>
        <v>#NAME?</v>
      </c>
    </row>
    <row r="730" spans="1:25" x14ac:dyDescent="0.2">
      <c r="A730" s="1338"/>
      <c r="B730" s="1339"/>
      <c r="C730" s="1340"/>
      <c r="D730" s="1341"/>
      <c r="E730" s="1338"/>
      <c r="F730" s="1339"/>
      <c r="G730" s="1340"/>
      <c r="H730" s="1341"/>
      <c r="I730" s="1338"/>
      <c r="J730" s="1339"/>
      <c r="K730" s="1340"/>
      <c r="L730" s="1341"/>
      <c r="M730" s="1338"/>
      <c r="N730" s="1339"/>
      <c r="O730" s="1340"/>
      <c r="P730" s="1341"/>
      <c r="X730" s="1343" t="e">
        <f ca="1"/>
        <v>#NAME?</v>
      </c>
      <c r="Y730" s="1344" t="e">
        <f ca="1"/>
        <v>#NAME?</v>
      </c>
    </row>
    <row r="731" spans="1:25" x14ac:dyDescent="0.2">
      <c r="A731" s="1338"/>
      <c r="B731" s="1339"/>
      <c r="C731" s="1340"/>
      <c r="D731" s="1341"/>
      <c r="E731" s="1338"/>
      <c r="F731" s="1339"/>
      <c r="G731" s="1340"/>
      <c r="H731" s="1341"/>
      <c r="I731" s="1338"/>
      <c r="J731" s="1339"/>
      <c r="K731" s="1340"/>
      <c r="L731" s="1341"/>
      <c r="M731" s="1338"/>
      <c r="N731" s="1339"/>
      <c r="O731" s="1340"/>
      <c r="P731" s="1341"/>
      <c r="X731" s="1343" t="e">
        <f ca="1"/>
        <v>#NAME?</v>
      </c>
      <c r="Y731" s="1344" t="e">
        <f ca="1"/>
        <v>#NAME?</v>
      </c>
    </row>
    <row r="732" spans="1:25" x14ac:dyDescent="0.2">
      <c r="A732" s="1338"/>
      <c r="B732" s="1339"/>
      <c r="C732" s="1340"/>
      <c r="D732" s="1341"/>
      <c r="E732" s="1338"/>
      <c r="F732" s="1339"/>
      <c r="G732" s="1340"/>
      <c r="H732" s="1341"/>
      <c r="I732" s="1338"/>
      <c r="J732" s="1339"/>
      <c r="K732" s="1340"/>
      <c r="L732" s="1341"/>
      <c r="M732" s="1338"/>
      <c r="N732" s="1339"/>
      <c r="O732" s="1340"/>
      <c r="P732" s="1341"/>
      <c r="X732" s="1343" t="e">
        <f ca="1"/>
        <v>#NAME?</v>
      </c>
      <c r="Y732" s="1344" t="e">
        <f ca="1"/>
        <v>#NAME?</v>
      </c>
    </row>
    <row r="733" spans="1:25" x14ac:dyDescent="0.2">
      <c r="A733" s="1338"/>
      <c r="B733" s="1339"/>
      <c r="C733" s="1340"/>
      <c r="D733" s="1341"/>
      <c r="E733" s="1338"/>
      <c r="F733" s="1339"/>
      <c r="G733" s="1340"/>
      <c r="H733" s="1341"/>
      <c r="I733" s="1338"/>
      <c r="J733" s="1339"/>
      <c r="K733" s="1340"/>
      <c r="L733" s="1341"/>
      <c r="M733" s="1338"/>
      <c r="N733" s="1339"/>
      <c r="O733" s="1340"/>
      <c r="P733" s="1341"/>
      <c r="X733" s="1343" t="e">
        <f ca="1"/>
        <v>#NAME?</v>
      </c>
      <c r="Y733" s="1344" t="e">
        <f ca="1"/>
        <v>#NAME?</v>
      </c>
    </row>
    <row r="734" spans="1:25" x14ac:dyDescent="0.2">
      <c r="A734" s="1338"/>
      <c r="B734" s="1339"/>
      <c r="C734" s="1340"/>
      <c r="D734" s="1341"/>
      <c r="E734" s="1338"/>
      <c r="F734" s="1339"/>
      <c r="G734" s="1340"/>
      <c r="H734" s="1341"/>
      <c r="I734" s="1338"/>
      <c r="J734" s="1339"/>
      <c r="K734" s="1340"/>
      <c r="L734" s="1341"/>
      <c r="M734" s="1338"/>
      <c r="N734" s="1339"/>
      <c r="O734" s="1340"/>
      <c r="P734" s="1341"/>
      <c r="X734" s="1343" t="e">
        <f ca="1"/>
        <v>#NAME?</v>
      </c>
      <c r="Y734" s="1344" t="e">
        <f ca="1"/>
        <v>#NAME?</v>
      </c>
    </row>
    <row r="735" spans="1:25" x14ac:dyDescent="0.2">
      <c r="A735" s="1338"/>
      <c r="B735" s="1339"/>
      <c r="C735" s="1340"/>
      <c r="D735" s="1341"/>
      <c r="E735" s="1338"/>
      <c r="F735" s="1339"/>
      <c r="G735" s="1340"/>
      <c r="H735" s="1341"/>
      <c r="I735" s="1338"/>
      <c r="J735" s="1339"/>
      <c r="K735" s="1340"/>
      <c r="L735" s="1341"/>
      <c r="M735" s="1338"/>
      <c r="N735" s="1339"/>
      <c r="O735" s="1340"/>
      <c r="P735" s="1341"/>
      <c r="X735" s="1343" t="e">
        <f ca="1"/>
        <v>#NAME?</v>
      </c>
      <c r="Y735" s="1344" t="e">
        <f ca="1"/>
        <v>#NAME?</v>
      </c>
    </row>
    <row r="736" spans="1:25" x14ac:dyDescent="0.2">
      <c r="A736" s="1338"/>
      <c r="B736" s="1339"/>
      <c r="C736" s="1340"/>
      <c r="D736" s="1341"/>
      <c r="E736" s="1338"/>
      <c r="F736" s="1339"/>
      <c r="G736" s="1340"/>
      <c r="H736" s="1341"/>
      <c r="I736" s="1338"/>
      <c r="J736" s="1339"/>
      <c r="K736" s="1340"/>
      <c r="L736" s="1341"/>
      <c r="M736" s="1338"/>
      <c r="N736" s="1339"/>
      <c r="O736" s="1340"/>
      <c r="P736" s="1341"/>
      <c r="X736" s="1343" t="e">
        <f ca="1"/>
        <v>#NAME?</v>
      </c>
      <c r="Y736" s="1344" t="e">
        <f ca="1"/>
        <v>#NAME?</v>
      </c>
    </row>
    <row r="737" spans="1:25" x14ac:dyDescent="0.2">
      <c r="A737" s="1338"/>
      <c r="B737" s="1339"/>
      <c r="C737" s="1340"/>
      <c r="D737" s="1341"/>
      <c r="E737" s="1338"/>
      <c r="F737" s="1339"/>
      <c r="G737" s="1340"/>
      <c r="H737" s="1341"/>
      <c r="I737" s="1338"/>
      <c r="J737" s="1339"/>
      <c r="K737" s="1340"/>
      <c r="L737" s="1341"/>
      <c r="M737" s="1338"/>
      <c r="N737" s="1339"/>
      <c r="O737" s="1340"/>
      <c r="P737" s="1341"/>
      <c r="X737" s="1343" t="e">
        <f ca="1"/>
        <v>#NAME?</v>
      </c>
      <c r="Y737" s="1344" t="e">
        <f ca="1"/>
        <v>#NAME?</v>
      </c>
    </row>
    <row r="738" spans="1:25" x14ac:dyDescent="0.2">
      <c r="A738" s="1338"/>
      <c r="B738" s="1339"/>
      <c r="C738" s="1340"/>
      <c r="D738" s="1341"/>
      <c r="E738" s="1338"/>
      <c r="F738" s="1339"/>
      <c r="G738" s="1340"/>
      <c r="H738" s="1341"/>
      <c r="I738" s="1338"/>
      <c r="J738" s="1339"/>
      <c r="K738" s="1340"/>
      <c r="L738" s="1341"/>
      <c r="M738" s="1338"/>
      <c r="N738" s="1339"/>
      <c r="O738" s="1340"/>
      <c r="P738" s="1341"/>
      <c r="X738" s="1343" t="e">
        <f ca="1"/>
        <v>#NAME?</v>
      </c>
      <c r="Y738" s="1344" t="e">
        <f ca="1"/>
        <v>#NAME?</v>
      </c>
    </row>
    <row r="739" spans="1:25" x14ac:dyDescent="0.2">
      <c r="A739" s="1338"/>
      <c r="B739" s="1339"/>
      <c r="C739" s="1340"/>
      <c r="D739" s="1341"/>
      <c r="E739" s="1338"/>
      <c r="F739" s="1339"/>
      <c r="G739" s="1340"/>
      <c r="H739" s="1341"/>
      <c r="I739" s="1338"/>
      <c r="J739" s="1339"/>
      <c r="K739" s="1340"/>
      <c r="L739" s="1341"/>
      <c r="M739" s="1338"/>
      <c r="N739" s="1339"/>
      <c r="O739" s="1340"/>
      <c r="P739" s="1341"/>
      <c r="X739" s="1343" t="e">
        <f ca="1"/>
        <v>#NAME?</v>
      </c>
      <c r="Y739" s="1344" t="e">
        <f ca="1"/>
        <v>#NAME?</v>
      </c>
    </row>
    <row r="740" spans="1:25" x14ac:dyDescent="0.2">
      <c r="A740" s="1338"/>
      <c r="B740" s="1339"/>
      <c r="C740" s="1340"/>
      <c r="D740" s="1341"/>
      <c r="E740" s="1338"/>
      <c r="F740" s="1339"/>
      <c r="G740" s="1340"/>
      <c r="H740" s="1341"/>
      <c r="I740" s="1338"/>
      <c r="J740" s="1339"/>
      <c r="K740" s="1340"/>
      <c r="L740" s="1341"/>
      <c r="M740" s="1338"/>
      <c r="N740" s="1339"/>
      <c r="O740" s="1340"/>
      <c r="P740" s="1341"/>
      <c r="X740" s="1343" t="e">
        <f ca="1"/>
        <v>#NAME?</v>
      </c>
      <c r="Y740" s="1344" t="e">
        <f ca="1"/>
        <v>#NAME?</v>
      </c>
    </row>
    <row r="741" spans="1:25" x14ac:dyDescent="0.2">
      <c r="A741" s="1338"/>
      <c r="B741" s="1339"/>
      <c r="C741" s="1340"/>
      <c r="D741" s="1341"/>
      <c r="E741" s="1338"/>
      <c r="F741" s="1339"/>
      <c r="G741" s="1340"/>
      <c r="H741" s="1341"/>
      <c r="I741" s="1338"/>
      <c r="J741" s="1339"/>
      <c r="K741" s="1340"/>
      <c r="L741" s="1341"/>
      <c r="M741" s="1338"/>
      <c r="N741" s="1339"/>
      <c r="O741" s="1340"/>
      <c r="P741" s="1341"/>
      <c r="X741" s="1343" t="e">
        <f ca="1"/>
        <v>#NAME?</v>
      </c>
      <c r="Y741" s="1344" t="e">
        <f ca="1"/>
        <v>#NAME?</v>
      </c>
    </row>
    <row r="742" spans="1:25" x14ac:dyDescent="0.2">
      <c r="A742" s="1338"/>
      <c r="B742" s="1339"/>
      <c r="C742" s="1340"/>
      <c r="D742" s="1341"/>
      <c r="E742" s="1338"/>
      <c r="F742" s="1339"/>
      <c r="G742" s="1340"/>
      <c r="H742" s="1341"/>
      <c r="I742" s="1338"/>
      <c r="J742" s="1339"/>
      <c r="K742" s="1340"/>
      <c r="L742" s="1341"/>
      <c r="M742" s="1338"/>
      <c r="N742" s="1339"/>
      <c r="O742" s="1340"/>
      <c r="P742" s="1341"/>
      <c r="X742" s="1343" t="e">
        <f ca="1"/>
        <v>#NAME?</v>
      </c>
      <c r="Y742" s="1344" t="e">
        <f ca="1"/>
        <v>#NAME?</v>
      </c>
    </row>
    <row r="743" spans="1:25" x14ac:dyDescent="0.2">
      <c r="A743" s="1338"/>
      <c r="B743" s="1339"/>
      <c r="C743" s="1340"/>
      <c r="D743" s="1341"/>
      <c r="E743" s="1338"/>
      <c r="F743" s="1339"/>
      <c r="G743" s="1340"/>
      <c r="H743" s="1341"/>
      <c r="I743" s="1338"/>
      <c r="J743" s="1339"/>
      <c r="K743" s="1340"/>
      <c r="L743" s="1341"/>
      <c r="M743" s="1338"/>
      <c r="N743" s="1339"/>
      <c r="O743" s="1340"/>
      <c r="P743" s="1341"/>
      <c r="X743" s="1343" t="e">
        <f ca="1"/>
        <v>#NAME?</v>
      </c>
      <c r="Y743" s="1344" t="e">
        <f ca="1"/>
        <v>#NAME?</v>
      </c>
    </row>
    <row r="744" spans="1:25" x14ac:dyDescent="0.2">
      <c r="A744" s="1338"/>
      <c r="B744" s="1339"/>
      <c r="C744" s="1340"/>
      <c r="D744" s="1341"/>
      <c r="E744" s="1338"/>
      <c r="F744" s="1339"/>
      <c r="G744" s="1340"/>
      <c r="H744" s="1341"/>
      <c r="I744" s="1338"/>
      <c r="J744" s="1339"/>
      <c r="K744" s="1340"/>
      <c r="L744" s="1341"/>
      <c r="M744" s="1338"/>
      <c r="N744" s="1339"/>
      <c r="O744" s="1340"/>
      <c r="P744" s="1341"/>
      <c r="X744" s="1343" t="e">
        <f ca="1"/>
        <v>#NAME?</v>
      </c>
      <c r="Y744" s="1344" t="e">
        <f ca="1"/>
        <v>#NAME?</v>
      </c>
    </row>
    <row r="745" spans="1:25" x14ac:dyDescent="0.2">
      <c r="A745" s="1338"/>
      <c r="B745" s="1339"/>
      <c r="C745" s="1340"/>
      <c r="D745" s="1341"/>
      <c r="E745" s="1338"/>
      <c r="F745" s="1339"/>
      <c r="G745" s="1340"/>
      <c r="H745" s="1341"/>
      <c r="I745" s="1338"/>
      <c r="J745" s="1339"/>
      <c r="K745" s="1340"/>
      <c r="L745" s="1341"/>
      <c r="M745" s="1338"/>
      <c r="N745" s="1339"/>
      <c r="O745" s="1340"/>
      <c r="P745" s="1341"/>
      <c r="X745" s="1343" t="e">
        <f ca="1"/>
        <v>#NAME?</v>
      </c>
      <c r="Y745" s="1344" t="e">
        <f ca="1"/>
        <v>#NAME?</v>
      </c>
    </row>
    <row r="746" spans="1:25" x14ac:dyDescent="0.2">
      <c r="A746" s="1338"/>
      <c r="B746" s="1339"/>
      <c r="C746" s="1340"/>
      <c r="D746" s="1341"/>
      <c r="E746" s="1338"/>
      <c r="F746" s="1339"/>
      <c r="G746" s="1340"/>
      <c r="H746" s="1341"/>
      <c r="I746" s="1338"/>
      <c r="J746" s="1339"/>
      <c r="K746" s="1340"/>
      <c r="L746" s="1341"/>
      <c r="M746" s="1338"/>
      <c r="N746" s="1339"/>
      <c r="O746" s="1340"/>
      <c r="P746" s="1341"/>
      <c r="X746" s="1343" t="e">
        <f ca="1"/>
        <v>#NAME?</v>
      </c>
      <c r="Y746" s="1344" t="e">
        <f ca="1"/>
        <v>#NAME?</v>
      </c>
    </row>
    <row r="747" spans="1:25" x14ac:dyDescent="0.2">
      <c r="A747" s="1338"/>
      <c r="B747" s="1339"/>
      <c r="C747" s="1340"/>
      <c r="D747" s="1341"/>
      <c r="E747" s="1338"/>
      <c r="F747" s="1339"/>
      <c r="G747" s="1340"/>
      <c r="H747" s="1341"/>
      <c r="I747" s="1338"/>
      <c r="J747" s="1339"/>
      <c r="K747" s="1340"/>
      <c r="L747" s="1341"/>
      <c r="M747" s="1338"/>
      <c r="N747" s="1339"/>
      <c r="O747" s="1340"/>
      <c r="P747" s="1341"/>
      <c r="X747" s="1343" t="e">
        <f ca="1"/>
        <v>#NAME?</v>
      </c>
      <c r="Y747" s="1344" t="e">
        <f ca="1"/>
        <v>#NAME?</v>
      </c>
    </row>
    <row r="748" spans="1:25" x14ac:dyDescent="0.2">
      <c r="A748" s="1338"/>
      <c r="B748" s="1339"/>
      <c r="C748" s="1340"/>
      <c r="D748" s="1341"/>
      <c r="E748" s="1338"/>
      <c r="F748" s="1339"/>
      <c r="G748" s="1340"/>
      <c r="H748" s="1341"/>
      <c r="I748" s="1338"/>
      <c r="J748" s="1339"/>
      <c r="K748" s="1340"/>
      <c r="L748" s="1341"/>
      <c r="M748" s="1338"/>
      <c r="N748" s="1339"/>
      <c r="O748" s="1340"/>
      <c r="P748" s="1341"/>
      <c r="X748" s="1343" t="e">
        <f ca="1"/>
        <v>#NAME?</v>
      </c>
      <c r="Y748" s="1344" t="e">
        <f ca="1"/>
        <v>#NAME?</v>
      </c>
    </row>
    <row r="749" spans="1:25" x14ac:dyDescent="0.2">
      <c r="A749" s="1338"/>
      <c r="B749" s="1339"/>
      <c r="C749" s="1340"/>
      <c r="D749" s="1341"/>
      <c r="E749" s="1338"/>
      <c r="F749" s="1339"/>
      <c r="G749" s="1340"/>
      <c r="H749" s="1341"/>
      <c r="I749" s="1338"/>
      <c r="J749" s="1339"/>
      <c r="K749" s="1340"/>
      <c r="L749" s="1341"/>
      <c r="M749" s="1338"/>
      <c r="N749" s="1339"/>
      <c r="O749" s="1340"/>
      <c r="P749" s="1341"/>
      <c r="X749" s="1343" t="e">
        <f ca="1"/>
        <v>#NAME?</v>
      </c>
      <c r="Y749" s="1344" t="e">
        <f ca="1"/>
        <v>#NAME?</v>
      </c>
    </row>
    <row r="750" spans="1:25" x14ac:dyDescent="0.2">
      <c r="A750" s="1338"/>
      <c r="B750" s="1339"/>
      <c r="C750" s="1340"/>
      <c r="D750" s="1341"/>
      <c r="E750" s="1338"/>
      <c r="F750" s="1339"/>
      <c r="G750" s="1340"/>
      <c r="H750" s="1341"/>
      <c r="I750" s="1338"/>
      <c r="J750" s="1339"/>
      <c r="K750" s="1340"/>
      <c r="L750" s="1341"/>
      <c r="M750" s="1338"/>
      <c r="N750" s="1339"/>
      <c r="O750" s="1340"/>
      <c r="P750" s="1341"/>
      <c r="X750" s="1343" t="e">
        <f ca="1"/>
        <v>#NAME?</v>
      </c>
      <c r="Y750" s="1344" t="e">
        <f ca="1"/>
        <v>#NAME?</v>
      </c>
    </row>
    <row r="751" spans="1:25" x14ac:dyDescent="0.2">
      <c r="A751" s="1338"/>
      <c r="B751" s="1339"/>
      <c r="C751" s="1340"/>
      <c r="D751" s="1341"/>
      <c r="E751" s="1338"/>
      <c r="F751" s="1339"/>
      <c r="G751" s="1340"/>
      <c r="H751" s="1341"/>
      <c r="I751" s="1338"/>
      <c r="J751" s="1339"/>
      <c r="K751" s="1340"/>
      <c r="L751" s="1341"/>
      <c r="M751" s="1338"/>
      <c r="N751" s="1339"/>
      <c r="O751" s="1340"/>
      <c r="P751" s="1341"/>
      <c r="X751" s="1343" t="e">
        <f ca="1"/>
        <v>#NAME?</v>
      </c>
      <c r="Y751" s="1344" t="e">
        <f ca="1"/>
        <v>#NAME?</v>
      </c>
    </row>
    <row r="752" spans="1:25" x14ac:dyDescent="0.2">
      <c r="A752" s="1338"/>
      <c r="B752" s="1339"/>
      <c r="C752" s="1340"/>
      <c r="D752" s="1341"/>
      <c r="E752" s="1338"/>
      <c r="F752" s="1339"/>
      <c r="G752" s="1340"/>
      <c r="H752" s="1341"/>
      <c r="I752" s="1338"/>
      <c r="J752" s="1339"/>
      <c r="K752" s="1340"/>
      <c r="L752" s="1341"/>
      <c r="M752" s="1338"/>
      <c r="N752" s="1339"/>
      <c r="O752" s="1340"/>
      <c r="P752" s="1341"/>
      <c r="X752" s="1343" t="e">
        <f ca="1"/>
        <v>#NAME?</v>
      </c>
      <c r="Y752" s="1344" t="e">
        <f ca="1"/>
        <v>#NAME?</v>
      </c>
    </row>
    <row r="753" spans="1:25" x14ac:dyDescent="0.2">
      <c r="A753" s="1338"/>
      <c r="B753" s="1339"/>
      <c r="C753" s="1340"/>
      <c r="D753" s="1341"/>
      <c r="E753" s="1338"/>
      <c r="F753" s="1339"/>
      <c r="G753" s="1340"/>
      <c r="H753" s="1341"/>
      <c r="I753" s="1338"/>
      <c r="J753" s="1339"/>
      <c r="K753" s="1340"/>
      <c r="L753" s="1341"/>
      <c r="M753" s="1338"/>
      <c r="N753" s="1339"/>
      <c r="O753" s="1340"/>
      <c r="P753" s="1341"/>
      <c r="X753" s="1343" t="e">
        <f ca="1"/>
        <v>#NAME?</v>
      </c>
      <c r="Y753" s="1344" t="e">
        <f ca="1"/>
        <v>#NAME?</v>
      </c>
    </row>
    <row r="754" spans="1:25" x14ac:dyDescent="0.2">
      <c r="A754" s="1338"/>
      <c r="B754" s="1339"/>
      <c r="C754" s="1340"/>
      <c r="D754" s="1341"/>
      <c r="E754" s="1338"/>
      <c r="F754" s="1339"/>
      <c r="G754" s="1340"/>
      <c r="H754" s="1341"/>
      <c r="I754" s="1338"/>
      <c r="J754" s="1339"/>
      <c r="K754" s="1340"/>
      <c r="L754" s="1341"/>
      <c r="M754" s="1338"/>
      <c r="N754" s="1339"/>
      <c r="O754" s="1340"/>
      <c r="P754" s="1341"/>
      <c r="X754" s="1343" t="e">
        <f ca="1"/>
        <v>#NAME?</v>
      </c>
      <c r="Y754" s="1344" t="e">
        <f ca="1"/>
        <v>#NAME?</v>
      </c>
    </row>
    <row r="755" spans="1:25" x14ac:dyDescent="0.2">
      <c r="A755" s="1338"/>
      <c r="B755" s="1339"/>
      <c r="C755" s="1340"/>
      <c r="D755" s="1341"/>
      <c r="E755" s="1338"/>
      <c r="F755" s="1339"/>
      <c r="G755" s="1340"/>
      <c r="H755" s="1341"/>
      <c r="I755" s="1338"/>
      <c r="J755" s="1339"/>
      <c r="K755" s="1340"/>
      <c r="L755" s="1341"/>
      <c r="M755" s="1338"/>
      <c r="N755" s="1339"/>
      <c r="O755" s="1340"/>
      <c r="P755" s="1341"/>
      <c r="X755" s="1343" t="e">
        <f ca="1"/>
        <v>#NAME?</v>
      </c>
      <c r="Y755" s="1344" t="e">
        <f ca="1"/>
        <v>#NAME?</v>
      </c>
    </row>
    <row r="756" spans="1:25" x14ac:dyDescent="0.2">
      <c r="A756" s="1338"/>
      <c r="B756" s="1339"/>
      <c r="C756" s="1340"/>
      <c r="D756" s="1341"/>
      <c r="E756" s="1338"/>
      <c r="F756" s="1339"/>
      <c r="G756" s="1340"/>
      <c r="H756" s="1341"/>
      <c r="I756" s="1338"/>
      <c r="J756" s="1339"/>
      <c r="K756" s="1340"/>
      <c r="L756" s="1341"/>
      <c r="M756" s="1338"/>
      <c r="N756" s="1339"/>
      <c r="O756" s="1340"/>
      <c r="P756" s="1341"/>
      <c r="X756" s="1343" t="e">
        <f ca="1"/>
        <v>#NAME?</v>
      </c>
      <c r="Y756" s="1344" t="e">
        <f ca="1"/>
        <v>#NAME?</v>
      </c>
    </row>
    <row r="757" spans="1:25" x14ac:dyDescent="0.2">
      <c r="A757" s="1338"/>
      <c r="B757" s="1339"/>
      <c r="C757" s="1340"/>
      <c r="D757" s="1341"/>
      <c r="E757" s="1338"/>
      <c r="F757" s="1339"/>
      <c r="G757" s="1340"/>
      <c r="H757" s="1341"/>
      <c r="I757" s="1338"/>
      <c r="J757" s="1339"/>
      <c r="K757" s="1340"/>
      <c r="L757" s="1341"/>
      <c r="M757" s="1338"/>
      <c r="N757" s="1339"/>
      <c r="O757" s="1340"/>
      <c r="P757" s="1341"/>
      <c r="X757" s="1343" t="e">
        <f ca="1"/>
        <v>#NAME?</v>
      </c>
      <c r="Y757" s="1344" t="e">
        <f ca="1"/>
        <v>#NAME?</v>
      </c>
    </row>
    <row r="758" spans="1:25" x14ac:dyDescent="0.2">
      <c r="A758" s="1338"/>
      <c r="B758" s="1339"/>
      <c r="C758" s="1340"/>
      <c r="D758" s="1341"/>
      <c r="E758" s="1338"/>
      <c r="F758" s="1339"/>
      <c r="G758" s="1340"/>
      <c r="H758" s="1341"/>
      <c r="I758" s="1338"/>
      <c r="J758" s="1339"/>
      <c r="K758" s="1340"/>
      <c r="L758" s="1341"/>
      <c r="M758" s="1338"/>
      <c r="N758" s="1339"/>
      <c r="O758" s="1340"/>
      <c r="P758" s="1341"/>
      <c r="X758" s="1343" t="e">
        <f ca="1"/>
        <v>#NAME?</v>
      </c>
      <c r="Y758" s="1344" t="e">
        <f ca="1"/>
        <v>#NAME?</v>
      </c>
    </row>
    <row r="759" spans="1:25" x14ac:dyDescent="0.2">
      <c r="A759" s="1338"/>
      <c r="B759" s="1339"/>
      <c r="C759" s="1340"/>
      <c r="D759" s="1341"/>
      <c r="E759" s="1338"/>
      <c r="F759" s="1339"/>
      <c r="G759" s="1340"/>
      <c r="H759" s="1341"/>
      <c r="I759" s="1338"/>
      <c r="J759" s="1339"/>
      <c r="K759" s="1340"/>
      <c r="L759" s="1341"/>
      <c r="M759" s="1338"/>
      <c r="N759" s="1339"/>
      <c r="O759" s="1340"/>
      <c r="P759" s="1341"/>
      <c r="X759" s="1343" t="e">
        <f ca="1"/>
        <v>#NAME?</v>
      </c>
      <c r="Y759" s="1344" t="e">
        <f ca="1"/>
        <v>#NAME?</v>
      </c>
    </row>
    <row r="760" spans="1:25" x14ac:dyDescent="0.2">
      <c r="A760" s="1338"/>
      <c r="B760" s="1339"/>
      <c r="C760" s="1340"/>
      <c r="D760" s="1341"/>
      <c r="E760" s="1338"/>
      <c r="F760" s="1339"/>
      <c r="G760" s="1340"/>
      <c r="H760" s="1341"/>
      <c r="I760" s="1338"/>
      <c r="J760" s="1339"/>
      <c r="K760" s="1340"/>
      <c r="L760" s="1341"/>
      <c r="M760" s="1338"/>
      <c r="N760" s="1339"/>
      <c r="O760" s="1340"/>
      <c r="P760" s="1341"/>
      <c r="X760" s="1343" t="e">
        <f ca="1"/>
        <v>#NAME?</v>
      </c>
      <c r="Y760" s="1344" t="e">
        <f ca="1"/>
        <v>#NAME?</v>
      </c>
    </row>
    <row r="761" spans="1:25" x14ac:dyDescent="0.2">
      <c r="A761" s="1338"/>
      <c r="B761" s="1339"/>
      <c r="C761" s="1340"/>
      <c r="D761" s="1341"/>
      <c r="E761" s="1338"/>
      <c r="F761" s="1339"/>
      <c r="G761" s="1340"/>
      <c r="H761" s="1341"/>
      <c r="I761" s="1338"/>
      <c r="J761" s="1339"/>
      <c r="K761" s="1340"/>
      <c r="L761" s="1341"/>
      <c r="M761" s="1338"/>
      <c r="N761" s="1339"/>
      <c r="O761" s="1340"/>
      <c r="P761" s="1341"/>
      <c r="X761" s="1343" t="e">
        <f ca="1"/>
        <v>#NAME?</v>
      </c>
      <c r="Y761" s="1344" t="e">
        <f ca="1"/>
        <v>#NAME?</v>
      </c>
    </row>
    <row r="762" spans="1:25" x14ac:dyDescent="0.2">
      <c r="A762" s="1338"/>
      <c r="B762" s="1339"/>
      <c r="C762" s="1340"/>
      <c r="D762" s="1341"/>
      <c r="E762" s="1338"/>
      <c r="F762" s="1339"/>
      <c r="G762" s="1340"/>
      <c r="H762" s="1341"/>
      <c r="I762" s="1338"/>
      <c r="J762" s="1339"/>
      <c r="K762" s="1340"/>
      <c r="L762" s="1341"/>
      <c r="M762" s="1338"/>
      <c r="N762" s="1339"/>
      <c r="O762" s="1340"/>
      <c r="P762" s="1341"/>
      <c r="X762" s="1343" t="e">
        <f ca="1"/>
        <v>#NAME?</v>
      </c>
      <c r="Y762" s="1344" t="e">
        <f ca="1"/>
        <v>#NAME?</v>
      </c>
    </row>
    <row r="763" spans="1:25" x14ac:dyDescent="0.2">
      <c r="A763" s="1338"/>
      <c r="B763" s="1339"/>
      <c r="C763" s="1340"/>
      <c r="D763" s="1341"/>
      <c r="E763" s="1338"/>
      <c r="F763" s="1339"/>
      <c r="G763" s="1340"/>
      <c r="H763" s="1341"/>
      <c r="I763" s="1338"/>
      <c r="J763" s="1339"/>
      <c r="K763" s="1340"/>
      <c r="L763" s="1341"/>
      <c r="M763" s="1338"/>
      <c r="N763" s="1339"/>
      <c r="O763" s="1340"/>
      <c r="P763" s="1341"/>
      <c r="X763" s="1343" t="e">
        <f ca="1"/>
        <v>#NAME?</v>
      </c>
      <c r="Y763" s="1344" t="e">
        <f ca="1"/>
        <v>#NAME?</v>
      </c>
    </row>
    <row r="764" spans="1:25" x14ac:dyDescent="0.2">
      <c r="A764" s="1338"/>
      <c r="B764" s="1339"/>
      <c r="C764" s="1340"/>
      <c r="D764" s="1341"/>
      <c r="E764" s="1338"/>
      <c r="F764" s="1339"/>
      <c r="G764" s="1340"/>
      <c r="H764" s="1341"/>
      <c r="I764" s="1338"/>
      <c r="J764" s="1339"/>
      <c r="K764" s="1340"/>
      <c r="L764" s="1341"/>
      <c r="M764" s="1338"/>
      <c r="N764" s="1339"/>
      <c r="O764" s="1340"/>
      <c r="P764" s="1341"/>
      <c r="X764" s="1343" t="e">
        <f ca="1"/>
        <v>#NAME?</v>
      </c>
      <c r="Y764" s="1344" t="e">
        <f ca="1"/>
        <v>#NAME?</v>
      </c>
    </row>
    <row r="765" spans="1:25" x14ac:dyDescent="0.2">
      <c r="A765" s="1338"/>
      <c r="B765" s="1339"/>
      <c r="C765" s="1340"/>
      <c r="D765" s="1341"/>
      <c r="E765" s="1338"/>
      <c r="F765" s="1339"/>
      <c r="G765" s="1340"/>
      <c r="H765" s="1341"/>
      <c r="I765" s="1338"/>
      <c r="J765" s="1339"/>
      <c r="K765" s="1340"/>
      <c r="L765" s="1341"/>
      <c r="M765" s="1338"/>
      <c r="N765" s="1339"/>
      <c r="O765" s="1340"/>
      <c r="P765" s="1341"/>
      <c r="X765" s="1343" t="e">
        <f ca="1"/>
        <v>#NAME?</v>
      </c>
      <c r="Y765" s="1344" t="e">
        <f ca="1"/>
        <v>#NAME?</v>
      </c>
    </row>
    <row r="766" spans="1:25" x14ac:dyDescent="0.2">
      <c r="A766" s="1338"/>
      <c r="B766" s="1339"/>
      <c r="C766" s="1340"/>
      <c r="D766" s="1341"/>
      <c r="E766" s="1338"/>
      <c r="F766" s="1339"/>
      <c r="G766" s="1340"/>
      <c r="H766" s="1341"/>
      <c r="I766" s="1338"/>
      <c r="J766" s="1339"/>
      <c r="K766" s="1340"/>
      <c r="L766" s="1341"/>
      <c r="M766" s="1338"/>
      <c r="N766" s="1339"/>
      <c r="O766" s="1340"/>
      <c r="P766" s="1341"/>
      <c r="X766" s="1343" t="e">
        <f ca="1"/>
        <v>#NAME?</v>
      </c>
      <c r="Y766" s="1344" t="e">
        <f ca="1"/>
        <v>#NAME?</v>
      </c>
    </row>
    <row r="767" spans="1:25" x14ac:dyDescent="0.2">
      <c r="A767" s="1338"/>
      <c r="B767" s="1339"/>
      <c r="C767" s="1340"/>
      <c r="D767" s="1341"/>
      <c r="E767" s="1338"/>
      <c r="F767" s="1339"/>
      <c r="G767" s="1340"/>
      <c r="H767" s="1341"/>
      <c r="I767" s="1338"/>
      <c r="J767" s="1339"/>
      <c r="K767" s="1340"/>
      <c r="L767" s="1341"/>
      <c r="M767" s="1338"/>
      <c r="N767" s="1339"/>
      <c r="O767" s="1340"/>
      <c r="P767" s="1341"/>
      <c r="X767" s="1343" t="e">
        <f ca="1"/>
        <v>#NAME?</v>
      </c>
      <c r="Y767" s="1344" t="e">
        <f ca="1"/>
        <v>#NAME?</v>
      </c>
    </row>
    <row r="768" spans="1:25" x14ac:dyDescent="0.2">
      <c r="A768" s="1338"/>
      <c r="B768" s="1339"/>
      <c r="C768" s="1340"/>
      <c r="D768" s="1341"/>
      <c r="E768" s="1338"/>
      <c r="F768" s="1339"/>
      <c r="G768" s="1340"/>
      <c r="H768" s="1341"/>
      <c r="I768" s="1338"/>
      <c r="J768" s="1339"/>
      <c r="K768" s="1340"/>
      <c r="L768" s="1341"/>
      <c r="M768" s="1338"/>
      <c r="N768" s="1339"/>
      <c r="O768" s="1340"/>
      <c r="P768" s="1341"/>
      <c r="X768" s="1343" t="e">
        <f ca="1"/>
        <v>#NAME?</v>
      </c>
      <c r="Y768" s="1344" t="e">
        <f ca="1"/>
        <v>#NAME?</v>
      </c>
    </row>
    <row r="769" spans="1:25" x14ac:dyDescent="0.2">
      <c r="A769" s="1338"/>
      <c r="B769" s="1339"/>
      <c r="C769" s="1340"/>
      <c r="D769" s="1341"/>
      <c r="E769" s="1338"/>
      <c r="F769" s="1339"/>
      <c r="G769" s="1340"/>
      <c r="H769" s="1341"/>
      <c r="I769" s="1338"/>
      <c r="J769" s="1339"/>
      <c r="K769" s="1340"/>
      <c r="L769" s="1341"/>
      <c r="M769" s="1338"/>
      <c r="N769" s="1339"/>
      <c r="O769" s="1340"/>
      <c r="P769" s="1341"/>
      <c r="X769" s="1343" t="e">
        <f ca="1"/>
        <v>#NAME?</v>
      </c>
      <c r="Y769" s="1344" t="e">
        <f ca="1"/>
        <v>#NAME?</v>
      </c>
    </row>
    <row r="770" spans="1:25" x14ac:dyDescent="0.2">
      <c r="A770" s="1338"/>
      <c r="B770" s="1339"/>
      <c r="C770" s="1340"/>
      <c r="D770" s="1341"/>
      <c r="E770" s="1338"/>
      <c r="F770" s="1339"/>
      <c r="G770" s="1340"/>
      <c r="H770" s="1341"/>
      <c r="I770" s="1338"/>
      <c r="J770" s="1339"/>
      <c r="K770" s="1340"/>
      <c r="L770" s="1341"/>
      <c r="M770" s="1338"/>
      <c r="N770" s="1339"/>
      <c r="O770" s="1340"/>
      <c r="P770" s="1341"/>
      <c r="X770" s="1343" t="e">
        <f ca="1"/>
        <v>#NAME?</v>
      </c>
      <c r="Y770" s="1344" t="e">
        <f ca="1"/>
        <v>#NAME?</v>
      </c>
    </row>
    <row r="771" spans="1:25" x14ac:dyDescent="0.2">
      <c r="A771" s="1338"/>
      <c r="B771" s="1339"/>
      <c r="C771" s="1340"/>
      <c r="D771" s="1341"/>
      <c r="E771" s="1338"/>
      <c r="F771" s="1339"/>
      <c r="G771" s="1340"/>
      <c r="H771" s="1341"/>
      <c r="I771" s="1338"/>
      <c r="J771" s="1339"/>
      <c r="K771" s="1340"/>
      <c r="L771" s="1341"/>
      <c r="M771" s="1338"/>
      <c r="N771" s="1339"/>
      <c r="O771" s="1340"/>
      <c r="P771" s="1341"/>
      <c r="X771" s="1343" t="e">
        <f ca="1"/>
        <v>#NAME?</v>
      </c>
      <c r="Y771" s="1344" t="e">
        <f ca="1"/>
        <v>#NAME?</v>
      </c>
    </row>
    <row r="772" spans="1:25" x14ac:dyDescent="0.2">
      <c r="A772" s="1338"/>
      <c r="B772" s="1339"/>
      <c r="C772" s="1340"/>
      <c r="D772" s="1341"/>
      <c r="E772" s="1338"/>
      <c r="F772" s="1339"/>
      <c r="G772" s="1340"/>
      <c r="H772" s="1341"/>
      <c r="I772" s="1338"/>
      <c r="J772" s="1339"/>
      <c r="K772" s="1340"/>
      <c r="L772" s="1341"/>
      <c r="M772" s="1338"/>
      <c r="N772" s="1339"/>
      <c r="O772" s="1340"/>
      <c r="P772" s="1341"/>
      <c r="X772" s="1343" t="e">
        <f ca="1"/>
        <v>#NAME?</v>
      </c>
      <c r="Y772" s="1344" t="e">
        <f ca="1"/>
        <v>#NAME?</v>
      </c>
    </row>
    <row r="773" spans="1:25" x14ac:dyDescent="0.2">
      <c r="A773" s="1338"/>
      <c r="B773" s="1339"/>
      <c r="C773" s="1340"/>
      <c r="D773" s="1341"/>
      <c r="E773" s="1338"/>
      <c r="F773" s="1339"/>
      <c r="G773" s="1340"/>
      <c r="H773" s="1341"/>
      <c r="I773" s="1338"/>
      <c r="J773" s="1339"/>
      <c r="K773" s="1340"/>
      <c r="L773" s="1341"/>
      <c r="M773" s="1338"/>
      <c r="N773" s="1339"/>
      <c r="O773" s="1340"/>
      <c r="P773" s="1341"/>
      <c r="X773" s="1343" t="e">
        <f ca="1"/>
        <v>#NAME?</v>
      </c>
      <c r="Y773" s="1344" t="e">
        <f ca="1"/>
        <v>#NAME?</v>
      </c>
    </row>
    <row r="774" spans="1:25" x14ac:dyDescent="0.2">
      <c r="A774" s="1338"/>
      <c r="B774" s="1339"/>
      <c r="C774" s="1340"/>
      <c r="D774" s="1341"/>
      <c r="E774" s="1338"/>
      <c r="F774" s="1339"/>
      <c r="G774" s="1340"/>
      <c r="H774" s="1341"/>
      <c r="I774" s="1338"/>
      <c r="J774" s="1339"/>
      <c r="K774" s="1340"/>
      <c r="L774" s="1341"/>
      <c r="M774" s="1338"/>
      <c r="N774" s="1339"/>
      <c r="O774" s="1340"/>
      <c r="P774" s="1341"/>
      <c r="X774" s="1343" t="e">
        <f ca="1"/>
        <v>#NAME?</v>
      </c>
      <c r="Y774" s="1344" t="e">
        <f ca="1"/>
        <v>#NAME?</v>
      </c>
    </row>
    <row r="775" spans="1:25" x14ac:dyDescent="0.2">
      <c r="A775" s="1338"/>
      <c r="B775" s="1339"/>
      <c r="C775" s="1340"/>
      <c r="D775" s="1341"/>
      <c r="E775" s="1338"/>
      <c r="F775" s="1339"/>
      <c r="G775" s="1340"/>
      <c r="H775" s="1341"/>
      <c r="I775" s="1338"/>
      <c r="J775" s="1339"/>
      <c r="K775" s="1340"/>
      <c r="L775" s="1341"/>
      <c r="M775" s="1338"/>
      <c r="N775" s="1339"/>
      <c r="O775" s="1340"/>
      <c r="P775" s="1341"/>
      <c r="X775" s="1343" t="e">
        <f ca="1"/>
        <v>#NAME?</v>
      </c>
      <c r="Y775" s="1344" t="e">
        <f ca="1"/>
        <v>#NAME?</v>
      </c>
    </row>
    <row r="776" spans="1:25" x14ac:dyDescent="0.2">
      <c r="A776" s="1338"/>
      <c r="B776" s="1339"/>
      <c r="C776" s="1340"/>
      <c r="D776" s="1341"/>
      <c r="E776" s="1338"/>
      <c r="F776" s="1339"/>
      <c r="G776" s="1340"/>
      <c r="H776" s="1341"/>
      <c r="I776" s="1338"/>
      <c r="J776" s="1339"/>
      <c r="K776" s="1340"/>
      <c r="L776" s="1341"/>
      <c r="M776" s="1338"/>
      <c r="N776" s="1339"/>
      <c r="O776" s="1340"/>
      <c r="P776" s="1341"/>
      <c r="X776" s="1343" t="e">
        <f ca="1"/>
        <v>#NAME?</v>
      </c>
      <c r="Y776" s="1344" t="e">
        <f ca="1"/>
        <v>#NAME?</v>
      </c>
    </row>
    <row r="777" spans="1:25" x14ac:dyDescent="0.2">
      <c r="A777" s="1338"/>
      <c r="B777" s="1339"/>
      <c r="C777" s="1340"/>
      <c r="D777" s="1341"/>
      <c r="E777" s="1338"/>
      <c r="F777" s="1339"/>
      <c r="G777" s="1340"/>
      <c r="H777" s="1341"/>
      <c r="I777" s="1338"/>
      <c r="J777" s="1339"/>
      <c r="K777" s="1340"/>
      <c r="L777" s="1341"/>
      <c r="M777" s="1338"/>
      <c r="N777" s="1339"/>
      <c r="O777" s="1340"/>
      <c r="P777" s="1341"/>
      <c r="X777" s="1343" t="e">
        <f ca="1"/>
        <v>#NAME?</v>
      </c>
      <c r="Y777" s="1344" t="e">
        <f ca="1"/>
        <v>#NAME?</v>
      </c>
    </row>
    <row r="778" spans="1:25" x14ac:dyDescent="0.2">
      <c r="A778" s="1338"/>
      <c r="B778" s="1339"/>
      <c r="C778" s="1340"/>
      <c r="D778" s="1341"/>
      <c r="E778" s="1338"/>
      <c r="F778" s="1339"/>
      <c r="G778" s="1340"/>
      <c r="H778" s="1341"/>
      <c r="I778" s="1338"/>
      <c r="J778" s="1339"/>
      <c r="K778" s="1340"/>
      <c r="L778" s="1341"/>
      <c r="M778" s="1338"/>
      <c r="N778" s="1339"/>
      <c r="O778" s="1340"/>
      <c r="P778" s="1341"/>
      <c r="X778" s="1343" t="e">
        <f ca="1"/>
        <v>#NAME?</v>
      </c>
      <c r="Y778" s="1344" t="e">
        <f ca="1"/>
        <v>#NAME?</v>
      </c>
    </row>
    <row r="779" spans="1:25" x14ac:dyDescent="0.2">
      <c r="A779" s="1338"/>
      <c r="B779" s="1339"/>
      <c r="C779" s="1340"/>
      <c r="D779" s="1341"/>
      <c r="E779" s="1338"/>
      <c r="F779" s="1339"/>
      <c r="G779" s="1340"/>
      <c r="H779" s="1341"/>
      <c r="I779" s="1338"/>
      <c r="J779" s="1339"/>
      <c r="K779" s="1340"/>
      <c r="L779" s="1341"/>
      <c r="M779" s="1338"/>
      <c r="N779" s="1339"/>
      <c r="O779" s="1340"/>
      <c r="P779" s="1341"/>
      <c r="X779" s="1343" t="e">
        <f ca="1"/>
        <v>#NAME?</v>
      </c>
      <c r="Y779" s="1344" t="e">
        <f ca="1"/>
        <v>#NAME?</v>
      </c>
    </row>
    <row r="780" spans="1:25" x14ac:dyDescent="0.2">
      <c r="A780" s="1338"/>
      <c r="B780" s="1339"/>
      <c r="C780" s="1340"/>
      <c r="D780" s="1341"/>
      <c r="E780" s="1338"/>
      <c r="F780" s="1339"/>
      <c r="G780" s="1340"/>
      <c r="H780" s="1341"/>
      <c r="I780" s="1338"/>
      <c r="J780" s="1339"/>
      <c r="K780" s="1340"/>
      <c r="L780" s="1341"/>
      <c r="M780" s="1338"/>
      <c r="N780" s="1339"/>
      <c r="O780" s="1340"/>
      <c r="P780" s="1341"/>
      <c r="X780" s="1343" t="e">
        <f ca="1"/>
        <v>#NAME?</v>
      </c>
      <c r="Y780" s="1344" t="e">
        <f ca="1"/>
        <v>#NAME?</v>
      </c>
    </row>
    <row r="781" spans="1:25" x14ac:dyDescent="0.2">
      <c r="A781" s="1338"/>
      <c r="B781" s="1339"/>
      <c r="C781" s="1340"/>
      <c r="D781" s="1341"/>
      <c r="E781" s="1338"/>
      <c r="F781" s="1339"/>
      <c r="G781" s="1340"/>
      <c r="H781" s="1341"/>
      <c r="I781" s="1338"/>
      <c r="J781" s="1339"/>
      <c r="K781" s="1340"/>
      <c r="L781" s="1341"/>
      <c r="M781" s="1338"/>
      <c r="N781" s="1339"/>
      <c r="O781" s="1340"/>
      <c r="P781" s="1341"/>
      <c r="X781" s="1343" t="e">
        <f ca="1"/>
        <v>#NAME?</v>
      </c>
      <c r="Y781" s="1344" t="e">
        <f ca="1"/>
        <v>#NAME?</v>
      </c>
    </row>
    <row r="782" spans="1:25" x14ac:dyDescent="0.2">
      <c r="A782" s="1338"/>
      <c r="B782" s="1339"/>
      <c r="C782" s="1340"/>
      <c r="D782" s="1341"/>
      <c r="E782" s="1338"/>
      <c r="F782" s="1339"/>
      <c r="G782" s="1340"/>
      <c r="H782" s="1341"/>
      <c r="I782" s="1338"/>
      <c r="J782" s="1339"/>
      <c r="K782" s="1340"/>
      <c r="L782" s="1341"/>
      <c r="M782" s="1338"/>
      <c r="N782" s="1339"/>
      <c r="O782" s="1340"/>
      <c r="P782" s="1341"/>
      <c r="X782" s="1343" t="e">
        <f ca="1"/>
        <v>#NAME?</v>
      </c>
      <c r="Y782" s="1344" t="e">
        <f ca="1"/>
        <v>#NAME?</v>
      </c>
    </row>
    <row r="783" spans="1:25" x14ac:dyDescent="0.2">
      <c r="A783" s="1338"/>
      <c r="B783" s="1339"/>
      <c r="C783" s="1340"/>
      <c r="D783" s="1341"/>
      <c r="E783" s="1338"/>
      <c r="F783" s="1339"/>
      <c r="G783" s="1340"/>
      <c r="H783" s="1341"/>
      <c r="I783" s="1338"/>
      <c r="J783" s="1339"/>
      <c r="K783" s="1340"/>
      <c r="L783" s="1341"/>
      <c r="M783" s="1338"/>
      <c r="N783" s="1339"/>
      <c r="O783" s="1340"/>
      <c r="P783" s="1341"/>
      <c r="X783" s="1343" t="e">
        <f ca="1"/>
        <v>#NAME?</v>
      </c>
      <c r="Y783" s="1344" t="e">
        <f ca="1"/>
        <v>#NAME?</v>
      </c>
    </row>
    <row r="784" spans="1:25" x14ac:dyDescent="0.2">
      <c r="A784" s="1338"/>
      <c r="B784" s="1339"/>
      <c r="C784" s="1340"/>
      <c r="D784" s="1341"/>
      <c r="E784" s="1338"/>
      <c r="F784" s="1339"/>
      <c r="G784" s="1340"/>
      <c r="H784" s="1341"/>
      <c r="I784" s="1338"/>
      <c r="J784" s="1339"/>
      <c r="K784" s="1340"/>
      <c r="L784" s="1341"/>
      <c r="M784" s="1338"/>
      <c r="N784" s="1339"/>
      <c r="O784" s="1340"/>
      <c r="P784" s="1341"/>
      <c r="X784" s="1343" t="e">
        <f ca="1"/>
        <v>#NAME?</v>
      </c>
      <c r="Y784" s="1344" t="e">
        <f ca="1"/>
        <v>#NAME?</v>
      </c>
    </row>
    <row r="785" spans="1:25" x14ac:dyDescent="0.2">
      <c r="A785" s="1338"/>
      <c r="B785" s="1339"/>
      <c r="C785" s="1340"/>
      <c r="D785" s="1341"/>
      <c r="E785" s="1338"/>
      <c r="F785" s="1339"/>
      <c r="G785" s="1340"/>
      <c r="H785" s="1341"/>
      <c r="I785" s="1338"/>
      <c r="J785" s="1339"/>
      <c r="K785" s="1340"/>
      <c r="L785" s="1341"/>
      <c r="M785" s="1338"/>
      <c r="N785" s="1339"/>
      <c r="O785" s="1340"/>
      <c r="P785" s="1341"/>
      <c r="X785" s="1343" t="e">
        <f ca="1"/>
        <v>#NAME?</v>
      </c>
      <c r="Y785" s="1344" t="e">
        <f ca="1"/>
        <v>#NAME?</v>
      </c>
    </row>
    <row r="786" spans="1:25" x14ac:dyDescent="0.2">
      <c r="A786" s="1338"/>
      <c r="B786" s="1339"/>
      <c r="C786" s="1340"/>
      <c r="D786" s="1341"/>
      <c r="E786" s="1338"/>
      <c r="F786" s="1339"/>
      <c r="G786" s="1340"/>
      <c r="H786" s="1341"/>
      <c r="I786" s="1338"/>
      <c r="J786" s="1339"/>
      <c r="K786" s="1340"/>
      <c r="L786" s="1341"/>
      <c r="M786" s="1338"/>
      <c r="N786" s="1339"/>
      <c r="O786" s="1340"/>
      <c r="P786" s="1341"/>
      <c r="X786" s="1343" t="e">
        <f ca="1"/>
        <v>#NAME?</v>
      </c>
      <c r="Y786" s="1344" t="e">
        <f ca="1"/>
        <v>#NAME?</v>
      </c>
    </row>
    <row r="787" spans="1:25" x14ac:dyDescent="0.2">
      <c r="A787" s="1338"/>
      <c r="B787" s="1339"/>
      <c r="C787" s="1340"/>
      <c r="D787" s="1341"/>
      <c r="E787" s="1338"/>
      <c r="F787" s="1339"/>
      <c r="G787" s="1340"/>
      <c r="H787" s="1341"/>
      <c r="I787" s="1338"/>
      <c r="J787" s="1339"/>
      <c r="K787" s="1340"/>
      <c r="L787" s="1341"/>
      <c r="M787" s="1338"/>
      <c r="N787" s="1339"/>
      <c r="O787" s="1340"/>
      <c r="P787" s="1341"/>
      <c r="X787" s="1343" t="e">
        <f ca="1"/>
        <v>#NAME?</v>
      </c>
      <c r="Y787" s="1344" t="e">
        <f ca="1"/>
        <v>#NAME?</v>
      </c>
    </row>
    <row r="788" spans="1:25" x14ac:dyDescent="0.2">
      <c r="A788" s="1338"/>
      <c r="B788" s="1339"/>
      <c r="C788" s="1340"/>
      <c r="D788" s="1341"/>
      <c r="E788" s="1338"/>
      <c r="F788" s="1339"/>
      <c r="G788" s="1340"/>
      <c r="H788" s="1341"/>
      <c r="I788" s="1338"/>
      <c r="J788" s="1339"/>
      <c r="K788" s="1340"/>
      <c r="L788" s="1341"/>
      <c r="M788" s="1338"/>
      <c r="N788" s="1339"/>
      <c r="O788" s="1340"/>
      <c r="P788" s="1341"/>
      <c r="X788" s="1343" t="e">
        <f ca="1"/>
        <v>#NAME?</v>
      </c>
      <c r="Y788" s="1344" t="e">
        <f ca="1"/>
        <v>#NAME?</v>
      </c>
    </row>
    <row r="789" spans="1:25" x14ac:dyDescent="0.2">
      <c r="A789" s="1338"/>
      <c r="B789" s="1339"/>
      <c r="C789" s="1340"/>
      <c r="D789" s="1341"/>
      <c r="E789" s="1338"/>
      <c r="F789" s="1339"/>
      <c r="G789" s="1340"/>
      <c r="H789" s="1341"/>
      <c r="I789" s="1338"/>
      <c r="J789" s="1339"/>
      <c r="K789" s="1340"/>
      <c r="L789" s="1341"/>
      <c r="M789" s="1338"/>
      <c r="N789" s="1339"/>
      <c r="O789" s="1340"/>
      <c r="P789" s="1341"/>
      <c r="X789" s="1343" t="e">
        <f ca="1"/>
        <v>#NAME?</v>
      </c>
      <c r="Y789" s="1344" t="e">
        <f ca="1"/>
        <v>#NAME?</v>
      </c>
    </row>
    <row r="790" spans="1:25" x14ac:dyDescent="0.2">
      <c r="A790" s="1338"/>
      <c r="B790" s="1339"/>
      <c r="C790" s="1340"/>
      <c r="D790" s="1341"/>
      <c r="E790" s="1338"/>
      <c r="F790" s="1339"/>
      <c r="G790" s="1340"/>
      <c r="H790" s="1341"/>
      <c r="I790" s="1338"/>
      <c r="J790" s="1339"/>
      <c r="K790" s="1340"/>
      <c r="L790" s="1341"/>
      <c r="M790" s="1338"/>
      <c r="N790" s="1339"/>
      <c r="O790" s="1340"/>
      <c r="P790" s="1341"/>
      <c r="X790" s="1343" t="e">
        <f ca="1"/>
        <v>#NAME?</v>
      </c>
      <c r="Y790" s="1344" t="e">
        <f ca="1"/>
        <v>#NAME?</v>
      </c>
    </row>
    <row r="791" spans="1:25" x14ac:dyDescent="0.2">
      <c r="A791" s="1338"/>
      <c r="B791" s="1339"/>
      <c r="C791" s="1340"/>
      <c r="D791" s="1341"/>
      <c r="E791" s="1338"/>
      <c r="F791" s="1339"/>
      <c r="G791" s="1340"/>
      <c r="H791" s="1341"/>
      <c r="I791" s="1338"/>
      <c r="J791" s="1339"/>
      <c r="K791" s="1340"/>
      <c r="L791" s="1341"/>
      <c r="M791" s="1338"/>
      <c r="N791" s="1339"/>
      <c r="O791" s="1340"/>
      <c r="P791" s="1341"/>
      <c r="X791" s="1343" t="e">
        <f ca="1"/>
        <v>#NAME?</v>
      </c>
      <c r="Y791" s="1344" t="e">
        <f ca="1"/>
        <v>#NAME?</v>
      </c>
    </row>
    <row r="792" spans="1:25" x14ac:dyDescent="0.2">
      <c r="A792" s="1338"/>
      <c r="B792" s="1339"/>
      <c r="C792" s="1340"/>
      <c r="D792" s="1341"/>
      <c r="E792" s="1338"/>
      <c r="F792" s="1339"/>
      <c r="G792" s="1340"/>
      <c r="H792" s="1341"/>
      <c r="I792" s="1338"/>
      <c r="J792" s="1339"/>
      <c r="K792" s="1340"/>
      <c r="L792" s="1341"/>
      <c r="M792" s="1338"/>
      <c r="N792" s="1339"/>
      <c r="O792" s="1340"/>
      <c r="P792" s="1341"/>
      <c r="X792" s="1343" t="e">
        <f ca="1"/>
        <v>#NAME?</v>
      </c>
      <c r="Y792" s="1344" t="e">
        <f ca="1"/>
        <v>#NAME?</v>
      </c>
    </row>
    <row r="793" spans="1:25" x14ac:dyDescent="0.2">
      <c r="A793" s="1338"/>
      <c r="B793" s="1339"/>
      <c r="C793" s="1340"/>
      <c r="D793" s="1341"/>
      <c r="E793" s="1338"/>
      <c r="F793" s="1339"/>
      <c r="G793" s="1340"/>
      <c r="H793" s="1341"/>
      <c r="I793" s="1338"/>
      <c r="J793" s="1339"/>
      <c r="K793" s="1340"/>
      <c r="L793" s="1341"/>
      <c r="M793" s="1338"/>
      <c r="N793" s="1339"/>
      <c r="O793" s="1340"/>
      <c r="P793" s="1341"/>
      <c r="X793" s="1343" t="e">
        <f ca="1"/>
        <v>#NAME?</v>
      </c>
      <c r="Y793" s="1344" t="e">
        <f ca="1"/>
        <v>#NAME?</v>
      </c>
    </row>
    <row r="794" spans="1:25" x14ac:dyDescent="0.2">
      <c r="A794" s="1338"/>
      <c r="B794" s="1339"/>
      <c r="C794" s="1340"/>
      <c r="D794" s="1341"/>
      <c r="E794" s="1338"/>
      <c r="F794" s="1339"/>
      <c r="G794" s="1340"/>
      <c r="H794" s="1341"/>
      <c r="I794" s="1338"/>
      <c r="J794" s="1339"/>
      <c r="K794" s="1340"/>
      <c r="L794" s="1341"/>
      <c r="M794" s="1338"/>
      <c r="N794" s="1339"/>
      <c r="O794" s="1340"/>
      <c r="P794" s="1341"/>
      <c r="X794" s="1343" t="e">
        <f ca="1"/>
        <v>#NAME?</v>
      </c>
      <c r="Y794" s="1344" t="e">
        <f ca="1"/>
        <v>#NAME?</v>
      </c>
    </row>
    <row r="795" spans="1:25" x14ac:dyDescent="0.2">
      <c r="A795" s="1338"/>
      <c r="B795" s="1339"/>
      <c r="C795" s="1340"/>
      <c r="D795" s="1341"/>
      <c r="E795" s="1338"/>
      <c r="F795" s="1339"/>
      <c r="G795" s="1340"/>
      <c r="H795" s="1341"/>
      <c r="I795" s="1338"/>
      <c r="J795" s="1339"/>
      <c r="K795" s="1340"/>
      <c r="L795" s="1341"/>
      <c r="M795" s="1338"/>
      <c r="N795" s="1339"/>
      <c r="O795" s="1340"/>
      <c r="P795" s="1341"/>
      <c r="X795" s="1343" t="e">
        <f ca="1"/>
        <v>#NAME?</v>
      </c>
      <c r="Y795" s="1344" t="e">
        <f ca="1"/>
        <v>#NAME?</v>
      </c>
    </row>
    <row r="796" spans="1:25" x14ac:dyDescent="0.2">
      <c r="A796" s="1338"/>
      <c r="B796" s="1339"/>
      <c r="C796" s="1340"/>
      <c r="D796" s="1341"/>
      <c r="E796" s="1338"/>
      <c r="F796" s="1339"/>
      <c r="G796" s="1340"/>
      <c r="H796" s="1341"/>
      <c r="I796" s="1338"/>
      <c r="J796" s="1339"/>
      <c r="K796" s="1340"/>
      <c r="L796" s="1341"/>
      <c r="M796" s="1338"/>
      <c r="N796" s="1339"/>
      <c r="O796" s="1340"/>
      <c r="P796" s="1341"/>
      <c r="X796" s="1343" t="e">
        <f ca="1"/>
        <v>#NAME?</v>
      </c>
      <c r="Y796" s="1344" t="e">
        <f ca="1"/>
        <v>#NAME?</v>
      </c>
    </row>
    <row r="797" spans="1:25" x14ac:dyDescent="0.2">
      <c r="A797" s="1338"/>
      <c r="B797" s="1339"/>
      <c r="C797" s="1340"/>
      <c r="D797" s="1341"/>
      <c r="E797" s="1338"/>
      <c r="F797" s="1339"/>
      <c r="G797" s="1340"/>
      <c r="H797" s="1341"/>
      <c r="I797" s="1338"/>
      <c r="J797" s="1339"/>
      <c r="K797" s="1340"/>
      <c r="L797" s="1341"/>
      <c r="M797" s="1338"/>
      <c r="N797" s="1339"/>
      <c r="O797" s="1340"/>
      <c r="P797" s="1341"/>
      <c r="X797" s="1343" t="e">
        <f ca="1"/>
        <v>#NAME?</v>
      </c>
      <c r="Y797" s="1344" t="e">
        <f ca="1"/>
        <v>#NAME?</v>
      </c>
    </row>
    <row r="798" spans="1:25" x14ac:dyDescent="0.2">
      <c r="A798" s="1338"/>
      <c r="B798" s="1339"/>
      <c r="C798" s="1340"/>
      <c r="D798" s="1341"/>
      <c r="E798" s="1338"/>
      <c r="F798" s="1339"/>
      <c r="G798" s="1340"/>
      <c r="H798" s="1341"/>
      <c r="I798" s="1338"/>
      <c r="J798" s="1339"/>
      <c r="K798" s="1340"/>
      <c r="L798" s="1341"/>
      <c r="M798" s="1338"/>
      <c r="N798" s="1339"/>
      <c r="O798" s="1340"/>
      <c r="P798" s="1341"/>
      <c r="X798" s="1343" t="e">
        <f ca="1"/>
        <v>#NAME?</v>
      </c>
      <c r="Y798" s="1344" t="e">
        <f ca="1"/>
        <v>#NAME?</v>
      </c>
    </row>
    <row r="799" spans="1:25" x14ac:dyDescent="0.2">
      <c r="A799" s="1338"/>
      <c r="B799" s="1339"/>
      <c r="C799" s="1340"/>
      <c r="D799" s="1341"/>
      <c r="E799" s="1338"/>
      <c r="F799" s="1339"/>
      <c r="G799" s="1340"/>
      <c r="H799" s="1341"/>
      <c r="I799" s="1338"/>
      <c r="J799" s="1339"/>
      <c r="K799" s="1340"/>
      <c r="L799" s="1341"/>
      <c r="M799" s="1338"/>
      <c r="N799" s="1339"/>
      <c r="O799" s="1340"/>
      <c r="P799" s="1341"/>
      <c r="X799" s="1343" t="e">
        <f ca="1"/>
        <v>#NAME?</v>
      </c>
      <c r="Y799" s="1344" t="e">
        <f ca="1"/>
        <v>#NAME?</v>
      </c>
    </row>
    <row r="800" spans="1:25" x14ac:dyDescent="0.2">
      <c r="A800" s="1338"/>
      <c r="B800" s="1339"/>
      <c r="C800" s="1340"/>
      <c r="D800" s="1341"/>
      <c r="E800" s="1338"/>
      <c r="F800" s="1339"/>
      <c r="G800" s="1340"/>
      <c r="H800" s="1341"/>
      <c r="I800" s="1338"/>
      <c r="J800" s="1339"/>
      <c r="K800" s="1340"/>
      <c r="L800" s="1341"/>
      <c r="M800" s="1338"/>
      <c r="N800" s="1339"/>
      <c r="O800" s="1340"/>
      <c r="P800" s="1341"/>
      <c r="X800" s="1343" t="e">
        <f ca="1"/>
        <v>#NAME?</v>
      </c>
      <c r="Y800" s="1344" t="e">
        <f ca="1"/>
        <v>#NAME?</v>
      </c>
    </row>
    <row r="801" spans="1:25" x14ac:dyDescent="0.2">
      <c r="A801" s="1338"/>
      <c r="B801" s="1339"/>
      <c r="C801" s="1340"/>
      <c r="D801" s="1341"/>
      <c r="E801" s="1338"/>
      <c r="F801" s="1339"/>
      <c r="G801" s="1340"/>
      <c r="H801" s="1341"/>
      <c r="I801" s="1338"/>
      <c r="J801" s="1339"/>
      <c r="K801" s="1340"/>
      <c r="L801" s="1341"/>
      <c r="M801" s="1338"/>
      <c r="N801" s="1339"/>
      <c r="O801" s="1340"/>
      <c r="P801" s="1341"/>
      <c r="X801" s="1343" t="e">
        <f ca="1"/>
        <v>#NAME?</v>
      </c>
      <c r="Y801" s="1344" t="e">
        <f ca="1"/>
        <v>#NAME?</v>
      </c>
    </row>
    <row r="802" spans="1:25" x14ac:dyDescent="0.2">
      <c r="A802" s="1338"/>
      <c r="B802" s="1339"/>
      <c r="C802" s="1340"/>
      <c r="D802" s="1341"/>
      <c r="E802" s="1338"/>
      <c r="F802" s="1339"/>
      <c r="G802" s="1340"/>
      <c r="H802" s="1341"/>
      <c r="I802" s="1338"/>
      <c r="J802" s="1339"/>
      <c r="K802" s="1340"/>
      <c r="L802" s="1341"/>
      <c r="M802" s="1338"/>
      <c r="N802" s="1339"/>
      <c r="O802" s="1340"/>
      <c r="P802" s="1341"/>
      <c r="X802" s="1343" t="e">
        <f ca="1"/>
        <v>#NAME?</v>
      </c>
      <c r="Y802" s="1344" t="e">
        <f ca="1"/>
        <v>#NAME?</v>
      </c>
    </row>
    <row r="803" spans="1:25" x14ac:dyDescent="0.2">
      <c r="A803" s="1338"/>
      <c r="B803" s="1339"/>
      <c r="C803" s="1340"/>
      <c r="D803" s="1341"/>
      <c r="E803" s="1338"/>
      <c r="F803" s="1339"/>
      <c r="G803" s="1340"/>
      <c r="H803" s="1341"/>
      <c r="I803" s="1338"/>
      <c r="J803" s="1339"/>
      <c r="K803" s="1340"/>
      <c r="L803" s="1341"/>
      <c r="M803" s="1338"/>
      <c r="N803" s="1339"/>
      <c r="O803" s="1340"/>
      <c r="P803" s="1341"/>
      <c r="X803" s="1343" t="e">
        <f ca="1"/>
        <v>#NAME?</v>
      </c>
      <c r="Y803" s="1344" t="e">
        <f ca="1"/>
        <v>#NAME?</v>
      </c>
    </row>
    <row r="804" spans="1:25" x14ac:dyDescent="0.2">
      <c r="A804" s="1338"/>
      <c r="B804" s="1339"/>
      <c r="C804" s="1340"/>
      <c r="D804" s="1341"/>
      <c r="E804" s="1338"/>
      <c r="F804" s="1339"/>
      <c r="G804" s="1340"/>
      <c r="H804" s="1341"/>
      <c r="I804" s="1338"/>
      <c r="J804" s="1339"/>
      <c r="K804" s="1340"/>
      <c r="L804" s="1341"/>
      <c r="M804" s="1338"/>
      <c r="N804" s="1339"/>
      <c r="O804" s="1340"/>
      <c r="P804" s="1341"/>
      <c r="X804" s="1343" t="e">
        <f ca="1"/>
        <v>#NAME?</v>
      </c>
      <c r="Y804" s="1344" t="e">
        <f ca="1"/>
        <v>#NAME?</v>
      </c>
    </row>
    <row r="805" spans="1:25" x14ac:dyDescent="0.2">
      <c r="A805" s="1338"/>
      <c r="B805" s="1339"/>
      <c r="C805" s="1340"/>
      <c r="D805" s="1341"/>
      <c r="E805" s="1338"/>
      <c r="F805" s="1339"/>
      <c r="G805" s="1340"/>
      <c r="H805" s="1341"/>
      <c r="I805" s="1338"/>
      <c r="J805" s="1339"/>
      <c r="K805" s="1340"/>
      <c r="L805" s="1341"/>
      <c r="M805" s="1338"/>
      <c r="N805" s="1339"/>
      <c r="O805" s="1340"/>
      <c r="P805" s="1341"/>
      <c r="X805" s="1343" t="e">
        <f ca="1"/>
        <v>#NAME?</v>
      </c>
      <c r="Y805" s="1344" t="e">
        <f ca="1"/>
        <v>#NAME?</v>
      </c>
    </row>
    <row r="806" spans="1:25" x14ac:dyDescent="0.2">
      <c r="A806" s="1338"/>
      <c r="B806" s="1339"/>
      <c r="C806" s="1340"/>
      <c r="D806" s="1341"/>
      <c r="E806" s="1338"/>
      <c r="F806" s="1339"/>
      <c r="G806" s="1340"/>
      <c r="H806" s="1341"/>
      <c r="I806" s="1338"/>
      <c r="J806" s="1339"/>
      <c r="K806" s="1340"/>
      <c r="L806" s="1341"/>
      <c r="M806" s="1338"/>
      <c r="N806" s="1339"/>
      <c r="O806" s="1340"/>
      <c r="P806" s="1341"/>
      <c r="X806" s="1343" t="e">
        <f ca="1"/>
        <v>#NAME?</v>
      </c>
      <c r="Y806" s="1344" t="e">
        <f ca="1"/>
        <v>#NAME?</v>
      </c>
    </row>
    <row r="807" spans="1:25" x14ac:dyDescent="0.2">
      <c r="A807" s="1338"/>
      <c r="B807" s="1339"/>
      <c r="C807" s="1340"/>
      <c r="D807" s="1341"/>
      <c r="E807" s="1338"/>
      <c r="F807" s="1339"/>
      <c r="G807" s="1340"/>
      <c r="H807" s="1341"/>
      <c r="I807" s="1338"/>
      <c r="J807" s="1339"/>
      <c r="K807" s="1340"/>
      <c r="L807" s="1341"/>
      <c r="M807" s="1338"/>
      <c r="N807" s="1339"/>
      <c r="O807" s="1340"/>
      <c r="P807" s="1341"/>
      <c r="X807" s="1343" t="e">
        <f ca="1"/>
        <v>#NAME?</v>
      </c>
      <c r="Y807" s="1344" t="e">
        <f ca="1"/>
        <v>#NAME?</v>
      </c>
    </row>
    <row r="808" spans="1:25" x14ac:dyDescent="0.2">
      <c r="A808" s="1338"/>
      <c r="B808" s="1339"/>
      <c r="C808" s="1340"/>
      <c r="D808" s="1341"/>
      <c r="E808" s="1338"/>
      <c r="F808" s="1339"/>
      <c r="G808" s="1340"/>
      <c r="H808" s="1341"/>
      <c r="I808" s="1338"/>
      <c r="J808" s="1339"/>
      <c r="K808" s="1340"/>
      <c r="L808" s="1341"/>
      <c r="M808" s="1338"/>
      <c r="N808" s="1339"/>
      <c r="O808" s="1340"/>
      <c r="P808" s="1341"/>
      <c r="X808" s="1343" t="e">
        <f ca="1"/>
        <v>#NAME?</v>
      </c>
      <c r="Y808" s="1344" t="e">
        <f ca="1"/>
        <v>#NAME?</v>
      </c>
    </row>
    <row r="809" spans="1:25" x14ac:dyDescent="0.2">
      <c r="A809" s="1338"/>
      <c r="B809" s="1339"/>
      <c r="C809" s="1340"/>
      <c r="D809" s="1341"/>
      <c r="E809" s="1338"/>
      <c r="F809" s="1339"/>
      <c r="G809" s="1340"/>
      <c r="H809" s="1341"/>
      <c r="I809" s="1338"/>
      <c r="J809" s="1339"/>
      <c r="K809" s="1340"/>
      <c r="L809" s="1341"/>
      <c r="M809" s="1338"/>
      <c r="N809" s="1339"/>
      <c r="O809" s="1340"/>
      <c r="P809" s="1341"/>
      <c r="X809" s="1343" t="e">
        <f ca="1"/>
        <v>#NAME?</v>
      </c>
      <c r="Y809" s="1344" t="e">
        <f ca="1"/>
        <v>#NAME?</v>
      </c>
    </row>
    <row r="810" spans="1:25" x14ac:dyDescent="0.2">
      <c r="A810" s="1338"/>
      <c r="B810" s="1339"/>
      <c r="C810" s="1340"/>
      <c r="D810" s="1341"/>
      <c r="E810" s="1338"/>
      <c r="F810" s="1339"/>
      <c r="G810" s="1340"/>
      <c r="H810" s="1341"/>
      <c r="I810" s="1338"/>
      <c r="J810" s="1339"/>
      <c r="K810" s="1340"/>
      <c r="L810" s="1341"/>
      <c r="M810" s="1338"/>
      <c r="N810" s="1339"/>
      <c r="O810" s="1340"/>
      <c r="P810" s="1341"/>
      <c r="X810" s="1343" t="e">
        <f ca="1"/>
        <v>#NAME?</v>
      </c>
      <c r="Y810" s="1344" t="e">
        <f ca="1"/>
        <v>#NAME?</v>
      </c>
    </row>
    <row r="811" spans="1:25" x14ac:dyDescent="0.2">
      <c r="A811" s="1338"/>
      <c r="B811" s="1339"/>
      <c r="C811" s="1340"/>
      <c r="D811" s="1341"/>
      <c r="E811" s="1338"/>
      <c r="F811" s="1339"/>
      <c r="G811" s="1340"/>
      <c r="H811" s="1341"/>
      <c r="I811" s="1338"/>
      <c r="J811" s="1339"/>
      <c r="K811" s="1340"/>
      <c r="L811" s="1341"/>
      <c r="M811" s="1338"/>
      <c r="N811" s="1339"/>
      <c r="O811" s="1340"/>
      <c r="P811" s="1341"/>
      <c r="X811" s="1343" t="e">
        <f ca="1"/>
        <v>#NAME?</v>
      </c>
      <c r="Y811" s="1344" t="e">
        <f ca="1"/>
        <v>#NAME?</v>
      </c>
    </row>
    <row r="812" spans="1:25" x14ac:dyDescent="0.2">
      <c r="A812" s="1338"/>
      <c r="B812" s="1339"/>
      <c r="C812" s="1340"/>
      <c r="D812" s="1341"/>
      <c r="E812" s="1338"/>
      <c r="F812" s="1339"/>
      <c r="G812" s="1340"/>
      <c r="H812" s="1341"/>
      <c r="I812" s="1338"/>
      <c r="J812" s="1339"/>
      <c r="K812" s="1340"/>
      <c r="L812" s="1341"/>
      <c r="M812" s="1338"/>
      <c r="N812" s="1339"/>
      <c r="O812" s="1340"/>
      <c r="P812" s="1341"/>
      <c r="X812" s="1343" t="e">
        <f ca="1"/>
        <v>#NAME?</v>
      </c>
      <c r="Y812" s="1344" t="e">
        <f ca="1"/>
        <v>#NAME?</v>
      </c>
    </row>
    <row r="813" spans="1:25" x14ac:dyDescent="0.2">
      <c r="A813" s="1338"/>
      <c r="B813" s="1339"/>
      <c r="C813" s="1340"/>
      <c r="D813" s="1341"/>
      <c r="E813" s="1338"/>
      <c r="F813" s="1339"/>
      <c r="G813" s="1340"/>
      <c r="H813" s="1341"/>
      <c r="I813" s="1338"/>
      <c r="J813" s="1339"/>
      <c r="K813" s="1340"/>
      <c r="L813" s="1341"/>
      <c r="M813" s="1338"/>
      <c r="N813" s="1339"/>
      <c r="O813" s="1340"/>
      <c r="P813" s="1341"/>
      <c r="X813" s="1343" t="e">
        <f ca="1"/>
        <v>#NAME?</v>
      </c>
      <c r="Y813" s="1344" t="e">
        <f ca="1"/>
        <v>#NAME?</v>
      </c>
    </row>
    <row r="814" spans="1:25" x14ac:dyDescent="0.2">
      <c r="A814" s="1338"/>
      <c r="B814" s="1339"/>
      <c r="C814" s="1340"/>
      <c r="D814" s="1341"/>
      <c r="E814" s="1338"/>
      <c r="F814" s="1339"/>
      <c r="G814" s="1340"/>
      <c r="H814" s="1341"/>
      <c r="I814" s="1338"/>
      <c r="J814" s="1339"/>
      <c r="K814" s="1340"/>
      <c r="L814" s="1341"/>
      <c r="M814" s="1338"/>
      <c r="N814" s="1339"/>
      <c r="O814" s="1340"/>
      <c r="P814" s="1341"/>
      <c r="X814" s="1343" t="e">
        <f ca="1"/>
        <v>#NAME?</v>
      </c>
      <c r="Y814" s="1344" t="e">
        <f ca="1"/>
        <v>#NAME?</v>
      </c>
    </row>
    <row r="815" spans="1:25" x14ac:dyDescent="0.2">
      <c r="A815" s="1338"/>
      <c r="B815" s="1339"/>
      <c r="C815" s="1340"/>
      <c r="D815" s="1341"/>
      <c r="E815" s="1338"/>
      <c r="F815" s="1339"/>
      <c r="G815" s="1340"/>
      <c r="H815" s="1341"/>
      <c r="I815" s="1338"/>
      <c r="J815" s="1339"/>
      <c r="K815" s="1340"/>
      <c r="L815" s="1341"/>
      <c r="M815" s="1338"/>
      <c r="N815" s="1339"/>
      <c r="O815" s="1340"/>
      <c r="P815" s="1341"/>
      <c r="X815" s="1343" t="e">
        <f ca="1"/>
        <v>#NAME?</v>
      </c>
      <c r="Y815" s="1344" t="e">
        <f ca="1"/>
        <v>#NAME?</v>
      </c>
    </row>
    <row r="816" spans="1:25" x14ac:dyDescent="0.2">
      <c r="A816" s="1338"/>
      <c r="B816" s="1339"/>
      <c r="C816" s="1340"/>
      <c r="D816" s="1341"/>
      <c r="E816" s="1338"/>
      <c r="F816" s="1339"/>
      <c r="G816" s="1340"/>
      <c r="H816" s="1341"/>
      <c r="I816" s="1338"/>
      <c r="J816" s="1339"/>
      <c r="K816" s="1340"/>
      <c r="L816" s="1341"/>
      <c r="M816" s="1338"/>
      <c r="N816" s="1339"/>
      <c r="O816" s="1340"/>
      <c r="P816" s="1341"/>
      <c r="X816" s="1343" t="e">
        <f ca="1"/>
        <v>#NAME?</v>
      </c>
      <c r="Y816" s="1344" t="e">
        <f ca="1"/>
        <v>#NAME?</v>
      </c>
    </row>
    <row r="817" spans="1:25" x14ac:dyDescent="0.2">
      <c r="A817" s="1338"/>
      <c r="B817" s="1339"/>
      <c r="C817" s="1340"/>
      <c r="D817" s="1341"/>
      <c r="E817" s="1338"/>
      <c r="F817" s="1339"/>
      <c r="G817" s="1340"/>
      <c r="H817" s="1341"/>
      <c r="I817" s="1338"/>
      <c r="J817" s="1339"/>
      <c r="K817" s="1340"/>
      <c r="L817" s="1341"/>
      <c r="M817" s="1338"/>
      <c r="N817" s="1339"/>
      <c r="O817" s="1340"/>
      <c r="P817" s="1341"/>
      <c r="X817" s="1343" t="e">
        <f ca="1"/>
        <v>#NAME?</v>
      </c>
      <c r="Y817" s="1344" t="e">
        <f ca="1"/>
        <v>#NAME?</v>
      </c>
    </row>
    <row r="818" spans="1:25" x14ac:dyDescent="0.2">
      <c r="A818" s="1338"/>
      <c r="B818" s="1339"/>
      <c r="C818" s="1340"/>
      <c r="D818" s="1341"/>
      <c r="E818" s="1338"/>
      <c r="F818" s="1339"/>
      <c r="G818" s="1340"/>
      <c r="H818" s="1341"/>
      <c r="I818" s="1338"/>
      <c r="J818" s="1339"/>
      <c r="K818" s="1340"/>
      <c r="L818" s="1341"/>
      <c r="M818" s="1338"/>
      <c r="N818" s="1339"/>
      <c r="O818" s="1340"/>
      <c r="P818" s="1341"/>
      <c r="X818" s="1343" t="e">
        <f ca="1"/>
        <v>#NAME?</v>
      </c>
      <c r="Y818" s="1344" t="e">
        <f ca="1"/>
        <v>#NAME?</v>
      </c>
    </row>
    <row r="819" spans="1:25" x14ac:dyDescent="0.2">
      <c r="A819" s="1338"/>
      <c r="B819" s="1339"/>
      <c r="C819" s="1340"/>
      <c r="D819" s="1341"/>
      <c r="E819" s="1338"/>
      <c r="F819" s="1339"/>
      <c r="G819" s="1340"/>
      <c r="H819" s="1341"/>
      <c r="I819" s="1338"/>
      <c r="J819" s="1339"/>
      <c r="K819" s="1340"/>
      <c r="L819" s="1341"/>
      <c r="M819" s="1338"/>
      <c r="N819" s="1339"/>
      <c r="O819" s="1340"/>
      <c r="P819" s="1341"/>
      <c r="X819" s="1343" t="e">
        <f ca="1"/>
        <v>#NAME?</v>
      </c>
      <c r="Y819" s="1344" t="e">
        <f ca="1"/>
        <v>#NAME?</v>
      </c>
    </row>
    <row r="820" spans="1:25" x14ac:dyDescent="0.2">
      <c r="A820" s="1338"/>
      <c r="B820" s="1339"/>
      <c r="C820" s="1340"/>
      <c r="D820" s="1341"/>
      <c r="E820" s="1338"/>
      <c r="F820" s="1339"/>
      <c r="G820" s="1340"/>
      <c r="H820" s="1341"/>
      <c r="I820" s="1338"/>
      <c r="J820" s="1339"/>
      <c r="K820" s="1340"/>
      <c r="L820" s="1341"/>
      <c r="M820" s="1338"/>
      <c r="N820" s="1339"/>
      <c r="O820" s="1340"/>
      <c r="P820" s="1341"/>
      <c r="X820" s="1343" t="e">
        <f ca="1"/>
        <v>#NAME?</v>
      </c>
      <c r="Y820" s="1344" t="e">
        <f ca="1"/>
        <v>#NAME?</v>
      </c>
    </row>
    <row r="821" spans="1:25" x14ac:dyDescent="0.2">
      <c r="A821" s="1338"/>
      <c r="B821" s="1339"/>
      <c r="C821" s="1340"/>
      <c r="D821" s="1341"/>
      <c r="E821" s="1338"/>
      <c r="F821" s="1339"/>
      <c r="G821" s="1340"/>
      <c r="H821" s="1341"/>
      <c r="I821" s="1338"/>
      <c r="J821" s="1339"/>
      <c r="K821" s="1340"/>
      <c r="L821" s="1341"/>
      <c r="M821" s="1338"/>
      <c r="N821" s="1339"/>
      <c r="O821" s="1340"/>
      <c r="P821" s="1341"/>
      <c r="X821" s="1343" t="e">
        <f ca="1"/>
        <v>#NAME?</v>
      </c>
      <c r="Y821" s="1344" t="e">
        <f ca="1"/>
        <v>#NAME?</v>
      </c>
    </row>
    <row r="822" spans="1:25" x14ac:dyDescent="0.2">
      <c r="A822" s="1338"/>
      <c r="B822" s="1339"/>
      <c r="C822" s="1340"/>
      <c r="D822" s="1341"/>
      <c r="E822" s="1338"/>
      <c r="F822" s="1339"/>
      <c r="G822" s="1340"/>
      <c r="H822" s="1341"/>
      <c r="I822" s="1338"/>
      <c r="J822" s="1339"/>
      <c r="K822" s="1340"/>
      <c r="L822" s="1341"/>
      <c r="M822" s="1338"/>
      <c r="N822" s="1339"/>
      <c r="O822" s="1340"/>
      <c r="P822" s="1341"/>
      <c r="X822" s="1343" t="e">
        <f ca="1"/>
        <v>#NAME?</v>
      </c>
      <c r="Y822" s="1344" t="e">
        <f ca="1"/>
        <v>#NAME?</v>
      </c>
    </row>
    <row r="823" spans="1:25" x14ac:dyDescent="0.2">
      <c r="A823" s="1338"/>
      <c r="B823" s="1339"/>
      <c r="C823" s="1340"/>
      <c r="D823" s="1341"/>
      <c r="E823" s="1338"/>
      <c r="F823" s="1339"/>
      <c r="G823" s="1340"/>
      <c r="H823" s="1341"/>
      <c r="I823" s="1338"/>
      <c r="J823" s="1339"/>
      <c r="K823" s="1340"/>
      <c r="L823" s="1341"/>
      <c r="M823" s="1338"/>
      <c r="N823" s="1339"/>
      <c r="O823" s="1340"/>
      <c r="P823" s="1341"/>
      <c r="X823" s="1343" t="e">
        <f ca="1"/>
        <v>#NAME?</v>
      </c>
      <c r="Y823" s="1344" t="e">
        <f ca="1"/>
        <v>#NAME?</v>
      </c>
    </row>
    <row r="824" spans="1:25" x14ac:dyDescent="0.2">
      <c r="A824" s="1338"/>
      <c r="B824" s="1339"/>
      <c r="C824" s="1340"/>
      <c r="D824" s="1341"/>
      <c r="E824" s="1338"/>
      <c r="F824" s="1339"/>
      <c r="G824" s="1340"/>
      <c r="H824" s="1341"/>
      <c r="I824" s="1338"/>
      <c r="J824" s="1339"/>
      <c r="K824" s="1340"/>
      <c r="L824" s="1341"/>
      <c r="M824" s="1338"/>
      <c r="N824" s="1339"/>
      <c r="O824" s="1340"/>
      <c r="P824" s="1341"/>
      <c r="X824" s="1343" t="e">
        <f ca="1"/>
        <v>#NAME?</v>
      </c>
      <c r="Y824" s="1344" t="e">
        <f ca="1"/>
        <v>#NAME?</v>
      </c>
    </row>
    <row r="825" spans="1:25" x14ac:dyDescent="0.2">
      <c r="A825" s="1338"/>
      <c r="B825" s="1339"/>
      <c r="C825" s="1340"/>
      <c r="D825" s="1341"/>
      <c r="E825" s="1338"/>
      <c r="F825" s="1339"/>
      <c r="G825" s="1340"/>
      <c r="H825" s="1341"/>
      <c r="I825" s="1338"/>
      <c r="J825" s="1339"/>
      <c r="K825" s="1340"/>
      <c r="L825" s="1341"/>
      <c r="M825" s="1338"/>
      <c r="N825" s="1339"/>
      <c r="O825" s="1340"/>
      <c r="P825" s="1341"/>
      <c r="X825" s="1343" t="e">
        <f ca="1"/>
        <v>#NAME?</v>
      </c>
      <c r="Y825" s="1344" t="e">
        <f ca="1"/>
        <v>#NAME?</v>
      </c>
    </row>
    <row r="826" spans="1:25" x14ac:dyDescent="0.2">
      <c r="A826" s="1338"/>
      <c r="B826" s="1339"/>
      <c r="C826" s="1340"/>
      <c r="D826" s="1341"/>
      <c r="E826" s="1338"/>
      <c r="F826" s="1339"/>
      <c r="G826" s="1340"/>
      <c r="H826" s="1341"/>
      <c r="I826" s="1338"/>
      <c r="J826" s="1339"/>
      <c r="K826" s="1340"/>
      <c r="L826" s="1341"/>
      <c r="M826" s="1338"/>
      <c r="N826" s="1339"/>
      <c r="O826" s="1340"/>
      <c r="P826" s="1341"/>
      <c r="X826" s="1343" t="e">
        <f ca="1"/>
        <v>#NAME?</v>
      </c>
      <c r="Y826" s="1344" t="e">
        <f ca="1"/>
        <v>#NAME?</v>
      </c>
    </row>
    <row r="827" spans="1:25" x14ac:dyDescent="0.2">
      <c r="A827" s="1338"/>
      <c r="B827" s="1339"/>
      <c r="C827" s="1340"/>
      <c r="D827" s="1341"/>
      <c r="E827" s="1338"/>
      <c r="F827" s="1339"/>
      <c r="G827" s="1340"/>
      <c r="H827" s="1341"/>
      <c r="I827" s="1338"/>
      <c r="J827" s="1339"/>
      <c r="K827" s="1340"/>
      <c r="L827" s="1341"/>
      <c r="M827" s="1338"/>
      <c r="N827" s="1339"/>
      <c r="O827" s="1340"/>
      <c r="P827" s="1341"/>
      <c r="X827" s="1343" t="e">
        <f ca="1"/>
        <v>#NAME?</v>
      </c>
      <c r="Y827" s="1344" t="e">
        <f ca="1"/>
        <v>#NAME?</v>
      </c>
    </row>
    <row r="828" spans="1:25" x14ac:dyDescent="0.2">
      <c r="A828" s="1338"/>
      <c r="B828" s="1339"/>
      <c r="C828" s="1340"/>
      <c r="D828" s="1341"/>
      <c r="E828" s="1338"/>
      <c r="F828" s="1339"/>
      <c r="G828" s="1340"/>
      <c r="H828" s="1341"/>
      <c r="I828" s="1338"/>
      <c r="J828" s="1339"/>
      <c r="K828" s="1340"/>
      <c r="L828" s="1341"/>
      <c r="M828" s="1338"/>
      <c r="N828" s="1339"/>
      <c r="O828" s="1340"/>
      <c r="P828" s="1341"/>
      <c r="X828" s="1343" t="e">
        <f ca="1"/>
        <v>#NAME?</v>
      </c>
      <c r="Y828" s="1344" t="e">
        <f ca="1"/>
        <v>#NAME?</v>
      </c>
    </row>
    <row r="829" spans="1:25" x14ac:dyDescent="0.2">
      <c r="A829" s="1338"/>
      <c r="B829" s="1339"/>
      <c r="C829" s="1340"/>
      <c r="D829" s="1341"/>
      <c r="E829" s="1338"/>
      <c r="F829" s="1339"/>
      <c r="G829" s="1340"/>
      <c r="H829" s="1341"/>
      <c r="I829" s="1338"/>
      <c r="J829" s="1339"/>
      <c r="K829" s="1340"/>
      <c r="L829" s="1341"/>
      <c r="M829" s="1338"/>
      <c r="N829" s="1339"/>
      <c r="O829" s="1340"/>
      <c r="P829" s="1341"/>
      <c r="X829" s="1343" t="e">
        <f ca="1"/>
        <v>#NAME?</v>
      </c>
      <c r="Y829" s="1344" t="e">
        <f ca="1"/>
        <v>#NAME?</v>
      </c>
    </row>
    <row r="830" spans="1:25" x14ac:dyDescent="0.2">
      <c r="A830" s="1338"/>
      <c r="B830" s="1339"/>
      <c r="C830" s="1340"/>
      <c r="D830" s="1341"/>
      <c r="E830" s="1338"/>
      <c r="F830" s="1339"/>
      <c r="G830" s="1340"/>
      <c r="H830" s="1341"/>
      <c r="I830" s="1338"/>
      <c r="J830" s="1339"/>
      <c r="K830" s="1340"/>
      <c r="L830" s="1341"/>
      <c r="M830" s="1338"/>
      <c r="N830" s="1339"/>
      <c r="O830" s="1340"/>
      <c r="P830" s="1341"/>
      <c r="X830" s="1343" t="e">
        <f ca="1"/>
        <v>#NAME?</v>
      </c>
      <c r="Y830" s="1344" t="e">
        <f ca="1"/>
        <v>#NAME?</v>
      </c>
    </row>
    <row r="831" spans="1:25" x14ac:dyDescent="0.2">
      <c r="A831" s="1338"/>
      <c r="B831" s="1339"/>
      <c r="C831" s="1340"/>
      <c r="D831" s="1341"/>
      <c r="E831" s="1338"/>
      <c r="F831" s="1339"/>
      <c r="G831" s="1340"/>
      <c r="H831" s="1341"/>
      <c r="I831" s="1338"/>
      <c r="J831" s="1339"/>
      <c r="K831" s="1340"/>
      <c r="L831" s="1341"/>
      <c r="M831" s="1338"/>
      <c r="N831" s="1339"/>
      <c r="O831" s="1340"/>
      <c r="P831" s="1341"/>
      <c r="X831" s="1343" t="e">
        <f ca="1"/>
        <v>#NAME?</v>
      </c>
      <c r="Y831" s="1344" t="e">
        <f ca="1"/>
        <v>#NAME?</v>
      </c>
    </row>
    <row r="832" spans="1:25" x14ac:dyDescent="0.2">
      <c r="A832" s="1338"/>
      <c r="B832" s="1339"/>
      <c r="C832" s="1340"/>
      <c r="D832" s="1341"/>
      <c r="E832" s="1338"/>
      <c r="F832" s="1339"/>
      <c r="G832" s="1340"/>
      <c r="H832" s="1341"/>
      <c r="I832" s="1338"/>
      <c r="J832" s="1339"/>
      <c r="K832" s="1340"/>
      <c r="L832" s="1341"/>
      <c r="M832" s="1338"/>
      <c r="N832" s="1339"/>
      <c r="O832" s="1340"/>
      <c r="P832" s="1341"/>
      <c r="X832" s="1343" t="e">
        <f ca="1"/>
        <v>#NAME?</v>
      </c>
      <c r="Y832" s="1344" t="e">
        <f ca="1"/>
        <v>#NAME?</v>
      </c>
    </row>
    <row r="833" spans="1:25" x14ac:dyDescent="0.2">
      <c r="A833" s="1338"/>
      <c r="B833" s="1339"/>
      <c r="C833" s="1340"/>
      <c r="D833" s="1341"/>
      <c r="E833" s="1338"/>
      <c r="F833" s="1339"/>
      <c r="G833" s="1340"/>
      <c r="H833" s="1341"/>
      <c r="I833" s="1338"/>
      <c r="J833" s="1339"/>
      <c r="K833" s="1340"/>
      <c r="L833" s="1341"/>
      <c r="M833" s="1338"/>
      <c r="N833" s="1339"/>
      <c r="O833" s="1340"/>
      <c r="P833" s="1341"/>
      <c r="X833" s="1343" t="e">
        <f ca="1"/>
        <v>#NAME?</v>
      </c>
      <c r="Y833" s="1344" t="e">
        <f ca="1"/>
        <v>#NAME?</v>
      </c>
    </row>
    <row r="834" spans="1:25" x14ac:dyDescent="0.2">
      <c r="A834" s="1338"/>
      <c r="B834" s="1339"/>
      <c r="C834" s="1340"/>
      <c r="D834" s="1341"/>
      <c r="E834" s="1338"/>
      <c r="F834" s="1339"/>
      <c r="G834" s="1340"/>
      <c r="H834" s="1341"/>
      <c r="I834" s="1338"/>
      <c r="J834" s="1339"/>
      <c r="K834" s="1340"/>
      <c r="L834" s="1341"/>
      <c r="M834" s="1338"/>
      <c r="N834" s="1339"/>
      <c r="O834" s="1340"/>
      <c r="P834" s="1341"/>
      <c r="X834" s="1343" t="e">
        <f ca="1"/>
        <v>#NAME?</v>
      </c>
      <c r="Y834" s="1344" t="e">
        <f ca="1"/>
        <v>#NAME?</v>
      </c>
    </row>
    <row r="835" spans="1:25" x14ac:dyDescent="0.2">
      <c r="A835" s="1338"/>
      <c r="B835" s="1339"/>
      <c r="C835" s="1340"/>
      <c r="D835" s="1341"/>
      <c r="E835" s="1338"/>
      <c r="F835" s="1339"/>
      <c r="G835" s="1340"/>
      <c r="H835" s="1341"/>
      <c r="I835" s="1338"/>
      <c r="J835" s="1339"/>
      <c r="K835" s="1340"/>
      <c r="L835" s="1341"/>
      <c r="M835" s="1338"/>
      <c r="N835" s="1339"/>
      <c r="O835" s="1340"/>
      <c r="P835" s="1341"/>
      <c r="X835" s="1343" t="e">
        <f ca="1"/>
        <v>#NAME?</v>
      </c>
      <c r="Y835" s="1344" t="e">
        <f ca="1"/>
        <v>#NAME?</v>
      </c>
    </row>
    <row r="836" spans="1:25" x14ac:dyDescent="0.2">
      <c r="A836" s="1338"/>
      <c r="B836" s="1339"/>
      <c r="C836" s="1340"/>
      <c r="D836" s="1341"/>
      <c r="E836" s="1338"/>
      <c r="F836" s="1339"/>
      <c r="G836" s="1340"/>
      <c r="H836" s="1341"/>
      <c r="I836" s="1338"/>
      <c r="J836" s="1339"/>
      <c r="K836" s="1340"/>
      <c r="L836" s="1341"/>
      <c r="M836" s="1338"/>
      <c r="N836" s="1339"/>
      <c r="O836" s="1340"/>
      <c r="P836" s="1341"/>
      <c r="X836" s="1343" t="e">
        <f ca="1"/>
        <v>#NAME?</v>
      </c>
      <c r="Y836" s="1344" t="e">
        <f ca="1"/>
        <v>#NAME?</v>
      </c>
    </row>
    <row r="837" spans="1:25" x14ac:dyDescent="0.2">
      <c r="A837" s="1338"/>
      <c r="B837" s="1339"/>
      <c r="C837" s="1340"/>
      <c r="D837" s="1341"/>
      <c r="E837" s="1338"/>
      <c r="F837" s="1339"/>
      <c r="G837" s="1340"/>
      <c r="H837" s="1341"/>
      <c r="I837" s="1338"/>
      <c r="J837" s="1339"/>
      <c r="K837" s="1340"/>
      <c r="L837" s="1341"/>
      <c r="M837" s="1338"/>
      <c r="N837" s="1339"/>
      <c r="O837" s="1340"/>
      <c r="P837" s="1341"/>
      <c r="X837" s="1343" t="e">
        <f ca="1"/>
        <v>#NAME?</v>
      </c>
      <c r="Y837" s="1344" t="e">
        <f ca="1"/>
        <v>#NAME?</v>
      </c>
    </row>
    <row r="838" spans="1:25" x14ac:dyDescent="0.2">
      <c r="A838" s="1338"/>
      <c r="B838" s="1339"/>
      <c r="C838" s="1340"/>
      <c r="D838" s="1341"/>
      <c r="E838" s="1338"/>
      <c r="F838" s="1339"/>
      <c r="G838" s="1340"/>
      <c r="H838" s="1341"/>
      <c r="I838" s="1338"/>
      <c r="J838" s="1339"/>
      <c r="K838" s="1340"/>
      <c r="L838" s="1341"/>
      <c r="M838" s="1338"/>
      <c r="N838" s="1339"/>
      <c r="O838" s="1340"/>
      <c r="P838" s="1341"/>
      <c r="X838" s="1343" t="e">
        <f ca="1"/>
        <v>#NAME?</v>
      </c>
      <c r="Y838" s="1344" t="e">
        <f ca="1"/>
        <v>#NAME?</v>
      </c>
    </row>
    <row r="839" spans="1:25" x14ac:dyDescent="0.2">
      <c r="A839" s="1338"/>
      <c r="B839" s="1339"/>
      <c r="C839" s="1340"/>
      <c r="D839" s="1341"/>
      <c r="E839" s="1338"/>
      <c r="F839" s="1339"/>
      <c r="G839" s="1340"/>
      <c r="H839" s="1341"/>
      <c r="I839" s="1338"/>
      <c r="J839" s="1339"/>
      <c r="K839" s="1340"/>
      <c r="L839" s="1341"/>
      <c r="M839" s="1338"/>
      <c r="N839" s="1339"/>
      <c r="O839" s="1340"/>
      <c r="P839" s="1341"/>
      <c r="X839" s="1343" t="e">
        <f ca="1"/>
        <v>#NAME?</v>
      </c>
      <c r="Y839" s="1344" t="e">
        <f ca="1"/>
        <v>#NAME?</v>
      </c>
    </row>
    <row r="840" spans="1:25" x14ac:dyDescent="0.2">
      <c r="A840" s="1338"/>
      <c r="B840" s="1339"/>
      <c r="C840" s="1340"/>
      <c r="D840" s="1341"/>
      <c r="E840" s="1338"/>
      <c r="F840" s="1339"/>
      <c r="G840" s="1340"/>
      <c r="H840" s="1341"/>
      <c r="I840" s="1338"/>
      <c r="J840" s="1339"/>
      <c r="K840" s="1340"/>
      <c r="L840" s="1341"/>
      <c r="M840" s="1338"/>
      <c r="N840" s="1339"/>
      <c r="O840" s="1340"/>
      <c r="P840" s="1341"/>
      <c r="X840" s="1343" t="e">
        <f ca="1"/>
        <v>#NAME?</v>
      </c>
      <c r="Y840" s="1344" t="e">
        <f ca="1"/>
        <v>#NAME?</v>
      </c>
    </row>
    <row r="841" spans="1:25" x14ac:dyDescent="0.2">
      <c r="A841" s="1338"/>
      <c r="B841" s="1339"/>
      <c r="C841" s="1340"/>
      <c r="D841" s="1341"/>
      <c r="E841" s="1338"/>
      <c r="F841" s="1339"/>
      <c r="G841" s="1340"/>
      <c r="H841" s="1341"/>
      <c r="I841" s="1338"/>
      <c r="J841" s="1339"/>
      <c r="K841" s="1340"/>
      <c r="L841" s="1341"/>
      <c r="M841" s="1338"/>
      <c r="N841" s="1339"/>
      <c r="O841" s="1340"/>
      <c r="P841" s="1341"/>
      <c r="X841" s="1343" t="e">
        <f ca="1"/>
        <v>#NAME?</v>
      </c>
      <c r="Y841" s="1344" t="e">
        <f ca="1"/>
        <v>#NAME?</v>
      </c>
    </row>
    <row r="842" spans="1:25" x14ac:dyDescent="0.2">
      <c r="A842" s="1338"/>
      <c r="B842" s="1339"/>
      <c r="C842" s="1340"/>
      <c r="D842" s="1341"/>
      <c r="E842" s="1338"/>
      <c r="F842" s="1339"/>
      <c r="G842" s="1340"/>
      <c r="H842" s="1341"/>
      <c r="I842" s="1338"/>
      <c r="J842" s="1339"/>
      <c r="K842" s="1340"/>
      <c r="L842" s="1341"/>
      <c r="M842" s="1338"/>
      <c r="N842" s="1339"/>
      <c r="O842" s="1340"/>
      <c r="P842" s="1341"/>
      <c r="X842" s="1343" t="e">
        <f ca="1"/>
        <v>#NAME?</v>
      </c>
      <c r="Y842" s="1344" t="e">
        <f ca="1"/>
        <v>#NAME?</v>
      </c>
    </row>
    <row r="843" spans="1:25" x14ac:dyDescent="0.2">
      <c r="A843" s="1338"/>
      <c r="B843" s="1339"/>
      <c r="C843" s="1340"/>
      <c r="D843" s="1341"/>
      <c r="E843" s="1338"/>
      <c r="F843" s="1339"/>
      <c r="G843" s="1340"/>
      <c r="H843" s="1341"/>
      <c r="I843" s="1338"/>
      <c r="J843" s="1339"/>
      <c r="K843" s="1340"/>
      <c r="L843" s="1341"/>
      <c r="M843" s="1338"/>
      <c r="N843" s="1339"/>
      <c r="O843" s="1340"/>
      <c r="P843" s="1341"/>
      <c r="X843" s="1343" t="e">
        <f ca="1"/>
        <v>#NAME?</v>
      </c>
      <c r="Y843" s="1344" t="e">
        <f ca="1"/>
        <v>#NAME?</v>
      </c>
    </row>
    <row r="844" spans="1:25" x14ac:dyDescent="0.2">
      <c r="A844" s="1338"/>
      <c r="B844" s="1339"/>
      <c r="C844" s="1340"/>
      <c r="D844" s="1341"/>
      <c r="E844" s="1338"/>
      <c r="F844" s="1339"/>
      <c r="G844" s="1340"/>
      <c r="H844" s="1341"/>
      <c r="I844" s="1338"/>
      <c r="J844" s="1339"/>
      <c r="K844" s="1340"/>
      <c r="L844" s="1341"/>
      <c r="M844" s="1338"/>
      <c r="N844" s="1339"/>
      <c r="O844" s="1340"/>
      <c r="P844" s="1341"/>
      <c r="X844" s="1343" t="e">
        <f ca="1"/>
        <v>#NAME?</v>
      </c>
      <c r="Y844" s="1344" t="e">
        <f ca="1"/>
        <v>#NAME?</v>
      </c>
    </row>
    <row r="845" spans="1:25" x14ac:dyDescent="0.2">
      <c r="A845" s="1338"/>
      <c r="B845" s="1339"/>
      <c r="C845" s="1340"/>
      <c r="D845" s="1341"/>
      <c r="E845" s="1338"/>
      <c r="F845" s="1339"/>
      <c r="G845" s="1340"/>
      <c r="H845" s="1341"/>
      <c r="I845" s="1338"/>
      <c r="J845" s="1339"/>
      <c r="K845" s="1340"/>
      <c r="L845" s="1341"/>
      <c r="M845" s="1338"/>
      <c r="N845" s="1339"/>
      <c r="O845" s="1340"/>
      <c r="P845" s="1341"/>
      <c r="X845" s="1343" t="e">
        <f ca="1"/>
        <v>#NAME?</v>
      </c>
      <c r="Y845" s="1344" t="e">
        <f ca="1"/>
        <v>#NAME?</v>
      </c>
    </row>
    <row r="846" spans="1:25" x14ac:dyDescent="0.2">
      <c r="A846" s="1338"/>
      <c r="B846" s="1339"/>
      <c r="C846" s="1340"/>
      <c r="D846" s="1341"/>
      <c r="E846" s="1338"/>
      <c r="F846" s="1339"/>
      <c r="G846" s="1340"/>
      <c r="H846" s="1341"/>
      <c r="I846" s="1338"/>
      <c r="J846" s="1339"/>
      <c r="K846" s="1340"/>
      <c r="L846" s="1341"/>
      <c r="M846" s="1338"/>
      <c r="N846" s="1339"/>
      <c r="O846" s="1340"/>
      <c r="P846" s="1341"/>
      <c r="X846" s="1343" t="e">
        <f ca="1"/>
        <v>#NAME?</v>
      </c>
      <c r="Y846" s="1344" t="e">
        <f ca="1"/>
        <v>#NAME?</v>
      </c>
    </row>
    <row r="847" spans="1:25" x14ac:dyDescent="0.2">
      <c r="A847" s="1338"/>
      <c r="B847" s="1339"/>
      <c r="C847" s="1340"/>
      <c r="D847" s="1341"/>
      <c r="E847" s="1338"/>
      <c r="F847" s="1339"/>
      <c r="G847" s="1340"/>
      <c r="H847" s="1341"/>
      <c r="I847" s="1338"/>
      <c r="J847" s="1339"/>
      <c r="K847" s="1340"/>
      <c r="L847" s="1341"/>
      <c r="M847" s="1338"/>
      <c r="N847" s="1339"/>
      <c r="O847" s="1340"/>
      <c r="P847" s="1341"/>
      <c r="X847" s="1343" t="e">
        <f ca="1"/>
        <v>#NAME?</v>
      </c>
      <c r="Y847" s="1344" t="e">
        <f ca="1"/>
        <v>#NAME?</v>
      </c>
    </row>
    <row r="848" spans="1:25" x14ac:dyDescent="0.2">
      <c r="A848" s="1338"/>
      <c r="B848" s="1339"/>
      <c r="C848" s="1340"/>
      <c r="D848" s="1341"/>
      <c r="E848" s="1338"/>
      <c r="F848" s="1339"/>
      <c r="G848" s="1340"/>
      <c r="H848" s="1341"/>
      <c r="I848" s="1338"/>
      <c r="J848" s="1339"/>
      <c r="K848" s="1340"/>
      <c r="L848" s="1341"/>
      <c r="M848" s="1338"/>
      <c r="N848" s="1339"/>
      <c r="O848" s="1340"/>
      <c r="P848" s="1341"/>
      <c r="X848" s="1343" t="e">
        <f ca="1"/>
        <v>#NAME?</v>
      </c>
      <c r="Y848" s="1344" t="e">
        <f ca="1"/>
        <v>#NAME?</v>
      </c>
    </row>
    <row r="849" spans="1:25" x14ac:dyDescent="0.2">
      <c r="A849" s="1338"/>
      <c r="B849" s="1339"/>
      <c r="C849" s="1340"/>
      <c r="D849" s="1341"/>
      <c r="E849" s="1338"/>
      <c r="F849" s="1339"/>
      <c r="G849" s="1340"/>
      <c r="H849" s="1341"/>
      <c r="I849" s="1338"/>
      <c r="J849" s="1339"/>
      <c r="K849" s="1340"/>
      <c r="L849" s="1341"/>
      <c r="M849" s="1338"/>
      <c r="N849" s="1339"/>
      <c r="O849" s="1340"/>
      <c r="P849" s="1341"/>
      <c r="X849" s="1343" t="e">
        <f ca="1"/>
        <v>#NAME?</v>
      </c>
      <c r="Y849" s="1344" t="e">
        <f ca="1"/>
        <v>#NAME?</v>
      </c>
    </row>
    <row r="850" spans="1:25" x14ac:dyDescent="0.2">
      <c r="A850" s="1338"/>
      <c r="B850" s="1339"/>
      <c r="C850" s="1340"/>
      <c r="D850" s="1341"/>
      <c r="E850" s="1338"/>
      <c r="F850" s="1339"/>
      <c r="G850" s="1340"/>
      <c r="H850" s="1341"/>
      <c r="I850" s="1338"/>
      <c r="J850" s="1339"/>
      <c r="K850" s="1340"/>
      <c r="L850" s="1341"/>
      <c r="M850" s="1338"/>
      <c r="N850" s="1339"/>
      <c r="O850" s="1340"/>
      <c r="P850" s="1341"/>
      <c r="X850" s="1343" t="e">
        <f ca="1"/>
        <v>#NAME?</v>
      </c>
      <c r="Y850" s="1344" t="e">
        <f ca="1"/>
        <v>#NAME?</v>
      </c>
    </row>
    <row r="851" spans="1:25" x14ac:dyDescent="0.2">
      <c r="A851" s="1338"/>
      <c r="B851" s="1339"/>
      <c r="C851" s="1340"/>
      <c r="D851" s="1341"/>
      <c r="E851" s="1338"/>
      <c r="F851" s="1339"/>
      <c r="G851" s="1340"/>
      <c r="H851" s="1341"/>
      <c r="I851" s="1338"/>
      <c r="J851" s="1339"/>
      <c r="K851" s="1340"/>
      <c r="L851" s="1341"/>
      <c r="M851" s="1338"/>
      <c r="N851" s="1339"/>
      <c r="O851" s="1340"/>
      <c r="P851" s="1341"/>
      <c r="X851" s="1343" t="e">
        <f ca="1"/>
        <v>#NAME?</v>
      </c>
      <c r="Y851" s="1344" t="e">
        <f ca="1"/>
        <v>#NAME?</v>
      </c>
    </row>
    <row r="852" spans="1:25" x14ac:dyDescent="0.2">
      <c r="A852" s="1338"/>
      <c r="B852" s="1339"/>
      <c r="C852" s="1340"/>
      <c r="D852" s="1341"/>
      <c r="E852" s="1338"/>
      <c r="F852" s="1339"/>
      <c r="G852" s="1340"/>
      <c r="H852" s="1341"/>
      <c r="I852" s="1338"/>
      <c r="J852" s="1339"/>
      <c r="K852" s="1340"/>
      <c r="L852" s="1341"/>
      <c r="M852" s="1338"/>
      <c r="N852" s="1339"/>
      <c r="O852" s="1340"/>
      <c r="P852" s="1341"/>
      <c r="X852" s="1343" t="e">
        <f ca="1"/>
        <v>#NAME?</v>
      </c>
      <c r="Y852" s="1344" t="e">
        <f ca="1"/>
        <v>#NAME?</v>
      </c>
    </row>
    <row r="853" spans="1:25" x14ac:dyDescent="0.2">
      <c r="A853" s="1338"/>
      <c r="B853" s="1339"/>
      <c r="C853" s="1340"/>
      <c r="D853" s="1341"/>
      <c r="E853" s="1338"/>
      <c r="F853" s="1339"/>
      <c r="G853" s="1340"/>
      <c r="H853" s="1341"/>
      <c r="I853" s="1338"/>
      <c r="J853" s="1339"/>
      <c r="K853" s="1340"/>
      <c r="L853" s="1341"/>
      <c r="M853" s="1338"/>
      <c r="N853" s="1339"/>
      <c r="O853" s="1340"/>
      <c r="P853" s="1341"/>
      <c r="X853" s="1343" t="e">
        <f ca="1"/>
        <v>#NAME?</v>
      </c>
      <c r="Y853" s="1344" t="e">
        <f ca="1"/>
        <v>#NAME?</v>
      </c>
    </row>
    <row r="854" spans="1:25" x14ac:dyDescent="0.2">
      <c r="A854" s="1338"/>
      <c r="B854" s="1339"/>
      <c r="C854" s="1340"/>
      <c r="D854" s="1341"/>
      <c r="E854" s="1338"/>
      <c r="F854" s="1339"/>
      <c r="G854" s="1340"/>
      <c r="H854" s="1341"/>
      <c r="I854" s="1338"/>
      <c r="J854" s="1339"/>
      <c r="K854" s="1340"/>
      <c r="L854" s="1341"/>
      <c r="M854" s="1338"/>
      <c r="N854" s="1339"/>
      <c r="O854" s="1340"/>
      <c r="P854" s="1341"/>
      <c r="X854" s="1343" t="e">
        <f ca="1"/>
        <v>#NAME?</v>
      </c>
      <c r="Y854" s="1344" t="e">
        <f ca="1"/>
        <v>#NAME?</v>
      </c>
    </row>
    <row r="855" spans="1:25" x14ac:dyDescent="0.2">
      <c r="A855" s="1338"/>
      <c r="B855" s="1339"/>
      <c r="C855" s="1340"/>
      <c r="D855" s="1341"/>
      <c r="E855" s="1338"/>
      <c r="F855" s="1339"/>
      <c r="G855" s="1340"/>
      <c r="H855" s="1341"/>
      <c r="I855" s="1338"/>
      <c r="J855" s="1339"/>
      <c r="K855" s="1340"/>
      <c r="L855" s="1341"/>
      <c r="M855" s="1338"/>
      <c r="N855" s="1339"/>
      <c r="O855" s="1340"/>
      <c r="P855" s="1341"/>
      <c r="X855" s="1343" t="e">
        <f ca="1"/>
        <v>#NAME?</v>
      </c>
      <c r="Y855" s="1344" t="e">
        <f ca="1"/>
        <v>#NAME?</v>
      </c>
    </row>
    <row r="856" spans="1:25" x14ac:dyDescent="0.2">
      <c r="A856" s="1338"/>
      <c r="B856" s="1339"/>
      <c r="C856" s="1340"/>
      <c r="D856" s="1341"/>
      <c r="E856" s="1338"/>
      <c r="F856" s="1339"/>
      <c r="G856" s="1340"/>
      <c r="H856" s="1341"/>
      <c r="I856" s="1338"/>
      <c r="J856" s="1339"/>
      <c r="K856" s="1340"/>
      <c r="L856" s="1341"/>
      <c r="M856" s="1338"/>
      <c r="N856" s="1339"/>
      <c r="O856" s="1340"/>
      <c r="P856" s="1341"/>
      <c r="X856" s="1343" t="e">
        <f ca="1"/>
        <v>#NAME?</v>
      </c>
      <c r="Y856" s="1344" t="e">
        <f ca="1"/>
        <v>#NAME?</v>
      </c>
    </row>
    <row r="857" spans="1:25" x14ac:dyDescent="0.2">
      <c r="A857" s="1338"/>
      <c r="B857" s="1339"/>
      <c r="C857" s="1340"/>
      <c r="D857" s="1341"/>
      <c r="E857" s="1338"/>
      <c r="F857" s="1339"/>
      <c r="G857" s="1340"/>
      <c r="H857" s="1341"/>
      <c r="I857" s="1338"/>
      <c r="J857" s="1339"/>
      <c r="K857" s="1340"/>
      <c r="L857" s="1341"/>
      <c r="M857" s="1338"/>
      <c r="N857" s="1339"/>
      <c r="O857" s="1340"/>
      <c r="P857" s="1341"/>
      <c r="X857" s="1343" t="e">
        <f ca="1"/>
        <v>#NAME?</v>
      </c>
      <c r="Y857" s="1344" t="e">
        <f ca="1"/>
        <v>#NAME?</v>
      </c>
    </row>
    <row r="858" spans="1:25" x14ac:dyDescent="0.2">
      <c r="A858" s="1338"/>
      <c r="B858" s="1339"/>
      <c r="C858" s="1340"/>
      <c r="D858" s="1341"/>
      <c r="E858" s="1338"/>
      <c r="F858" s="1339"/>
      <c r="G858" s="1340"/>
      <c r="H858" s="1341"/>
      <c r="I858" s="1338"/>
      <c r="J858" s="1339"/>
      <c r="K858" s="1340"/>
      <c r="L858" s="1341"/>
      <c r="M858" s="1338"/>
      <c r="N858" s="1339"/>
      <c r="O858" s="1340"/>
      <c r="P858" s="1341"/>
      <c r="X858" s="1343" t="e">
        <f ca="1"/>
        <v>#NAME?</v>
      </c>
      <c r="Y858" s="1344" t="e">
        <f ca="1"/>
        <v>#NAME?</v>
      </c>
    </row>
    <row r="859" spans="1:25" x14ac:dyDescent="0.2">
      <c r="A859" s="1338"/>
      <c r="B859" s="1339"/>
      <c r="C859" s="1340"/>
      <c r="D859" s="1341"/>
      <c r="E859" s="1338"/>
      <c r="F859" s="1339"/>
      <c r="G859" s="1340"/>
      <c r="H859" s="1341"/>
      <c r="I859" s="1338"/>
      <c r="J859" s="1339"/>
      <c r="K859" s="1340"/>
      <c r="L859" s="1341"/>
      <c r="M859" s="1338"/>
      <c r="N859" s="1339"/>
      <c r="O859" s="1340"/>
      <c r="P859" s="1341"/>
      <c r="X859" s="1343" t="e">
        <f ca="1"/>
        <v>#NAME?</v>
      </c>
      <c r="Y859" s="1344" t="e">
        <f ca="1"/>
        <v>#NAME?</v>
      </c>
    </row>
    <row r="860" spans="1:25" x14ac:dyDescent="0.2">
      <c r="A860" s="1338"/>
      <c r="B860" s="1339"/>
      <c r="C860" s="1340"/>
      <c r="D860" s="1341"/>
      <c r="E860" s="1338"/>
      <c r="F860" s="1339"/>
      <c r="G860" s="1340"/>
      <c r="H860" s="1341"/>
      <c r="I860" s="1338"/>
      <c r="J860" s="1339"/>
      <c r="K860" s="1340"/>
      <c r="L860" s="1341"/>
      <c r="M860" s="1338"/>
      <c r="N860" s="1339"/>
      <c r="O860" s="1340"/>
      <c r="P860" s="1341"/>
      <c r="X860" s="1343" t="e">
        <f ca="1"/>
        <v>#NAME?</v>
      </c>
      <c r="Y860" s="1344" t="e">
        <f ca="1"/>
        <v>#NAME?</v>
      </c>
    </row>
    <row r="861" spans="1:25" x14ac:dyDescent="0.2">
      <c r="A861" s="1338"/>
      <c r="B861" s="1339"/>
      <c r="C861" s="1340"/>
      <c r="D861" s="1341"/>
      <c r="E861" s="1338"/>
      <c r="F861" s="1339"/>
      <c r="G861" s="1340"/>
      <c r="H861" s="1341"/>
      <c r="I861" s="1338"/>
      <c r="J861" s="1339"/>
      <c r="K861" s="1340"/>
      <c r="L861" s="1341"/>
      <c r="M861" s="1338"/>
      <c r="N861" s="1339"/>
      <c r="O861" s="1340"/>
      <c r="P861" s="1341"/>
      <c r="X861" s="1343" t="e">
        <f ca="1"/>
        <v>#NAME?</v>
      </c>
      <c r="Y861" s="1344" t="e">
        <f ca="1"/>
        <v>#NAME?</v>
      </c>
    </row>
    <row r="862" spans="1:25" x14ac:dyDescent="0.2">
      <c r="A862" s="1338"/>
      <c r="B862" s="1339"/>
      <c r="C862" s="1340"/>
      <c r="D862" s="1341"/>
      <c r="E862" s="1338"/>
      <c r="F862" s="1339"/>
      <c r="G862" s="1340"/>
      <c r="H862" s="1341"/>
      <c r="I862" s="1338"/>
      <c r="J862" s="1339"/>
      <c r="K862" s="1340"/>
      <c r="L862" s="1341"/>
      <c r="M862" s="1338"/>
      <c r="N862" s="1339"/>
      <c r="O862" s="1340"/>
      <c r="P862" s="1341"/>
      <c r="X862" s="1343" t="e">
        <f ca="1"/>
        <v>#NAME?</v>
      </c>
      <c r="Y862" s="1344" t="e">
        <f ca="1"/>
        <v>#NAME?</v>
      </c>
    </row>
    <row r="863" spans="1:25" x14ac:dyDescent="0.2">
      <c r="A863" s="1338"/>
      <c r="B863" s="1339"/>
      <c r="C863" s="1340"/>
      <c r="D863" s="1341"/>
      <c r="E863" s="1338"/>
      <c r="F863" s="1339"/>
      <c r="G863" s="1340"/>
      <c r="H863" s="1341"/>
      <c r="I863" s="1338"/>
      <c r="J863" s="1339"/>
      <c r="K863" s="1340"/>
      <c r="L863" s="1341"/>
      <c r="M863" s="1338"/>
      <c r="N863" s="1339"/>
      <c r="O863" s="1340"/>
      <c r="P863" s="1341"/>
      <c r="X863" s="1343" t="e">
        <f ca="1"/>
        <v>#NAME?</v>
      </c>
      <c r="Y863" s="1344" t="e">
        <f ca="1"/>
        <v>#NAME?</v>
      </c>
    </row>
    <row r="864" spans="1:25" x14ac:dyDescent="0.2">
      <c r="A864" s="1338"/>
      <c r="B864" s="1339"/>
      <c r="C864" s="1340"/>
      <c r="D864" s="1341"/>
      <c r="E864" s="1338"/>
      <c r="F864" s="1339"/>
      <c r="G864" s="1340"/>
      <c r="H864" s="1341"/>
      <c r="I864" s="1338"/>
      <c r="J864" s="1339"/>
      <c r="K864" s="1340"/>
      <c r="L864" s="1341"/>
      <c r="M864" s="1338"/>
      <c r="N864" s="1339"/>
      <c r="O864" s="1340"/>
      <c r="P864" s="1341"/>
      <c r="X864" s="1343" t="e">
        <f ca="1"/>
        <v>#NAME?</v>
      </c>
      <c r="Y864" s="1344" t="e">
        <f ca="1"/>
        <v>#NAME?</v>
      </c>
    </row>
    <row r="865" spans="1:25" x14ac:dyDescent="0.2">
      <c r="A865" s="1338"/>
      <c r="B865" s="1339"/>
      <c r="C865" s="1340"/>
      <c r="D865" s="1341"/>
      <c r="E865" s="1338"/>
      <c r="F865" s="1339"/>
      <c r="G865" s="1340"/>
      <c r="H865" s="1341"/>
      <c r="I865" s="1338"/>
      <c r="J865" s="1339"/>
      <c r="K865" s="1340"/>
      <c r="L865" s="1341"/>
      <c r="M865" s="1338"/>
      <c r="N865" s="1339"/>
      <c r="O865" s="1340"/>
      <c r="P865" s="1341"/>
      <c r="X865" s="1343" t="e">
        <f ca="1"/>
        <v>#NAME?</v>
      </c>
      <c r="Y865" s="1344" t="e">
        <f ca="1"/>
        <v>#NAME?</v>
      </c>
    </row>
    <row r="866" spans="1:25" x14ac:dyDescent="0.2">
      <c r="A866" s="1338"/>
      <c r="B866" s="1339"/>
      <c r="C866" s="1340"/>
      <c r="D866" s="1341"/>
      <c r="E866" s="1338"/>
      <c r="F866" s="1339"/>
      <c r="G866" s="1340"/>
      <c r="H866" s="1341"/>
      <c r="I866" s="1338"/>
      <c r="J866" s="1339"/>
      <c r="K866" s="1340"/>
      <c r="L866" s="1341"/>
      <c r="M866" s="1338"/>
      <c r="N866" s="1339"/>
      <c r="O866" s="1340"/>
      <c r="P866" s="1341"/>
      <c r="X866" s="1343" t="e">
        <f ca="1"/>
        <v>#NAME?</v>
      </c>
      <c r="Y866" s="1344" t="e">
        <f ca="1"/>
        <v>#NAME?</v>
      </c>
    </row>
    <row r="867" spans="1:25" x14ac:dyDescent="0.2">
      <c r="A867" s="1338"/>
      <c r="B867" s="1339"/>
      <c r="C867" s="1340"/>
      <c r="D867" s="1341"/>
      <c r="E867" s="1338"/>
      <c r="F867" s="1339"/>
      <c r="G867" s="1340"/>
      <c r="H867" s="1341"/>
      <c r="I867" s="1338"/>
      <c r="J867" s="1339"/>
      <c r="K867" s="1340"/>
      <c r="L867" s="1341"/>
      <c r="M867" s="1338"/>
      <c r="N867" s="1339"/>
      <c r="O867" s="1340"/>
      <c r="P867" s="1341"/>
      <c r="X867" s="1343" t="e">
        <f ca="1"/>
        <v>#NAME?</v>
      </c>
      <c r="Y867" s="1344" t="e">
        <f ca="1"/>
        <v>#NAME?</v>
      </c>
    </row>
    <row r="868" spans="1:25" x14ac:dyDescent="0.2">
      <c r="A868" s="1338"/>
      <c r="B868" s="1339"/>
      <c r="C868" s="1340"/>
      <c r="D868" s="1341"/>
      <c r="E868" s="1338"/>
      <c r="F868" s="1339"/>
      <c r="G868" s="1340"/>
      <c r="H868" s="1341"/>
      <c r="I868" s="1338"/>
      <c r="J868" s="1339"/>
      <c r="K868" s="1340"/>
      <c r="L868" s="1341"/>
      <c r="M868" s="1338"/>
      <c r="N868" s="1339"/>
      <c r="O868" s="1340"/>
      <c r="P868" s="1341"/>
      <c r="X868" s="1343" t="e">
        <f ca="1"/>
        <v>#NAME?</v>
      </c>
      <c r="Y868" s="1344" t="e">
        <f ca="1"/>
        <v>#NAME?</v>
      </c>
    </row>
    <row r="869" spans="1:25" x14ac:dyDescent="0.2">
      <c r="A869" s="1338"/>
      <c r="B869" s="1339"/>
      <c r="C869" s="1340"/>
      <c r="D869" s="1341"/>
      <c r="E869" s="1338"/>
      <c r="F869" s="1339"/>
      <c r="G869" s="1340"/>
      <c r="H869" s="1341"/>
      <c r="I869" s="1338"/>
      <c r="J869" s="1339"/>
      <c r="K869" s="1340"/>
      <c r="L869" s="1341"/>
      <c r="M869" s="1338"/>
      <c r="N869" s="1339"/>
      <c r="O869" s="1340"/>
      <c r="P869" s="1341"/>
      <c r="X869" s="1343" t="e">
        <f ca="1"/>
        <v>#NAME?</v>
      </c>
      <c r="Y869" s="1344" t="e">
        <f ca="1"/>
        <v>#NAME?</v>
      </c>
    </row>
    <row r="870" spans="1:25" x14ac:dyDescent="0.2">
      <c r="A870" s="1338"/>
      <c r="B870" s="1339"/>
      <c r="C870" s="1340"/>
      <c r="D870" s="1341"/>
      <c r="E870" s="1338"/>
      <c r="F870" s="1339"/>
      <c r="G870" s="1340"/>
      <c r="H870" s="1341"/>
      <c r="I870" s="1338"/>
      <c r="J870" s="1339"/>
      <c r="K870" s="1340"/>
      <c r="L870" s="1341"/>
      <c r="M870" s="1338"/>
      <c r="N870" s="1339"/>
      <c r="O870" s="1340"/>
      <c r="P870" s="1341"/>
      <c r="X870" s="1343" t="e">
        <f ca="1"/>
        <v>#NAME?</v>
      </c>
      <c r="Y870" s="1344" t="e">
        <f ca="1"/>
        <v>#NAME?</v>
      </c>
    </row>
    <row r="871" spans="1:25" x14ac:dyDescent="0.2">
      <c r="A871" s="1338"/>
      <c r="B871" s="1339"/>
      <c r="C871" s="1340"/>
      <c r="D871" s="1341"/>
      <c r="E871" s="1338"/>
      <c r="F871" s="1339"/>
      <c r="G871" s="1340"/>
      <c r="H871" s="1341"/>
      <c r="I871" s="1338"/>
      <c r="J871" s="1339"/>
      <c r="K871" s="1340"/>
      <c r="L871" s="1341"/>
      <c r="M871" s="1338"/>
      <c r="N871" s="1339"/>
      <c r="O871" s="1340"/>
      <c r="P871" s="1341"/>
      <c r="X871" s="1343" t="e">
        <f ca="1"/>
        <v>#NAME?</v>
      </c>
      <c r="Y871" s="1344" t="e">
        <f ca="1"/>
        <v>#NAME?</v>
      </c>
    </row>
    <row r="872" spans="1:25" x14ac:dyDescent="0.2">
      <c r="A872" s="1338"/>
      <c r="B872" s="1339"/>
      <c r="C872" s="1340"/>
      <c r="D872" s="1341"/>
      <c r="E872" s="1338"/>
      <c r="F872" s="1339"/>
      <c r="G872" s="1340"/>
      <c r="H872" s="1341"/>
      <c r="I872" s="1338"/>
      <c r="J872" s="1339"/>
      <c r="K872" s="1340"/>
      <c r="L872" s="1341"/>
      <c r="M872" s="1338"/>
      <c r="N872" s="1339"/>
      <c r="O872" s="1340"/>
      <c r="P872" s="1341"/>
      <c r="X872" s="1343" t="e">
        <f ca="1"/>
        <v>#NAME?</v>
      </c>
      <c r="Y872" s="1344" t="e">
        <f ca="1"/>
        <v>#NAME?</v>
      </c>
    </row>
    <row r="873" spans="1:25" x14ac:dyDescent="0.2">
      <c r="A873" s="1338"/>
      <c r="B873" s="1339"/>
      <c r="C873" s="1340"/>
      <c r="D873" s="1341"/>
      <c r="E873" s="1338"/>
      <c r="F873" s="1339"/>
      <c r="G873" s="1340"/>
      <c r="H873" s="1341"/>
      <c r="I873" s="1338"/>
      <c r="J873" s="1339"/>
      <c r="K873" s="1340"/>
      <c r="L873" s="1341"/>
      <c r="M873" s="1338"/>
      <c r="N873" s="1339"/>
      <c r="O873" s="1340"/>
      <c r="P873" s="1341"/>
      <c r="X873" s="1343" t="e">
        <f ca="1"/>
        <v>#NAME?</v>
      </c>
      <c r="Y873" s="1344" t="e">
        <f ca="1"/>
        <v>#NAME?</v>
      </c>
    </row>
    <row r="874" spans="1:25" x14ac:dyDescent="0.2">
      <c r="A874" s="1338"/>
      <c r="B874" s="1339"/>
      <c r="C874" s="1340"/>
      <c r="D874" s="1341"/>
      <c r="E874" s="1338"/>
      <c r="F874" s="1339"/>
      <c r="G874" s="1340"/>
      <c r="H874" s="1341"/>
      <c r="I874" s="1338"/>
      <c r="J874" s="1339"/>
      <c r="K874" s="1340"/>
      <c r="L874" s="1341"/>
      <c r="M874" s="1338"/>
      <c r="N874" s="1339"/>
      <c r="O874" s="1340"/>
      <c r="P874" s="1341"/>
      <c r="X874" s="1343" t="e">
        <f ca="1"/>
        <v>#NAME?</v>
      </c>
      <c r="Y874" s="1344" t="e">
        <f ca="1"/>
        <v>#NAME?</v>
      </c>
    </row>
    <row r="875" spans="1:25" x14ac:dyDescent="0.2">
      <c r="A875" s="1338"/>
      <c r="B875" s="1339"/>
      <c r="C875" s="1340"/>
      <c r="D875" s="1341"/>
      <c r="E875" s="1338"/>
      <c r="F875" s="1339"/>
      <c r="G875" s="1340"/>
      <c r="H875" s="1341"/>
      <c r="I875" s="1338"/>
      <c r="J875" s="1339"/>
      <c r="K875" s="1340"/>
      <c r="L875" s="1341"/>
      <c r="M875" s="1338"/>
      <c r="N875" s="1339"/>
      <c r="O875" s="1340"/>
      <c r="P875" s="1341"/>
      <c r="X875" s="1343" t="e">
        <f ca="1"/>
        <v>#NAME?</v>
      </c>
      <c r="Y875" s="1344" t="e">
        <f ca="1"/>
        <v>#NAME?</v>
      </c>
    </row>
    <row r="876" spans="1:25" x14ac:dyDescent="0.2">
      <c r="A876" s="1338"/>
      <c r="B876" s="1339"/>
      <c r="C876" s="1340"/>
      <c r="D876" s="1341"/>
      <c r="E876" s="1338"/>
      <c r="F876" s="1339"/>
      <c r="G876" s="1340"/>
      <c r="H876" s="1341"/>
      <c r="I876" s="1338"/>
      <c r="J876" s="1339"/>
      <c r="K876" s="1340"/>
      <c r="L876" s="1341"/>
      <c r="M876" s="1338"/>
      <c r="N876" s="1339"/>
      <c r="O876" s="1340"/>
      <c r="P876" s="1341"/>
      <c r="X876" s="1343" t="e">
        <f ca="1"/>
        <v>#NAME?</v>
      </c>
      <c r="Y876" s="1344" t="e">
        <f ca="1"/>
        <v>#NAME?</v>
      </c>
    </row>
    <row r="877" spans="1:25" x14ac:dyDescent="0.2">
      <c r="A877" s="1338"/>
      <c r="B877" s="1339"/>
      <c r="C877" s="1340"/>
      <c r="D877" s="1341"/>
      <c r="E877" s="1338"/>
      <c r="F877" s="1339"/>
      <c r="G877" s="1340"/>
      <c r="H877" s="1341"/>
      <c r="I877" s="1338"/>
      <c r="J877" s="1339"/>
      <c r="K877" s="1340"/>
      <c r="L877" s="1341"/>
      <c r="M877" s="1338"/>
      <c r="N877" s="1339"/>
      <c r="O877" s="1340"/>
      <c r="P877" s="1341"/>
      <c r="X877" s="1343" t="e">
        <f ca="1"/>
        <v>#NAME?</v>
      </c>
      <c r="Y877" s="1344" t="e">
        <f ca="1"/>
        <v>#NAME?</v>
      </c>
    </row>
    <row r="878" spans="1:25" x14ac:dyDescent="0.2">
      <c r="A878" s="1338"/>
      <c r="B878" s="1339"/>
      <c r="C878" s="1340"/>
      <c r="D878" s="1341"/>
      <c r="E878" s="1338"/>
      <c r="F878" s="1339"/>
      <c r="G878" s="1340"/>
      <c r="H878" s="1341"/>
      <c r="I878" s="1338"/>
      <c r="J878" s="1339"/>
      <c r="K878" s="1340"/>
      <c r="L878" s="1341"/>
      <c r="M878" s="1338"/>
      <c r="N878" s="1339"/>
      <c r="O878" s="1340"/>
      <c r="P878" s="1341"/>
      <c r="X878" s="1343" t="e">
        <f ca="1"/>
        <v>#NAME?</v>
      </c>
      <c r="Y878" s="1344" t="e">
        <f ca="1"/>
        <v>#NAME?</v>
      </c>
    </row>
    <row r="879" spans="1:25" x14ac:dyDescent="0.2">
      <c r="A879" s="1338"/>
      <c r="B879" s="1339"/>
      <c r="C879" s="1340"/>
      <c r="D879" s="1341"/>
      <c r="E879" s="1338"/>
      <c r="F879" s="1339"/>
      <c r="G879" s="1340"/>
      <c r="H879" s="1341"/>
      <c r="I879" s="1338"/>
      <c r="J879" s="1339"/>
      <c r="K879" s="1340"/>
      <c r="L879" s="1341"/>
      <c r="M879" s="1338"/>
      <c r="N879" s="1339"/>
      <c r="O879" s="1340"/>
      <c r="P879" s="1341"/>
      <c r="X879" s="1343" t="e">
        <f ca="1"/>
        <v>#NAME?</v>
      </c>
      <c r="Y879" s="1344" t="e">
        <f ca="1"/>
        <v>#NAME?</v>
      </c>
    </row>
    <row r="880" spans="1:25" x14ac:dyDescent="0.2">
      <c r="A880" s="1338"/>
      <c r="B880" s="1339"/>
      <c r="C880" s="1340"/>
      <c r="D880" s="1341"/>
      <c r="E880" s="1338"/>
      <c r="F880" s="1339"/>
      <c r="G880" s="1340"/>
      <c r="H880" s="1341"/>
      <c r="I880" s="1338"/>
      <c r="J880" s="1339"/>
      <c r="K880" s="1340"/>
      <c r="L880" s="1341"/>
      <c r="M880" s="1338"/>
      <c r="N880" s="1339"/>
      <c r="O880" s="1340"/>
      <c r="P880" s="1341"/>
      <c r="X880" s="1343" t="e">
        <f ca="1"/>
        <v>#NAME?</v>
      </c>
      <c r="Y880" s="1344" t="e">
        <f ca="1"/>
        <v>#NAME?</v>
      </c>
    </row>
    <row r="881" spans="1:25" x14ac:dyDescent="0.2">
      <c r="A881" s="1338"/>
      <c r="B881" s="1339"/>
      <c r="C881" s="1340"/>
      <c r="D881" s="1341"/>
      <c r="E881" s="1338"/>
      <c r="F881" s="1339"/>
      <c r="G881" s="1340"/>
      <c r="H881" s="1341"/>
      <c r="I881" s="1338"/>
      <c r="J881" s="1339"/>
      <c r="K881" s="1340"/>
      <c r="L881" s="1341"/>
      <c r="M881" s="1338"/>
      <c r="N881" s="1339"/>
      <c r="O881" s="1340"/>
      <c r="P881" s="1341"/>
      <c r="X881" s="1343" t="e">
        <f ca="1"/>
        <v>#NAME?</v>
      </c>
      <c r="Y881" s="1344" t="e">
        <f ca="1"/>
        <v>#NAME?</v>
      </c>
    </row>
    <row r="882" spans="1:25" x14ac:dyDescent="0.2">
      <c r="A882" s="1338"/>
      <c r="B882" s="1339"/>
      <c r="C882" s="1340"/>
      <c r="D882" s="1341"/>
      <c r="E882" s="1338"/>
      <c r="F882" s="1339"/>
      <c r="G882" s="1340"/>
      <c r="H882" s="1341"/>
      <c r="I882" s="1338"/>
      <c r="J882" s="1339"/>
      <c r="K882" s="1340"/>
      <c r="L882" s="1341"/>
      <c r="M882" s="1338"/>
      <c r="N882" s="1339"/>
      <c r="O882" s="1340"/>
      <c r="P882" s="1341"/>
      <c r="X882" s="1343" t="e">
        <f ca="1"/>
        <v>#NAME?</v>
      </c>
      <c r="Y882" s="1344" t="e">
        <f ca="1"/>
        <v>#NAME?</v>
      </c>
    </row>
    <row r="883" spans="1:25" x14ac:dyDescent="0.2">
      <c r="A883" s="1338"/>
      <c r="B883" s="1339"/>
      <c r="C883" s="1340"/>
      <c r="D883" s="1341"/>
      <c r="E883" s="1338"/>
      <c r="F883" s="1339"/>
      <c r="G883" s="1340"/>
      <c r="H883" s="1341"/>
      <c r="I883" s="1338"/>
      <c r="J883" s="1339"/>
      <c r="K883" s="1340"/>
      <c r="L883" s="1341"/>
      <c r="M883" s="1338"/>
      <c r="N883" s="1339"/>
      <c r="O883" s="1340"/>
      <c r="P883" s="1341"/>
      <c r="X883" s="1343" t="e">
        <f ca="1"/>
        <v>#NAME?</v>
      </c>
      <c r="Y883" s="1344" t="e">
        <f ca="1"/>
        <v>#NAME?</v>
      </c>
    </row>
    <row r="884" spans="1:25" x14ac:dyDescent="0.2">
      <c r="A884" s="1338"/>
      <c r="B884" s="1339"/>
      <c r="C884" s="1340"/>
      <c r="D884" s="1341"/>
      <c r="E884" s="1338"/>
      <c r="F884" s="1339"/>
      <c r="G884" s="1340"/>
      <c r="H884" s="1341"/>
      <c r="I884" s="1338"/>
      <c r="J884" s="1339"/>
      <c r="K884" s="1340"/>
      <c r="L884" s="1341"/>
      <c r="M884" s="1338"/>
      <c r="N884" s="1339"/>
      <c r="O884" s="1340"/>
      <c r="P884" s="1341"/>
      <c r="X884" s="1343" t="e">
        <f ca="1"/>
        <v>#NAME?</v>
      </c>
      <c r="Y884" s="1344" t="e">
        <f ca="1"/>
        <v>#NAME?</v>
      </c>
    </row>
    <row r="885" spans="1:25" x14ac:dyDescent="0.2">
      <c r="A885" s="1338"/>
      <c r="B885" s="1339"/>
      <c r="C885" s="1340"/>
      <c r="D885" s="1341"/>
      <c r="E885" s="1338"/>
      <c r="F885" s="1339"/>
      <c r="G885" s="1340"/>
      <c r="H885" s="1341"/>
      <c r="I885" s="1338"/>
      <c r="J885" s="1339"/>
      <c r="K885" s="1340"/>
      <c r="L885" s="1341"/>
      <c r="M885" s="1338"/>
      <c r="N885" s="1339"/>
      <c r="O885" s="1340"/>
      <c r="P885" s="1341"/>
      <c r="X885" s="1343" t="e">
        <f ca="1"/>
        <v>#NAME?</v>
      </c>
      <c r="Y885" s="1344" t="e">
        <f ca="1"/>
        <v>#NAME?</v>
      </c>
    </row>
    <row r="886" spans="1:25" x14ac:dyDescent="0.2">
      <c r="A886" s="1338"/>
      <c r="B886" s="1339"/>
      <c r="C886" s="1340"/>
      <c r="D886" s="1341"/>
      <c r="E886" s="1338"/>
      <c r="F886" s="1339"/>
      <c r="G886" s="1340"/>
      <c r="H886" s="1341"/>
      <c r="I886" s="1338"/>
      <c r="J886" s="1339"/>
      <c r="K886" s="1340"/>
      <c r="L886" s="1341"/>
      <c r="M886" s="1338"/>
      <c r="N886" s="1339"/>
      <c r="O886" s="1340"/>
      <c r="P886" s="1341"/>
      <c r="X886" s="1343" t="e">
        <f ca="1"/>
        <v>#NAME?</v>
      </c>
      <c r="Y886" s="1344" t="e">
        <f ca="1"/>
        <v>#NAME?</v>
      </c>
    </row>
    <row r="887" spans="1:25" x14ac:dyDescent="0.2">
      <c r="A887" s="1338"/>
      <c r="B887" s="1339"/>
      <c r="C887" s="1340"/>
      <c r="D887" s="1341"/>
      <c r="E887" s="1338"/>
      <c r="F887" s="1339"/>
      <c r="G887" s="1340"/>
      <c r="H887" s="1341"/>
      <c r="I887" s="1338"/>
      <c r="J887" s="1339"/>
      <c r="K887" s="1340"/>
      <c r="L887" s="1341"/>
      <c r="M887" s="1338"/>
      <c r="N887" s="1339"/>
      <c r="O887" s="1340"/>
      <c r="P887" s="1341"/>
      <c r="X887" s="1343" t="e">
        <f ca="1"/>
        <v>#NAME?</v>
      </c>
      <c r="Y887" s="1344" t="e">
        <f ca="1"/>
        <v>#NAME?</v>
      </c>
    </row>
    <row r="888" spans="1:25" x14ac:dyDescent="0.2">
      <c r="A888" s="1338"/>
      <c r="B888" s="1339"/>
      <c r="C888" s="1340"/>
      <c r="D888" s="1341"/>
      <c r="E888" s="1338"/>
      <c r="F888" s="1339"/>
      <c r="G888" s="1340"/>
      <c r="H888" s="1341"/>
      <c r="I888" s="1338"/>
      <c r="J888" s="1339"/>
      <c r="K888" s="1340"/>
      <c r="L888" s="1341"/>
      <c r="M888" s="1338"/>
      <c r="N888" s="1339"/>
      <c r="O888" s="1340"/>
      <c r="P888" s="1341"/>
      <c r="X888" s="1343" t="e">
        <f ca="1"/>
        <v>#NAME?</v>
      </c>
      <c r="Y888" s="1344" t="e">
        <f ca="1"/>
        <v>#NAME?</v>
      </c>
    </row>
    <row r="889" spans="1:25" x14ac:dyDescent="0.2">
      <c r="A889" s="1338"/>
      <c r="B889" s="1339"/>
      <c r="C889" s="1340"/>
      <c r="D889" s="1341"/>
      <c r="E889" s="1338"/>
      <c r="F889" s="1339"/>
      <c r="G889" s="1340"/>
      <c r="H889" s="1341"/>
      <c r="I889" s="1338"/>
      <c r="J889" s="1339"/>
      <c r="K889" s="1340"/>
      <c r="L889" s="1341"/>
      <c r="M889" s="1338"/>
      <c r="N889" s="1339"/>
      <c r="O889" s="1340"/>
      <c r="P889" s="1341"/>
      <c r="X889" s="1343" t="e">
        <f ca="1"/>
        <v>#NAME?</v>
      </c>
      <c r="Y889" s="1344" t="e">
        <f ca="1"/>
        <v>#NAME?</v>
      </c>
    </row>
    <row r="890" spans="1:25" x14ac:dyDescent="0.2">
      <c r="A890" s="1338"/>
      <c r="B890" s="1339"/>
      <c r="C890" s="1340"/>
      <c r="D890" s="1341"/>
      <c r="E890" s="1338"/>
      <c r="F890" s="1339"/>
      <c r="G890" s="1340"/>
      <c r="H890" s="1341"/>
      <c r="I890" s="1338"/>
      <c r="J890" s="1339"/>
      <c r="K890" s="1340"/>
      <c r="L890" s="1341"/>
      <c r="M890" s="1338"/>
      <c r="N890" s="1339"/>
      <c r="O890" s="1340"/>
      <c r="P890" s="1341"/>
      <c r="X890" s="1343" t="e">
        <f ca="1"/>
        <v>#NAME?</v>
      </c>
      <c r="Y890" s="1344" t="e">
        <f ca="1"/>
        <v>#NAME?</v>
      </c>
    </row>
    <row r="891" spans="1:25" x14ac:dyDescent="0.2">
      <c r="A891" s="1338"/>
      <c r="B891" s="1339"/>
      <c r="C891" s="1340"/>
      <c r="D891" s="1341"/>
      <c r="E891" s="1338"/>
      <c r="F891" s="1339"/>
      <c r="G891" s="1340"/>
      <c r="H891" s="1341"/>
      <c r="I891" s="1338"/>
      <c r="J891" s="1339"/>
      <c r="K891" s="1340"/>
      <c r="L891" s="1341"/>
      <c r="M891" s="1338"/>
      <c r="N891" s="1339"/>
      <c r="O891" s="1340"/>
      <c r="P891" s="1341"/>
      <c r="X891" s="1343" t="e">
        <f ca="1"/>
        <v>#NAME?</v>
      </c>
      <c r="Y891" s="1344" t="e">
        <f ca="1"/>
        <v>#NAME?</v>
      </c>
    </row>
    <row r="892" spans="1:25" x14ac:dyDescent="0.2">
      <c r="A892" s="1338"/>
      <c r="B892" s="1339"/>
      <c r="C892" s="1340"/>
      <c r="D892" s="1341"/>
      <c r="E892" s="1338"/>
      <c r="F892" s="1339"/>
      <c r="G892" s="1340"/>
      <c r="H892" s="1341"/>
      <c r="I892" s="1338"/>
      <c r="J892" s="1339"/>
      <c r="K892" s="1340"/>
      <c r="L892" s="1341"/>
      <c r="M892" s="1338"/>
      <c r="N892" s="1339"/>
      <c r="O892" s="1340"/>
      <c r="P892" s="1341"/>
      <c r="X892" s="1343" t="e">
        <f ca="1"/>
        <v>#NAME?</v>
      </c>
      <c r="Y892" s="1344" t="e">
        <f ca="1"/>
        <v>#NAME?</v>
      </c>
    </row>
    <row r="893" spans="1:25" x14ac:dyDescent="0.2">
      <c r="A893" s="1338"/>
      <c r="B893" s="1339"/>
      <c r="C893" s="1340"/>
      <c r="D893" s="1341"/>
      <c r="E893" s="1338"/>
      <c r="F893" s="1339"/>
      <c r="G893" s="1340"/>
      <c r="H893" s="1341"/>
      <c r="I893" s="1338"/>
      <c r="J893" s="1339"/>
      <c r="K893" s="1340"/>
      <c r="L893" s="1341"/>
      <c r="M893" s="1338"/>
      <c r="N893" s="1339"/>
      <c r="O893" s="1340"/>
      <c r="P893" s="1341"/>
      <c r="X893" s="1343" t="e">
        <f ca="1"/>
        <v>#NAME?</v>
      </c>
      <c r="Y893" s="1344" t="e">
        <f ca="1"/>
        <v>#NAME?</v>
      </c>
    </row>
    <row r="894" spans="1:25" x14ac:dyDescent="0.2">
      <c r="A894" s="1338"/>
      <c r="B894" s="1339"/>
      <c r="C894" s="1340"/>
      <c r="D894" s="1341"/>
      <c r="E894" s="1338"/>
      <c r="F894" s="1339"/>
      <c r="G894" s="1340"/>
      <c r="H894" s="1341"/>
      <c r="I894" s="1338"/>
      <c r="J894" s="1339"/>
      <c r="K894" s="1340"/>
      <c r="L894" s="1341"/>
      <c r="M894" s="1338"/>
      <c r="N894" s="1339"/>
      <c r="O894" s="1340"/>
      <c r="P894" s="1341"/>
      <c r="X894" s="1343" t="e">
        <f ca="1"/>
        <v>#NAME?</v>
      </c>
      <c r="Y894" s="1344" t="e">
        <f ca="1"/>
        <v>#NAME?</v>
      </c>
    </row>
    <row r="895" spans="1:25" x14ac:dyDescent="0.2">
      <c r="A895" s="1338"/>
      <c r="B895" s="1339"/>
      <c r="C895" s="1340"/>
      <c r="D895" s="1341"/>
      <c r="E895" s="1338"/>
      <c r="F895" s="1339"/>
      <c r="G895" s="1340"/>
      <c r="H895" s="1341"/>
      <c r="I895" s="1338"/>
      <c r="J895" s="1339"/>
      <c r="K895" s="1340"/>
      <c r="L895" s="1341"/>
      <c r="M895" s="1338"/>
      <c r="N895" s="1339"/>
      <c r="O895" s="1340"/>
      <c r="P895" s="1341"/>
      <c r="X895" s="1343" t="e">
        <f ca="1"/>
        <v>#NAME?</v>
      </c>
      <c r="Y895" s="1344" t="e">
        <f ca="1"/>
        <v>#NAME?</v>
      </c>
    </row>
    <row r="896" spans="1:25" x14ac:dyDescent="0.2">
      <c r="A896" s="1338"/>
      <c r="B896" s="1339"/>
      <c r="C896" s="1340"/>
      <c r="D896" s="1341"/>
      <c r="E896" s="1338"/>
      <c r="F896" s="1339"/>
      <c r="G896" s="1340"/>
      <c r="H896" s="1341"/>
      <c r="I896" s="1338"/>
      <c r="J896" s="1339"/>
      <c r="K896" s="1340"/>
      <c r="L896" s="1341"/>
      <c r="M896" s="1338"/>
      <c r="N896" s="1339"/>
      <c r="O896" s="1340"/>
      <c r="P896" s="1341"/>
      <c r="X896" s="1343" t="e">
        <f ca="1"/>
        <v>#NAME?</v>
      </c>
      <c r="Y896" s="1344" t="e">
        <f ca="1"/>
        <v>#NAME?</v>
      </c>
    </row>
    <row r="897" spans="1:25" x14ac:dyDescent="0.2">
      <c r="A897" s="1338"/>
      <c r="B897" s="1339"/>
      <c r="C897" s="1340"/>
      <c r="D897" s="1341"/>
      <c r="E897" s="1338"/>
      <c r="F897" s="1339"/>
      <c r="G897" s="1340"/>
      <c r="H897" s="1341"/>
      <c r="I897" s="1338"/>
      <c r="J897" s="1339"/>
      <c r="K897" s="1340"/>
      <c r="L897" s="1341"/>
      <c r="M897" s="1338"/>
      <c r="N897" s="1339"/>
      <c r="O897" s="1340"/>
      <c r="P897" s="1341"/>
      <c r="X897" s="1343" t="e">
        <f ca="1"/>
        <v>#NAME?</v>
      </c>
      <c r="Y897" s="1344" t="e">
        <f ca="1"/>
        <v>#NAME?</v>
      </c>
    </row>
    <row r="898" spans="1:25" x14ac:dyDescent="0.2">
      <c r="A898" s="1338"/>
      <c r="B898" s="1339"/>
      <c r="C898" s="1340"/>
      <c r="D898" s="1341"/>
      <c r="E898" s="1338"/>
      <c r="F898" s="1339"/>
      <c r="G898" s="1340"/>
      <c r="H898" s="1341"/>
      <c r="I898" s="1338"/>
      <c r="J898" s="1339"/>
      <c r="K898" s="1340"/>
      <c r="L898" s="1341"/>
      <c r="M898" s="1338"/>
      <c r="N898" s="1339"/>
      <c r="O898" s="1340"/>
      <c r="P898" s="1341"/>
      <c r="X898" s="1343" t="e">
        <f ca="1"/>
        <v>#NAME?</v>
      </c>
      <c r="Y898" s="1344" t="e">
        <f ca="1"/>
        <v>#NAME?</v>
      </c>
    </row>
    <row r="899" spans="1:25" x14ac:dyDescent="0.2">
      <c r="A899" s="1338"/>
      <c r="B899" s="1339"/>
      <c r="C899" s="1340"/>
      <c r="D899" s="1341"/>
      <c r="E899" s="1338"/>
      <c r="F899" s="1339"/>
      <c r="G899" s="1340"/>
      <c r="H899" s="1341"/>
      <c r="I899" s="1338"/>
      <c r="J899" s="1339"/>
      <c r="K899" s="1340"/>
      <c r="L899" s="1341"/>
      <c r="M899" s="1338"/>
      <c r="N899" s="1339"/>
      <c r="O899" s="1340"/>
      <c r="P899" s="1341"/>
      <c r="X899" s="1343" t="e">
        <f ca="1"/>
        <v>#NAME?</v>
      </c>
      <c r="Y899" s="1344" t="e">
        <f ca="1"/>
        <v>#NAME?</v>
      </c>
    </row>
    <row r="900" spans="1:25" x14ac:dyDescent="0.2">
      <c r="A900" s="1338"/>
      <c r="B900" s="1339"/>
      <c r="C900" s="1340"/>
      <c r="D900" s="1341"/>
      <c r="E900" s="1338"/>
      <c r="F900" s="1339"/>
      <c r="G900" s="1340"/>
      <c r="H900" s="1341"/>
      <c r="I900" s="1338"/>
      <c r="J900" s="1339"/>
      <c r="K900" s="1340"/>
      <c r="L900" s="1341"/>
      <c r="M900" s="1338"/>
      <c r="N900" s="1339"/>
      <c r="O900" s="1340"/>
      <c r="P900" s="1341"/>
      <c r="X900" s="1343" t="e">
        <f ca="1"/>
        <v>#NAME?</v>
      </c>
      <c r="Y900" s="1344" t="e">
        <f ca="1"/>
        <v>#NAME?</v>
      </c>
    </row>
    <row r="901" spans="1:25" x14ac:dyDescent="0.2">
      <c r="A901" s="1338"/>
      <c r="B901" s="1339"/>
      <c r="C901" s="1340"/>
      <c r="D901" s="1341"/>
      <c r="E901" s="1338"/>
      <c r="F901" s="1339"/>
      <c r="G901" s="1340"/>
      <c r="H901" s="1341"/>
      <c r="I901" s="1338"/>
      <c r="J901" s="1339"/>
      <c r="K901" s="1340"/>
      <c r="L901" s="1341"/>
      <c r="M901" s="1338"/>
      <c r="N901" s="1339"/>
      <c r="O901" s="1340"/>
      <c r="P901" s="1341"/>
      <c r="X901" s="1343" t="e">
        <f ca="1"/>
        <v>#NAME?</v>
      </c>
      <c r="Y901" s="1344" t="e">
        <f ca="1"/>
        <v>#NAME?</v>
      </c>
    </row>
    <row r="902" spans="1:25" x14ac:dyDescent="0.2">
      <c r="A902" s="1338"/>
      <c r="B902" s="1339"/>
      <c r="C902" s="1340"/>
      <c r="D902" s="1341"/>
      <c r="E902" s="1338"/>
      <c r="F902" s="1339"/>
      <c r="G902" s="1340"/>
      <c r="H902" s="1341"/>
      <c r="I902" s="1338"/>
      <c r="J902" s="1339"/>
      <c r="K902" s="1340"/>
      <c r="L902" s="1341"/>
      <c r="M902" s="1338"/>
      <c r="N902" s="1339"/>
      <c r="O902" s="1340"/>
      <c r="P902" s="1341"/>
      <c r="X902" s="1343" t="e">
        <f ca="1"/>
        <v>#NAME?</v>
      </c>
      <c r="Y902" s="1344" t="e">
        <f ca="1"/>
        <v>#NAME?</v>
      </c>
    </row>
    <row r="903" spans="1:25" x14ac:dyDescent="0.2">
      <c r="A903" s="1338"/>
      <c r="B903" s="1339"/>
      <c r="C903" s="1340"/>
      <c r="D903" s="1341"/>
      <c r="E903" s="1338"/>
      <c r="F903" s="1339"/>
      <c r="G903" s="1340"/>
      <c r="H903" s="1341"/>
      <c r="I903" s="1338"/>
      <c r="J903" s="1339"/>
      <c r="K903" s="1340"/>
      <c r="L903" s="1341"/>
      <c r="M903" s="1338"/>
      <c r="N903" s="1339"/>
      <c r="O903" s="1340"/>
      <c r="P903" s="1341"/>
      <c r="X903" s="1343" t="e">
        <f ca="1"/>
        <v>#NAME?</v>
      </c>
      <c r="Y903" s="1344" t="e">
        <f ca="1"/>
        <v>#NAME?</v>
      </c>
    </row>
    <row r="904" spans="1:25" x14ac:dyDescent="0.2">
      <c r="A904" s="1338"/>
      <c r="B904" s="1339"/>
      <c r="C904" s="1340"/>
      <c r="D904" s="1341"/>
      <c r="E904" s="1338"/>
      <c r="F904" s="1339"/>
      <c r="G904" s="1340"/>
      <c r="H904" s="1341"/>
      <c r="I904" s="1338"/>
      <c r="J904" s="1339"/>
      <c r="K904" s="1340"/>
      <c r="L904" s="1341"/>
      <c r="M904" s="1338"/>
      <c r="N904" s="1339"/>
      <c r="O904" s="1340"/>
      <c r="P904" s="1341"/>
      <c r="X904" s="1343" t="e">
        <f ca="1"/>
        <v>#NAME?</v>
      </c>
      <c r="Y904" s="1344" t="e">
        <f ca="1"/>
        <v>#NAME?</v>
      </c>
    </row>
    <row r="905" spans="1:25" x14ac:dyDescent="0.2">
      <c r="A905" s="1338"/>
      <c r="B905" s="1339"/>
      <c r="C905" s="1340"/>
      <c r="D905" s="1341"/>
      <c r="E905" s="1338"/>
      <c r="F905" s="1339"/>
      <c r="G905" s="1340"/>
      <c r="H905" s="1341"/>
      <c r="I905" s="1338"/>
      <c r="J905" s="1339"/>
      <c r="K905" s="1340"/>
      <c r="L905" s="1341"/>
      <c r="M905" s="1338"/>
      <c r="N905" s="1339"/>
      <c r="O905" s="1340"/>
      <c r="P905" s="1341"/>
      <c r="X905" s="1343" t="e">
        <f ca="1"/>
        <v>#NAME?</v>
      </c>
      <c r="Y905" s="1344" t="e">
        <f ca="1"/>
        <v>#NAME?</v>
      </c>
    </row>
    <row r="906" spans="1:25" x14ac:dyDescent="0.2">
      <c r="A906" s="1338"/>
      <c r="B906" s="1339"/>
      <c r="C906" s="1340"/>
      <c r="D906" s="1341"/>
      <c r="E906" s="1338"/>
      <c r="F906" s="1339"/>
      <c r="G906" s="1340"/>
      <c r="H906" s="1341"/>
      <c r="I906" s="1338"/>
      <c r="J906" s="1339"/>
      <c r="K906" s="1340"/>
      <c r="L906" s="1341"/>
      <c r="M906" s="1338"/>
      <c r="N906" s="1339"/>
      <c r="O906" s="1340"/>
      <c r="P906" s="1341"/>
      <c r="X906" s="1343" t="e">
        <f ca="1"/>
        <v>#NAME?</v>
      </c>
      <c r="Y906" s="1344" t="e">
        <f ca="1"/>
        <v>#NAME?</v>
      </c>
    </row>
    <row r="907" spans="1:25" x14ac:dyDescent="0.2">
      <c r="A907" s="1338"/>
      <c r="B907" s="1339"/>
      <c r="C907" s="1340"/>
      <c r="D907" s="1341"/>
      <c r="E907" s="1338"/>
      <c r="F907" s="1339"/>
      <c r="G907" s="1340"/>
      <c r="H907" s="1341"/>
      <c r="I907" s="1338"/>
      <c r="J907" s="1339"/>
      <c r="K907" s="1340"/>
      <c r="L907" s="1341"/>
      <c r="M907" s="1338"/>
      <c r="N907" s="1339"/>
      <c r="O907" s="1340"/>
      <c r="P907" s="1341"/>
      <c r="X907" s="1343" t="e">
        <f ca="1"/>
        <v>#NAME?</v>
      </c>
      <c r="Y907" s="1344" t="e">
        <f ca="1"/>
        <v>#NAME?</v>
      </c>
    </row>
    <row r="908" spans="1:25" x14ac:dyDescent="0.2">
      <c r="A908" s="1338"/>
      <c r="B908" s="1339"/>
      <c r="C908" s="1340"/>
      <c r="D908" s="1341"/>
      <c r="E908" s="1338"/>
      <c r="F908" s="1339"/>
      <c r="G908" s="1340"/>
      <c r="H908" s="1341"/>
      <c r="I908" s="1338"/>
      <c r="J908" s="1339"/>
      <c r="K908" s="1340"/>
      <c r="L908" s="1341"/>
      <c r="M908" s="1338"/>
      <c r="N908" s="1339"/>
      <c r="O908" s="1340"/>
      <c r="P908" s="1341"/>
      <c r="X908" s="1343" t="e">
        <f ca="1"/>
        <v>#NAME?</v>
      </c>
      <c r="Y908" s="1344" t="e">
        <f ca="1"/>
        <v>#NAME?</v>
      </c>
    </row>
    <row r="909" spans="1:25" x14ac:dyDescent="0.2">
      <c r="A909" s="1338"/>
      <c r="B909" s="1339"/>
      <c r="C909" s="1340"/>
      <c r="D909" s="1341"/>
      <c r="E909" s="1338"/>
      <c r="F909" s="1339"/>
      <c r="G909" s="1340"/>
      <c r="H909" s="1341"/>
      <c r="I909" s="1338"/>
      <c r="J909" s="1339"/>
      <c r="K909" s="1340"/>
      <c r="L909" s="1341"/>
      <c r="M909" s="1338"/>
      <c r="N909" s="1339"/>
      <c r="O909" s="1340"/>
      <c r="P909" s="1341"/>
      <c r="X909" s="1343" t="e">
        <f ca="1"/>
        <v>#NAME?</v>
      </c>
      <c r="Y909" s="1344" t="e">
        <f ca="1"/>
        <v>#NAME?</v>
      </c>
    </row>
    <row r="910" spans="1:25" x14ac:dyDescent="0.2">
      <c r="A910" s="1338"/>
      <c r="B910" s="1339"/>
      <c r="C910" s="1340"/>
      <c r="D910" s="1341"/>
      <c r="E910" s="1338"/>
      <c r="F910" s="1339"/>
      <c r="G910" s="1340"/>
      <c r="H910" s="1341"/>
      <c r="I910" s="1338"/>
      <c r="J910" s="1339"/>
      <c r="K910" s="1340"/>
      <c r="L910" s="1341"/>
      <c r="M910" s="1338"/>
      <c r="N910" s="1339"/>
      <c r="O910" s="1340"/>
      <c r="P910" s="1341"/>
      <c r="X910" s="1343" t="e">
        <f ca="1"/>
        <v>#NAME?</v>
      </c>
      <c r="Y910" s="1344" t="e">
        <f ca="1"/>
        <v>#NAME?</v>
      </c>
    </row>
    <row r="911" spans="1:25" x14ac:dyDescent="0.2">
      <c r="A911" s="1338"/>
      <c r="B911" s="1339"/>
      <c r="C911" s="1340"/>
      <c r="D911" s="1341"/>
      <c r="E911" s="1338"/>
      <c r="F911" s="1339"/>
      <c r="G911" s="1340"/>
      <c r="H911" s="1341"/>
      <c r="I911" s="1338"/>
      <c r="J911" s="1339"/>
      <c r="K911" s="1340"/>
      <c r="L911" s="1341"/>
      <c r="M911" s="1338"/>
      <c r="N911" s="1339"/>
      <c r="O911" s="1340"/>
      <c r="P911" s="1341"/>
      <c r="X911" s="1343" t="e">
        <f ca="1"/>
        <v>#NAME?</v>
      </c>
      <c r="Y911" s="1344" t="e">
        <f ca="1"/>
        <v>#NAME?</v>
      </c>
    </row>
    <row r="912" spans="1:25" x14ac:dyDescent="0.2">
      <c r="A912" s="1338"/>
      <c r="B912" s="1339"/>
      <c r="C912" s="1340"/>
      <c r="D912" s="1341"/>
      <c r="E912" s="1338"/>
      <c r="F912" s="1339"/>
      <c r="G912" s="1340"/>
      <c r="H912" s="1341"/>
      <c r="I912" s="1338"/>
      <c r="J912" s="1339"/>
      <c r="K912" s="1340"/>
      <c r="L912" s="1341"/>
      <c r="M912" s="1338"/>
      <c r="N912" s="1339"/>
      <c r="O912" s="1340"/>
      <c r="P912" s="1341"/>
      <c r="X912" s="1343" t="e">
        <f ca="1"/>
        <v>#NAME?</v>
      </c>
      <c r="Y912" s="1344" t="e">
        <f ca="1"/>
        <v>#NAME?</v>
      </c>
    </row>
    <row r="913" spans="1:25" x14ac:dyDescent="0.2">
      <c r="A913" s="1338"/>
      <c r="B913" s="1339"/>
      <c r="C913" s="1340"/>
      <c r="D913" s="1341"/>
      <c r="E913" s="1338"/>
      <c r="F913" s="1339"/>
      <c r="G913" s="1340"/>
      <c r="H913" s="1341"/>
      <c r="I913" s="1338"/>
      <c r="J913" s="1339"/>
      <c r="K913" s="1340"/>
      <c r="L913" s="1341"/>
      <c r="M913" s="1338"/>
      <c r="N913" s="1339"/>
      <c r="O913" s="1340"/>
      <c r="P913" s="1341"/>
      <c r="X913" s="1343" t="e">
        <f ca="1"/>
        <v>#NAME?</v>
      </c>
      <c r="Y913" s="1344" t="e">
        <f ca="1"/>
        <v>#NAME?</v>
      </c>
    </row>
    <row r="914" spans="1:25" x14ac:dyDescent="0.2">
      <c r="A914" s="1338"/>
      <c r="B914" s="1339"/>
      <c r="C914" s="1340"/>
      <c r="D914" s="1341"/>
      <c r="E914" s="1338"/>
      <c r="F914" s="1339"/>
      <c r="G914" s="1340"/>
      <c r="H914" s="1341"/>
      <c r="I914" s="1338"/>
      <c r="J914" s="1339"/>
      <c r="K914" s="1340"/>
      <c r="L914" s="1341"/>
      <c r="M914" s="1338"/>
      <c r="N914" s="1339"/>
      <c r="O914" s="1340"/>
      <c r="P914" s="1341"/>
      <c r="X914" s="1343" t="e">
        <f ca="1"/>
        <v>#NAME?</v>
      </c>
      <c r="Y914" s="1344" t="e">
        <f ca="1"/>
        <v>#NAME?</v>
      </c>
    </row>
    <row r="915" spans="1:25" x14ac:dyDescent="0.2">
      <c r="A915" s="1338"/>
      <c r="B915" s="1339"/>
      <c r="C915" s="1340"/>
      <c r="D915" s="1341"/>
      <c r="E915" s="1338"/>
      <c r="F915" s="1339"/>
      <c r="G915" s="1340"/>
      <c r="H915" s="1341"/>
      <c r="I915" s="1338"/>
      <c r="J915" s="1339"/>
      <c r="K915" s="1340"/>
      <c r="L915" s="1341"/>
      <c r="M915" s="1338"/>
      <c r="N915" s="1339"/>
      <c r="O915" s="1340"/>
      <c r="P915" s="1341"/>
      <c r="X915" s="1343" t="e">
        <f ca="1"/>
        <v>#NAME?</v>
      </c>
      <c r="Y915" s="1344" t="e">
        <f ca="1"/>
        <v>#NAME?</v>
      </c>
    </row>
    <row r="916" spans="1:25" x14ac:dyDescent="0.2">
      <c r="A916" s="1338"/>
      <c r="B916" s="1339"/>
      <c r="C916" s="1340"/>
      <c r="D916" s="1341"/>
      <c r="E916" s="1338"/>
      <c r="F916" s="1339"/>
      <c r="G916" s="1340"/>
      <c r="H916" s="1341"/>
      <c r="I916" s="1338"/>
      <c r="J916" s="1339"/>
      <c r="K916" s="1340"/>
      <c r="L916" s="1341"/>
      <c r="M916" s="1338"/>
      <c r="N916" s="1339"/>
      <c r="O916" s="1340"/>
      <c r="P916" s="1341"/>
      <c r="X916" s="1343" t="e">
        <f ca="1"/>
        <v>#NAME?</v>
      </c>
      <c r="Y916" s="1344" t="e">
        <f ca="1"/>
        <v>#NAME?</v>
      </c>
    </row>
    <row r="917" spans="1:25" x14ac:dyDescent="0.2">
      <c r="A917" s="1338"/>
      <c r="B917" s="1339"/>
      <c r="C917" s="1340"/>
      <c r="D917" s="1341"/>
      <c r="E917" s="1338"/>
      <c r="F917" s="1339"/>
      <c r="G917" s="1340"/>
      <c r="H917" s="1341"/>
      <c r="I917" s="1338"/>
      <c r="J917" s="1339"/>
      <c r="K917" s="1340"/>
      <c r="L917" s="1341"/>
      <c r="M917" s="1338"/>
      <c r="N917" s="1339"/>
      <c r="O917" s="1340"/>
      <c r="P917" s="1341"/>
      <c r="X917" s="1343" t="e">
        <f ca="1"/>
        <v>#NAME?</v>
      </c>
      <c r="Y917" s="1344" t="e">
        <f ca="1"/>
        <v>#NAME?</v>
      </c>
    </row>
    <row r="918" spans="1:25" x14ac:dyDescent="0.2">
      <c r="A918" s="1338"/>
      <c r="B918" s="1339"/>
      <c r="C918" s="1340"/>
      <c r="D918" s="1341"/>
      <c r="E918" s="1338"/>
      <c r="F918" s="1339"/>
      <c r="G918" s="1340"/>
      <c r="H918" s="1341"/>
      <c r="I918" s="1338"/>
      <c r="J918" s="1339"/>
      <c r="K918" s="1340"/>
      <c r="L918" s="1341"/>
      <c r="M918" s="1338"/>
      <c r="N918" s="1339"/>
      <c r="O918" s="1340"/>
      <c r="P918" s="1341"/>
      <c r="X918" s="1343" t="e">
        <f ca="1"/>
        <v>#NAME?</v>
      </c>
      <c r="Y918" s="1344" t="e">
        <f ca="1"/>
        <v>#NAME?</v>
      </c>
    </row>
    <row r="919" spans="1:25" x14ac:dyDescent="0.2">
      <c r="A919" s="1338"/>
      <c r="B919" s="1339"/>
      <c r="C919" s="1340"/>
      <c r="D919" s="1341"/>
      <c r="E919" s="1338"/>
      <c r="F919" s="1339"/>
      <c r="G919" s="1340"/>
      <c r="H919" s="1341"/>
      <c r="I919" s="1338"/>
      <c r="J919" s="1339"/>
      <c r="K919" s="1340"/>
      <c r="L919" s="1341"/>
      <c r="M919" s="1338"/>
      <c r="N919" s="1339"/>
      <c r="O919" s="1340"/>
      <c r="P919" s="1341"/>
      <c r="X919" s="1343" t="e">
        <f ca="1"/>
        <v>#NAME?</v>
      </c>
      <c r="Y919" s="1344" t="e">
        <f ca="1"/>
        <v>#NAME?</v>
      </c>
    </row>
    <row r="920" spans="1:25" x14ac:dyDescent="0.2">
      <c r="A920" s="1338"/>
      <c r="B920" s="1339"/>
      <c r="C920" s="1340"/>
      <c r="D920" s="1341"/>
      <c r="E920" s="1338"/>
      <c r="F920" s="1339"/>
      <c r="G920" s="1340"/>
      <c r="H920" s="1341"/>
      <c r="I920" s="1338"/>
      <c r="J920" s="1339"/>
      <c r="K920" s="1340"/>
      <c r="L920" s="1341"/>
      <c r="M920" s="1338"/>
      <c r="N920" s="1339"/>
      <c r="O920" s="1340"/>
      <c r="P920" s="1341"/>
      <c r="X920" s="1343" t="e">
        <f ca="1"/>
        <v>#NAME?</v>
      </c>
      <c r="Y920" s="1344" t="e">
        <f ca="1"/>
        <v>#NAME?</v>
      </c>
    </row>
    <row r="921" spans="1:25" x14ac:dyDescent="0.2">
      <c r="A921" s="1338"/>
      <c r="B921" s="1339"/>
      <c r="C921" s="1340"/>
      <c r="D921" s="1341"/>
      <c r="E921" s="1338"/>
      <c r="F921" s="1339"/>
      <c r="G921" s="1340"/>
      <c r="H921" s="1341"/>
      <c r="I921" s="1338"/>
      <c r="J921" s="1339"/>
      <c r="K921" s="1340"/>
      <c r="L921" s="1341"/>
      <c r="M921" s="1338"/>
      <c r="N921" s="1339"/>
      <c r="O921" s="1340"/>
      <c r="P921" s="1341"/>
      <c r="X921" s="1343" t="e">
        <f ca="1"/>
        <v>#NAME?</v>
      </c>
      <c r="Y921" s="1344" t="e">
        <f ca="1"/>
        <v>#NAME?</v>
      </c>
    </row>
    <row r="922" spans="1:25" x14ac:dyDescent="0.2">
      <c r="A922" s="1338"/>
      <c r="B922" s="1339"/>
      <c r="C922" s="1340"/>
      <c r="D922" s="1341"/>
      <c r="E922" s="1338"/>
      <c r="F922" s="1339"/>
      <c r="G922" s="1340"/>
      <c r="H922" s="1341"/>
      <c r="I922" s="1338"/>
      <c r="J922" s="1339"/>
      <c r="K922" s="1340"/>
      <c r="L922" s="1341"/>
      <c r="M922" s="1338"/>
      <c r="N922" s="1339"/>
      <c r="O922" s="1340"/>
      <c r="P922" s="1341"/>
      <c r="X922" s="1343" t="e">
        <f ca="1"/>
        <v>#NAME?</v>
      </c>
      <c r="Y922" s="1344" t="e">
        <f ca="1"/>
        <v>#NAME?</v>
      </c>
    </row>
    <row r="923" spans="1:25" x14ac:dyDescent="0.2">
      <c r="A923" s="1338"/>
      <c r="B923" s="1339"/>
      <c r="C923" s="1340"/>
      <c r="D923" s="1341"/>
      <c r="E923" s="1338"/>
      <c r="F923" s="1339"/>
      <c r="G923" s="1340"/>
      <c r="H923" s="1341"/>
      <c r="I923" s="1338"/>
      <c r="J923" s="1339"/>
      <c r="K923" s="1340"/>
      <c r="L923" s="1341"/>
      <c r="M923" s="1338"/>
      <c r="N923" s="1339"/>
      <c r="O923" s="1340"/>
      <c r="P923" s="1341"/>
      <c r="X923" s="1343" t="e">
        <f ca="1"/>
        <v>#NAME?</v>
      </c>
      <c r="Y923" s="1344" t="e">
        <f ca="1"/>
        <v>#NAME?</v>
      </c>
    </row>
    <row r="924" spans="1:25" x14ac:dyDescent="0.2">
      <c r="A924" s="1338"/>
      <c r="B924" s="1339"/>
      <c r="C924" s="1340"/>
      <c r="D924" s="1341"/>
      <c r="E924" s="1338"/>
      <c r="F924" s="1339"/>
      <c r="G924" s="1340"/>
      <c r="H924" s="1341"/>
      <c r="I924" s="1338"/>
      <c r="J924" s="1339"/>
      <c r="K924" s="1340"/>
      <c r="L924" s="1341"/>
      <c r="M924" s="1338"/>
      <c r="N924" s="1339"/>
      <c r="O924" s="1340"/>
      <c r="P924" s="1341"/>
      <c r="X924" s="1343" t="e">
        <f ca="1"/>
        <v>#NAME?</v>
      </c>
      <c r="Y924" s="1344" t="e">
        <f ca="1"/>
        <v>#NAME?</v>
      </c>
    </row>
    <row r="925" spans="1:25" x14ac:dyDescent="0.2">
      <c r="A925" s="1338"/>
      <c r="B925" s="1339"/>
      <c r="C925" s="1340"/>
      <c r="D925" s="1341"/>
      <c r="E925" s="1338"/>
      <c r="F925" s="1339"/>
      <c r="G925" s="1340"/>
      <c r="H925" s="1341"/>
      <c r="I925" s="1338"/>
      <c r="J925" s="1339"/>
      <c r="K925" s="1340"/>
      <c r="L925" s="1341"/>
      <c r="M925" s="1338"/>
      <c r="N925" s="1339"/>
      <c r="O925" s="1340"/>
      <c r="P925" s="1341"/>
      <c r="X925" s="1343" t="e">
        <f ca="1"/>
        <v>#NAME?</v>
      </c>
      <c r="Y925" s="1344" t="e">
        <f ca="1"/>
        <v>#NAME?</v>
      </c>
    </row>
    <row r="926" spans="1:25" x14ac:dyDescent="0.2">
      <c r="A926" s="1338"/>
      <c r="B926" s="1339"/>
      <c r="C926" s="1340"/>
      <c r="D926" s="1341"/>
      <c r="E926" s="1338"/>
      <c r="F926" s="1339"/>
      <c r="G926" s="1340"/>
      <c r="H926" s="1341"/>
      <c r="I926" s="1338"/>
      <c r="J926" s="1339"/>
      <c r="K926" s="1340"/>
      <c r="L926" s="1341"/>
      <c r="M926" s="1338"/>
      <c r="N926" s="1339"/>
      <c r="O926" s="1340"/>
      <c r="P926" s="1341"/>
      <c r="X926" s="1343" t="e">
        <f ca="1"/>
        <v>#NAME?</v>
      </c>
      <c r="Y926" s="1344" t="e">
        <f ca="1"/>
        <v>#NAME?</v>
      </c>
    </row>
    <row r="927" spans="1:25" x14ac:dyDescent="0.2">
      <c r="A927" s="1338"/>
      <c r="B927" s="1339"/>
      <c r="C927" s="1340"/>
      <c r="D927" s="1341"/>
      <c r="E927" s="1338"/>
      <c r="F927" s="1339"/>
      <c r="G927" s="1340"/>
      <c r="H927" s="1341"/>
      <c r="I927" s="1338"/>
      <c r="J927" s="1339"/>
      <c r="K927" s="1340"/>
      <c r="L927" s="1341"/>
      <c r="M927" s="1338"/>
      <c r="N927" s="1339"/>
      <c r="O927" s="1340"/>
      <c r="P927" s="1341"/>
      <c r="X927" s="1343" t="e">
        <f ca="1"/>
        <v>#NAME?</v>
      </c>
      <c r="Y927" s="1344" t="e">
        <f ca="1"/>
        <v>#NAME?</v>
      </c>
    </row>
    <row r="928" spans="1:25" x14ac:dyDescent="0.2">
      <c r="A928" s="1338"/>
      <c r="B928" s="1339"/>
      <c r="C928" s="1340"/>
      <c r="D928" s="1341"/>
      <c r="E928" s="1338"/>
      <c r="F928" s="1339"/>
      <c r="G928" s="1340"/>
      <c r="H928" s="1341"/>
      <c r="I928" s="1338"/>
      <c r="J928" s="1339"/>
      <c r="K928" s="1340"/>
      <c r="L928" s="1341"/>
      <c r="M928" s="1338"/>
      <c r="N928" s="1339"/>
      <c r="O928" s="1340"/>
      <c r="P928" s="1341"/>
      <c r="X928" s="1343" t="e">
        <f ca="1"/>
        <v>#NAME?</v>
      </c>
      <c r="Y928" s="1344" t="e">
        <f ca="1"/>
        <v>#NAME?</v>
      </c>
    </row>
    <row r="929" spans="1:25" x14ac:dyDescent="0.2">
      <c r="A929" s="1338"/>
      <c r="B929" s="1339"/>
      <c r="C929" s="1340"/>
      <c r="D929" s="1341"/>
      <c r="E929" s="1338"/>
      <c r="F929" s="1339"/>
      <c r="G929" s="1340"/>
      <c r="H929" s="1341"/>
      <c r="I929" s="1338"/>
      <c r="J929" s="1339"/>
      <c r="K929" s="1340"/>
      <c r="L929" s="1341"/>
      <c r="M929" s="1338"/>
      <c r="N929" s="1339"/>
      <c r="O929" s="1340"/>
      <c r="P929" s="1341"/>
      <c r="X929" s="1343" t="e">
        <f ca="1"/>
        <v>#NAME?</v>
      </c>
      <c r="Y929" s="1344" t="e">
        <f ca="1"/>
        <v>#NAME?</v>
      </c>
    </row>
    <row r="930" spans="1:25" x14ac:dyDescent="0.2">
      <c r="A930" s="1338"/>
      <c r="B930" s="1339"/>
      <c r="C930" s="1340"/>
      <c r="D930" s="1341"/>
      <c r="E930" s="1338"/>
      <c r="F930" s="1339"/>
      <c r="G930" s="1340"/>
      <c r="H930" s="1341"/>
      <c r="I930" s="1338"/>
      <c r="J930" s="1339"/>
      <c r="K930" s="1340"/>
      <c r="L930" s="1341"/>
      <c r="M930" s="1338"/>
      <c r="N930" s="1339"/>
      <c r="O930" s="1340"/>
      <c r="P930" s="1341"/>
      <c r="X930" s="1343" t="e">
        <f ca="1"/>
        <v>#NAME?</v>
      </c>
      <c r="Y930" s="1344" t="e">
        <f ca="1"/>
        <v>#NAME?</v>
      </c>
    </row>
    <row r="931" spans="1:25" x14ac:dyDescent="0.2">
      <c r="A931" s="1338"/>
      <c r="B931" s="1339"/>
      <c r="C931" s="1340"/>
      <c r="D931" s="1341"/>
      <c r="E931" s="1338"/>
      <c r="F931" s="1339"/>
      <c r="G931" s="1340"/>
      <c r="H931" s="1341"/>
      <c r="I931" s="1338"/>
      <c r="J931" s="1339"/>
      <c r="K931" s="1340"/>
      <c r="L931" s="1341"/>
      <c r="M931" s="1338"/>
      <c r="N931" s="1339"/>
      <c r="O931" s="1340"/>
      <c r="P931" s="1341"/>
      <c r="X931" s="1343" t="e">
        <f ca="1"/>
        <v>#NAME?</v>
      </c>
      <c r="Y931" s="1344" t="e">
        <f ca="1"/>
        <v>#NAME?</v>
      </c>
    </row>
    <row r="932" spans="1:25" x14ac:dyDescent="0.2">
      <c r="A932" s="1338"/>
      <c r="B932" s="1339"/>
      <c r="C932" s="1340"/>
      <c r="D932" s="1341"/>
      <c r="E932" s="1338"/>
      <c r="F932" s="1339"/>
      <c r="G932" s="1340"/>
      <c r="H932" s="1341"/>
      <c r="I932" s="1338"/>
      <c r="J932" s="1339"/>
      <c r="K932" s="1340"/>
      <c r="L932" s="1341"/>
      <c r="M932" s="1338"/>
      <c r="N932" s="1339"/>
      <c r="O932" s="1340"/>
      <c r="P932" s="1341"/>
      <c r="X932" s="1343" t="e">
        <f ca="1"/>
        <v>#NAME?</v>
      </c>
      <c r="Y932" s="1344" t="e">
        <f ca="1"/>
        <v>#NAME?</v>
      </c>
    </row>
    <row r="933" spans="1:25" x14ac:dyDescent="0.2">
      <c r="A933" s="1338"/>
      <c r="B933" s="1339"/>
      <c r="C933" s="1340"/>
      <c r="D933" s="1341"/>
      <c r="E933" s="1338"/>
      <c r="F933" s="1339"/>
      <c r="G933" s="1340"/>
      <c r="H933" s="1341"/>
      <c r="I933" s="1338"/>
      <c r="J933" s="1339"/>
      <c r="K933" s="1340"/>
      <c r="L933" s="1341"/>
      <c r="M933" s="1338"/>
      <c r="N933" s="1339"/>
      <c r="O933" s="1340"/>
      <c r="P933" s="1341"/>
      <c r="X933" s="1343" t="e">
        <f ca="1"/>
        <v>#NAME?</v>
      </c>
      <c r="Y933" s="1344" t="e">
        <f ca="1"/>
        <v>#NAME?</v>
      </c>
    </row>
    <row r="934" spans="1:25" x14ac:dyDescent="0.2">
      <c r="A934" s="1338"/>
      <c r="B934" s="1339"/>
      <c r="C934" s="1340"/>
      <c r="D934" s="1341"/>
      <c r="E934" s="1338"/>
      <c r="F934" s="1339"/>
      <c r="G934" s="1340"/>
      <c r="H934" s="1341"/>
      <c r="I934" s="1338"/>
      <c r="J934" s="1339"/>
      <c r="K934" s="1340"/>
      <c r="L934" s="1341"/>
      <c r="M934" s="1338"/>
      <c r="N934" s="1339"/>
      <c r="O934" s="1340"/>
      <c r="P934" s="1341"/>
      <c r="X934" s="1343" t="e">
        <f ca="1"/>
        <v>#NAME?</v>
      </c>
      <c r="Y934" s="1344" t="e">
        <f ca="1"/>
        <v>#NAME?</v>
      </c>
    </row>
    <row r="935" spans="1:25" x14ac:dyDescent="0.2">
      <c r="A935" s="1338"/>
      <c r="B935" s="1339"/>
      <c r="C935" s="1340"/>
      <c r="D935" s="1341"/>
      <c r="E935" s="1338"/>
      <c r="F935" s="1339"/>
      <c r="G935" s="1340"/>
      <c r="H935" s="1341"/>
      <c r="I935" s="1338"/>
      <c r="J935" s="1339"/>
      <c r="K935" s="1340"/>
      <c r="L935" s="1341"/>
      <c r="M935" s="1338"/>
      <c r="N935" s="1339"/>
      <c r="O935" s="1340"/>
      <c r="P935" s="1341"/>
      <c r="X935" s="1343" t="e">
        <f ca="1"/>
        <v>#NAME?</v>
      </c>
      <c r="Y935" s="1344" t="e">
        <f ca="1"/>
        <v>#NAME?</v>
      </c>
    </row>
    <row r="936" spans="1:25" x14ac:dyDescent="0.2">
      <c r="A936" s="1338"/>
      <c r="B936" s="1339"/>
      <c r="C936" s="1340"/>
      <c r="D936" s="1341"/>
      <c r="E936" s="1338"/>
      <c r="F936" s="1339"/>
      <c r="G936" s="1340"/>
      <c r="H936" s="1341"/>
      <c r="I936" s="1338"/>
      <c r="J936" s="1339"/>
      <c r="K936" s="1340"/>
      <c r="L936" s="1341"/>
      <c r="M936" s="1338"/>
      <c r="N936" s="1339"/>
      <c r="O936" s="1340"/>
      <c r="P936" s="1341"/>
      <c r="X936" s="1343" t="e">
        <f ca="1"/>
        <v>#NAME?</v>
      </c>
      <c r="Y936" s="1344" t="e">
        <f ca="1"/>
        <v>#NAME?</v>
      </c>
    </row>
    <row r="937" spans="1:25" x14ac:dyDescent="0.2">
      <c r="A937" s="1338"/>
      <c r="B937" s="1339"/>
      <c r="C937" s="1340"/>
      <c r="D937" s="1341"/>
      <c r="E937" s="1338"/>
      <c r="F937" s="1339"/>
      <c r="G937" s="1340"/>
      <c r="H937" s="1341"/>
      <c r="I937" s="1338"/>
      <c r="J937" s="1339"/>
      <c r="K937" s="1340"/>
      <c r="L937" s="1341"/>
      <c r="M937" s="1338"/>
      <c r="N937" s="1339"/>
      <c r="O937" s="1340"/>
      <c r="P937" s="1341"/>
      <c r="X937" s="1343" t="e">
        <f ca="1"/>
        <v>#NAME?</v>
      </c>
      <c r="Y937" s="1344" t="e">
        <f ca="1"/>
        <v>#NAME?</v>
      </c>
    </row>
    <row r="938" spans="1:25" x14ac:dyDescent="0.2">
      <c r="A938" s="1338"/>
      <c r="B938" s="1339"/>
      <c r="C938" s="1340"/>
      <c r="D938" s="1341"/>
      <c r="E938" s="1338"/>
      <c r="F938" s="1339"/>
      <c r="G938" s="1340"/>
      <c r="H938" s="1341"/>
      <c r="I938" s="1338"/>
      <c r="J938" s="1339"/>
      <c r="K938" s="1340"/>
      <c r="L938" s="1341"/>
      <c r="M938" s="1338"/>
      <c r="N938" s="1339"/>
      <c r="O938" s="1340"/>
      <c r="P938" s="1341"/>
      <c r="X938" s="1343" t="e">
        <f ca="1"/>
        <v>#NAME?</v>
      </c>
      <c r="Y938" s="1344" t="e">
        <f ca="1"/>
        <v>#NAME?</v>
      </c>
    </row>
    <row r="939" spans="1:25" x14ac:dyDescent="0.2">
      <c r="A939" s="1338"/>
      <c r="B939" s="1339"/>
      <c r="C939" s="1340"/>
      <c r="D939" s="1341"/>
      <c r="E939" s="1338"/>
      <c r="F939" s="1339"/>
      <c r="G939" s="1340"/>
      <c r="H939" s="1341"/>
      <c r="I939" s="1338"/>
      <c r="J939" s="1339"/>
      <c r="K939" s="1340"/>
      <c r="L939" s="1341"/>
      <c r="M939" s="1338"/>
      <c r="N939" s="1339"/>
      <c r="O939" s="1340"/>
      <c r="P939" s="1341"/>
      <c r="X939" s="1343" t="e">
        <f ca="1"/>
        <v>#NAME?</v>
      </c>
      <c r="Y939" s="1344" t="e">
        <f ca="1"/>
        <v>#NAME?</v>
      </c>
    </row>
    <row r="940" spans="1:25" x14ac:dyDescent="0.2">
      <c r="A940" s="1338"/>
      <c r="B940" s="1339"/>
      <c r="C940" s="1340"/>
      <c r="D940" s="1341"/>
      <c r="E940" s="1338"/>
      <c r="F940" s="1339"/>
      <c r="G940" s="1340"/>
      <c r="H940" s="1341"/>
      <c r="I940" s="1338"/>
      <c r="J940" s="1339"/>
      <c r="K940" s="1340"/>
      <c r="L940" s="1341"/>
      <c r="M940" s="1338"/>
      <c r="N940" s="1339"/>
      <c r="O940" s="1340"/>
      <c r="P940" s="1341"/>
      <c r="X940" s="1343" t="e">
        <f ca="1"/>
        <v>#NAME?</v>
      </c>
      <c r="Y940" s="1344" t="e">
        <f ca="1"/>
        <v>#NAME?</v>
      </c>
    </row>
    <row r="941" spans="1:25" x14ac:dyDescent="0.2">
      <c r="A941" s="1338"/>
      <c r="B941" s="1339"/>
      <c r="C941" s="1340"/>
      <c r="D941" s="1341"/>
      <c r="E941" s="1338"/>
      <c r="F941" s="1339"/>
      <c r="G941" s="1340"/>
      <c r="H941" s="1341"/>
      <c r="I941" s="1338"/>
      <c r="J941" s="1339"/>
      <c r="K941" s="1340"/>
      <c r="L941" s="1341"/>
      <c r="M941" s="1338"/>
      <c r="N941" s="1339"/>
      <c r="O941" s="1340"/>
      <c r="P941" s="1341"/>
      <c r="X941" s="1343" t="e">
        <f ca="1"/>
        <v>#NAME?</v>
      </c>
      <c r="Y941" s="1344" t="e">
        <f ca="1"/>
        <v>#NAME?</v>
      </c>
    </row>
    <row r="942" spans="1:25" x14ac:dyDescent="0.2">
      <c r="A942" s="1338"/>
      <c r="B942" s="1339"/>
      <c r="C942" s="1340"/>
      <c r="D942" s="1341"/>
      <c r="E942" s="1338"/>
      <c r="F942" s="1339"/>
      <c r="G942" s="1340"/>
      <c r="H942" s="1341"/>
      <c r="I942" s="1338"/>
      <c r="J942" s="1339"/>
      <c r="K942" s="1340"/>
      <c r="L942" s="1341"/>
      <c r="M942" s="1338"/>
      <c r="N942" s="1339"/>
      <c r="O942" s="1340"/>
      <c r="P942" s="1341"/>
      <c r="X942" s="1343" t="e">
        <f ca="1"/>
        <v>#NAME?</v>
      </c>
      <c r="Y942" s="1344" t="e">
        <f ca="1"/>
        <v>#NAME?</v>
      </c>
    </row>
    <row r="943" spans="1:25" x14ac:dyDescent="0.2">
      <c r="A943" s="1338"/>
      <c r="B943" s="1339"/>
      <c r="C943" s="1340"/>
      <c r="D943" s="1341"/>
      <c r="E943" s="1338"/>
      <c r="F943" s="1339"/>
      <c r="G943" s="1340"/>
      <c r="H943" s="1341"/>
      <c r="I943" s="1338"/>
      <c r="J943" s="1339"/>
      <c r="K943" s="1340"/>
      <c r="L943" s="1341"/>
      <c r="M943" s="1338"/>
      <c r="N943" s="1339"/>
      <c r="O943" s="1340"/>
      <c r="P943" s="1341"/>
      <c r="X943" s="1343" t="e">
        <f ca="1"/>
        <v>#NAME?</v>
      </c>
      <c r="Y943" s="1344" t="e">
        <f ca="1"/>
        <v>#NAME?</v>
      </c>
    </row>
    <row r="944" spans="1:25" x14ac:dyDescent="0.2">
      <c r="A944" s="1338"/>
      <c r="B944" s="1339"/>
      <c r="C944" s="1340"/>
      <c r="D944" s="1341"/>
      <c r="E944" s="1338"/>
      <c r="F944" s="1339"/>
      <c r="G944" s="1340"/>
      <c r="H944" s="1341"/>
      <c r="I944" s="1338"/>
      <c r="J944" s="1339"/>
      <c r="K944" s="1340"/>
      <c r="L944" s="1341"/>
      <c r="M944" s="1338"/>
      <c r="N944" s="1339"/>
      <c r="O944" s="1340"/>
      <c r="P944" s="1341"/>
      <c r="X944" s="1343" t="e">
        <f ca="1"/>
        <v>#NAME?</v>
      </c>
      <c r="Y944" s="1344" t="e">
        <f ca="1"/>
        <v>#NAME?</v>
      </c>
    </row>
    <row r="945" spans="1:25" x14ac:dyDescent="0.2">
      <c r="A945" s="1338"/>
      <c r="B945" s="1339"/>
      <c r="C945" s="1340"/>
      <c r="D945" s="1341"/>
      <c r="E945" s="1338"/>
      <c r="F945" s="1339"/>
      <c r="G945" s="1340"/>
      <c r="H945" s="1341"/>
      <c r="I945" s="1338"/>
      <c r="J945" s="1339"/>
      <c r="K945" s="1340"/>
      <c r="L945" s="1341"/>
      <c r="M945" s="1338"/>
      <c r="N945" s="1339"/>
      <c r="O945" s="1340"/>
      <c r="P945" s="1341"/>
      <c r="X945" s="1343" t="e">
        <f ca="1"/>
        <v>#NAME?</v>
      </c>
      <c r="Y945" s="1344" t="e">
        <f ca="1"/>
        <v>#NAME?</v>
      </c>
    </row>
    <row r="946" spans="1:25" x14ac:dyDescent="0.2">
      <c r="A946" s="1338"/>
      <c r="B946" s="1339"/>
      <c r="C946" s="1340"/>
      <c r="D946" s="1341"/>
      <c r="E946" s="1338"/>
      <c r="F946" s="1339"/>
      <c r="G946" s="1340"/>
      <c r="H946" s="1341"/>
      <c r="I946" s="1338"/>
      <c r="J946" s="1339"/>
      <c r="K946" s="1340"/>
      <c r="L946" s="1341"/>
      <c r="M946" s="1338"/>
      <c r="N946" s="1339"/>
      <c r="O946" s="1340"/>
      <c r="P946" s="1341"/>
      <c r="X946" s="1343" t="e">
        <f ca="1"/>
        <v>#NAME?</v>
      </c>
      <c r="Y946" s="1344" t="e">
        <f ca="1"/>
        <v>#NAME?</v>
      </c>
    </row>
    <row r="947" spans="1:25" x14ac:dyDescent="0.2">
      <c r="A947" s="1338"/>
      <c r="B947" s="1339"/>
      <c r="C947" s="1340"/>
      <c r="D947" s="1341"/>
      <c r="E947" s="1338"/>
      <c r="F947" s="1339"/>
      <c r="G947" s="1340"/>
      <c r="H947" s="1341"/>
      <c r="I947" s="1338"/>
      <c r="J947" s="1339"/>
      <c r="K947" s="1340"/>
      <c r="L947" s="1341"/>
      <c r="M947" s="1338"/>
      <c r="N947" s="1339"/>
      <c r="O947" s="1340"/>
      <c r="P947" s="1341"/>
      <c r="X947" s="1343" t="e">
        <f ca="1"/>
        <v>#NAME?</v>
      </c>
      <c r="Y947" s="1344" t="e">
        <f ca="1"/>
        <v>#NAME?</v>
      </c>
    </row>
    <row r="948" spans="1:25" x14ac:dyDescent="0.2">
      <c r="A948" s="1338"/>
      <c r="B948" s="1339"/>
      <c r="C948" s="1340"/>
      <c r="D948" s="1341"/>
      <c r="E948" s="1338"/>
      <c r="F948" s="1339"/>
      <c r="G948" s="1340"/>
      <c r="H948" s="1341"/>
      <c r="I948" s="1338"/>
      <c r="J948" s="1339"/>
      <c r="K948" s="1340"/>
      <c r="L948" s="1341"/>
      <c r="M948" s="1338"/>
      <c r="N948" s="1339"/>
      <c r="O948" s="1340"/>
      <c r="P948" s="1341"/>
      <c r="X948" s="1343" t="e">
        <f ca="1"/>
        <v>#NAME?</v>
      </c>
      <c r="Y948" s="1344" t="e">
        <f ca="1"/>
        <v>#NAME?</v>
      </c>
    </row>
    <row r="949" spans="1:25" x14ac:dyDescent="0.2">
      <c r="A949" s="1338"/>
      <c r="B949" s="1339"/>
      <c r="C949" s="1340"/>
      <c r="D949" s="1341"/>
      <c r="E949" s="1338"/>
      <c r="F949" s="1339"/>
      <c r="G949" s="1340"/>
      <c r="H949" s="1341"/>
      <c r="I949" s="1338"/>
      <c r="J949" s="1339"/>
      <c r="K949" s="1340"/>
      <c r="L949" s="1341"/>
      <c r="M949" s="1338"/>
      <c r="N949" s="1339"/>
      <c r="O949" s="1340"/>
      <c r="P949" s="1341"/>
      <c r="X949" s="1343" t="e">
        <f ca="1"/>
        <v>#NAME?</v>
      </c>
      <c r="Y949" s="1344" t="e">
        <f ca="1"/>
        <v>#NAME?</v>
      </c>
    </row>
    <row r="950" spans="1:25" x14ac:dyDescent="0.2">
      <c r="A950" s="1338"/>
      <c r="B950" s="1339"/>
      <c r="C950" s="1340"/>
      <c r="D950" s="1341"/>
      <c r="E950" s="1338"/>
      <c r="F950" s="1339"/>
      <c r="G950" s="1340"/>
      <c r="H950" s="1341"/>
      <c r="I950" s="1338"/>
      <c r="J950" s="1339"/>
      <c r="K950" s="1340"/>
      <c r="L950" s="1341"/>
      <c r="M950" s="1338"/>
      <c r="N950" s="1339"/>
      <c r="O950" s="1340"/>
      <c r="P950" s="1341"/>
      <c r="X950" s="1343" t="e">
        <f ca="1"/>
        <v>#NAME?</v>
      </c>
      <c r="Y950" s="1344" t="e">
        <f ca="1"/>
        <v>#NAME?</v>
      </c>
    </row>
    <row r="951" spans="1:25" x14ac:dyDescent="0.2">
      <c r="A951" s="1338"/>
      <c r="B951" s="1339"/>
      <c r="C951" s="1340"/>
      <c r="D951" s="1341"/>
      <c r="E951" s="1338"/>
      <c r="F951" s="1339"/>
      <c r="G951" s="1340"/>
      <c r="H951" s="1341"/>
      <c r="I951" s="1338"/>
      <c r="J951" s="1339"/>
      <c r="K951" s="1340"/>
      <c r="L951" s="1341"/>
      <c r="M951" s="1338"/>
      <c r="N951" s="1339"/>
      <c r="O951" s="1340"/>
      <c r="P951" s="1341"/>
      <c r="X951" s="1343" t="e">
        <f ca="1"/>
        <v>#NAME?</v>
      </c>
      <c r="Y951" s="1344" t="e">
        <f ca="1"/>
        <v>#NAME?</v>
      </c>
    </row>
    <row r="952" spans="1:25" x14ac:dyDescent="0.2">
      <c r="A952" s="1338"/>
      <c r="B952" s="1339"/>
      <c r="C952" s="1340"/>
      <c r="D952" s="1341"/>
      <c r="E952" s="1338"/>
      <c r="F952" s="1339"/>
      <c r="G952" s="1340"/>
      <c r="H952" s="1341"/>
      <c r="I952" s="1338"/>
      <c r="J952" s="1339"/>
      <c r="K952" s="1340"/>
      <c r="L952" s="1341"/>
      <c r="M952" s="1338"/>
      <c r="N952" s="1339"/>
      <c r="O952" s="1340"/>
      <c r="P952" s="1341"/>
      <c r="X952" s="1343" t="e">
        <f ca="1"/>
        <v>#NAME?</v>
      </c>
      <c r="Y952" s="1344" t="e">
        <f ca="1"/>
        <v>#NAME?</v>
      </c>
    </row>
    <row r="953" spans="1:25" x14ac:dyDescent="0.2">
      <c r="A953" s="1338"/>
      <c r="B953" s="1339"/>
      <c r="C953" s="1340"/>
      <c r="D953" s="1341"/>
      <c r="E953" s="1338"/>
      <c r="F953" s="1339"/>
      <c r="G953" s="1340"/>
      <c r="H953" s="1341"/>
      <c r="I953" s="1338"/>
      <c r="J953" s="1339"/>
      <c r="K953" s="1340"/>
      <c r="L953" s="1341"/>
      <c r="M953" s="1338"/>
      <c r="N953" s="1339"/>
      <c r="O953" s="1340"/>
      <c r="P953" s="1341"/>
      <c r="X953" s="1343" t="e">
        <f ca="1"/>
        <v>#NAME?</v>
      </c>
      <c r="Y953" s="1344" t="e">
        <f ca="1"/>
        <v>#NAME?</v>
      </c>
    </row>
    <row r="954" spans="1:25" x14ac:dyDescent="0.2">
      <c r="A954" s="1338"/>
      <c r="B954" s="1339"/>
      <c r="C954" s="1340"/>
      <c r="D954" s="1341"/>
      <c r="E954" s="1338"/>
      <c r="F954" s="1339"/>
      <c r="G954" s="1340"/>
      <c r="H954" s="1341"/>
      <c r="I954" s="1338"/>
      <c r="J954" s="1339"/>
      <c r="K954" s="1340"/>
      <c r="L954" s="1341"/>
      <c r="M954" s="1338"/>
      <c r="N954" s="1339"/>
      <c r="O954" s="1340"/>
      <c r="P954" s="1341"/>
      <c r="X954" s="1343" t="e">
        <f ca="1"/>
        <v>#NAME?</v>
      </c>
      <c r="Y954" s="1344" t="e">
        <f ca="1"/>
        <v>#NAME?</v>
      </c>
    </row>
    <row r="955" spans="1:25" x14ac:dyDescent="0.2">
      <c r="A955" s="1338"/>
      <c r="B955" s="1339"/>
      <c r="C955" s="1340"/>
      <c r="D955" s="1341"/>
      <c r="E955" s="1338"/>
      <c r="F955" s="1339"/>
      <c r="G955" s="1340"/>
      <c r="H955" s="1341"/>
      <c r="I955" s="1338"/>
      <c r="J955" s="1339"/>
      <c r="K955" s="1340"/>
      <c r="L955" s="1341"/>
      <c r="M955" s="1338"/>
      <c r="N955" s="1339"/>
      <c r="O955" s="1340"/>
      <c r="P955" s="1341"/>
      <c r="X955" s="1343" t="e">
        <f ca="1"/>
        <v>#NAME?</v>
      </c>
      <c r="Y955" s="1344" t="e">
        <f ca="1"/>
        <v>#NAME?</v>
      </c>
    </row>
    <row r="956" spans="1:25" x14ac:dyDescent="0.2">
      <c r="A956" s="1338"/>
      <c r="B956" s="1339"/>
      <c r="C956" s="1340"/>
      <c r="D956" s="1341"/>
      <c r="E956" s="1338"/>
      <c r="F956" s="1339"/>
      <c r="G956" s="1340"/>
      <c r="H956" s="1341"/>
      <c r="I956" s="1338"/>
      <c r="J956" s="1339"/>
      <c r="K956" s="1340"/>
      <c r="L956" s="1341"/>
      <c r="M956" s="1338"/>
      <c r="N956" s="1339"/>
      <c r="O956" s="1340"/>
      <c r="P956" s="1341"/>
      <c r="X956" s="1343" t="e">
        <f ca="1"/>
        <v>#NAME?</v>
      </c>
      <c r="Y956" s="1344" t="e">
        <f ca="1"/>
        <v>#NAME?</v>
      </c>
    </row>
    <row r="957" spans="1:25" x14ac:dyDescent="0.2">
      <c r="A957" s="1338"/>
      <c r="B957" s="1339"/>
      <c r="C957" s="1340"/>
      <c r="D957" s="1341"/>
      <c r="E957" s="1338"/>
      <c r="F957" s="1339"/>
      <c r="G957" s="1340"/>
      <c r="H957" s="1341"/>
      <c r="I957" s="1338"/>
      <c r="J957" s="1339"/>
      <c r="K957" s="1340"/>
      <c r="L957" s="1341"/>
      <c r="M957" s="1338"/>
      <c r="N957" s="1339"/>
      <c r="O957" s="1340"/>
      <c r="P957" s="1341"/>
      <c r="X957" s="1343" t="e">
        <f ca="1"/>
        <v>#NAME?</v>
      </c>
      <c r="Y957" s="1344" t="e">
        <f ca="1"/>
        <v>#NAME?</v>
      </c>
    </row>
    <row r="958" spans="1:25" x14ac:dyDescent="0.2">
      <c r="A958" s="1338"/>
      <c r="B958" s="1339"/>
      <c r="C958" s="1340"/>
      <c r="D958" s="1341"/>
      <c r="E958" s="1338"/>
      <c r="F958" s="1339"/>
      <c r="G958" s="1340"/>
      <c r="H958" s="1341"/>
      <c r="I958" s="1338"/>
      <c r="J958" s="1339"/>
      <c r="K958" s="1340"/>
      <c r="L958" s="1341"/>
      <c r="M958" s="1338"/>
      <c r="N958" s="1339"/>
      <c r="O958" s="1340"/>
      <c r="P958" s="1341"/>
      <c r="X958" s="1343" t="e">
        <f ca="1"/>
        <v>#NAME?</v>
      </c>
      <c r="Y958" s="1344" t="e">
        <f ca="1"/>
        <v>#NAME?</v>
      </c>
    </row>
    <row r="959" spans="1:25" x14ac:dyDescent="0.2">
      <c r="A959" s="1338"/>
      <c r="B959" s="1339"/>
      <c r="C959" s="1340"/>
      <c r="D959" s="1341"/>
      <c r="E959" s="1338"/>
      <c r="F959" s="1339"/>
      <c r="G959" s="1340"/>
      <c r="H959" s="1341"/>
      <c r="I959" s="1338"/>
      <c r="J959" s="1339"/>
      <c r="K959" s="1340"/>
      <c r="L959" s="1341"/>
      <c r="M959" s="1338"/>
      <c r="N959" s="1339"/>
      <c r="O959" s="1340"/>
      <c r="P959" s="1341"/>
      <c r="X959" s="1343" t="e">
        <f ca="1"/>
        <v>#NAME?</v>
      </c>
      <c r="Y959" s="1344" t="e">
        <f ca="1"/>
        <v>#NAME?</v>
      </c>
    </row>
    <row r="960" spans="1:25" x14ac:dyDescent="0.2">
      <c r="A960" s="1338"/>
      <c r="B960" s="1339"/>
      <c r="C960" s="1340"/>
      <c r="D960" s="1341"/>
      <c r="E960" s="1338"/>
      <c r="F960" s="1339"/>
      <c r="G960" s="1340"/>
      <c r="H960" s="1341"/>
      <c r="I960" s="1338"/>
      <c r="J960" s="1339"/>
      <c r="K960" s="1340"/>
      <c r="L960" s="1341"/>
      <c r="M960" s="1338"/>
      <c r="N960" s="1339"/>
      <c r="O960" s="1340"/>
      <c r="P960" s="1341"/>
      <c r="X960" s="1343" t="e">
        <f ca="1"/>
        <v>#NAME?</v>
      </c>
      <c r="Y960" s="1344" t="e">
        <f ca="1"/>
        <v>#NAME?</v>
      </c>
    </row>
    <row r="961" spans="1:25" x14ac:dyDescent="0.2">
      <c r="A961" s="1338"/>
      <c r="B961" s="1339"/>
      <c r="C961" s="1340"/>
      <c r="D961" s="1341"/>
      <c r="E961" s="1338"/>
      <c r="F961" s="1339"/>
      <c r="G961" s="1340"/>
      <c r="H961" s="1341"/>
      <c r="I961" s="1338"/>
      <c r="J961" s="1339"/>
      <c r="K961" s="1340"/>
      <c r="L961" s="1341"/>
      <c r="M961" s="1338"/>
      <c r="N961" s="1339"/>
      <c r="O961" s="1340"/>
      <c r="P961" s="1341"/>
      <c r="X961" s="1343" t="e">
        <f ca="1"/>
        <v>#NAME?</v>
      </c>
      <c r="Y961" s="1344" t="e">
        <f ca="1"/>
        <v>#NAME?</v>
      </c>
    </row>
    <row r="962" spans="1:25" x14ac:dyDescent="0.2">
      <c r="A962" s="1338"/>
      <c r="B962" s="1339"/>
      <c r="C962" s="1340"/>
      <c r="D962" s="1341"/>
      <c r="E962" s="1338"/>
      <c r="F962" s="1339"/>
      <c r="G962" s="1340"/>
      <c r="H962" s="1341"/>
      <c r="I962" s="1338"/>
      <c r="J962" s="1339"/>
      <c r="K962" s="1340"/>
      <c r="L962" s="1341"/>
      <c r="M962" s="1338"/>
      <c r="N962" s="1339"/>
      <c r="O962" s="1340"/>
      <c r="P962" s="1341"/>
      <c r="X962" s="1343" t="e">
        <f ca="1"/>
        <v>#NAME?</v>
      </c>
      <c r="Y962" s="1344" t="e">
        <f ca="1"/>
        <v>#NAME?</v>
      </c>
    </row>
    <row r="963" spans="1:25" x14ac:dyDescent="0.2">
      <c r="A963" s="1338"/>
      <c r="B963" s="1339"/>
      <c r="C963" s="1340"/>
      <c r="D963" s="1341"/>
      <c r="E963" s="1338"/>
      <c r="F963" s="1339"/>
      <c r="G963" s="1340"/>
      <c r="H963" s="1341"/>
      <c r="I963" s="1338"/>
      <c r="J963" s="1339"/>
      <c r="K963" s="1340"/>
      <c r="L963" s="1341"/>
      <c r="M963" s="1338"/>
      <c r="N963" s="1339"/>
      <c r="O963" s="1340"/>
      <c r="P963" s="1341"/>
      <c r="X963" s="1343" t="e">
        <f ca="1"/>
        <v>#NAME?</v>
      </c>
      <c r="Y963" s="1344" t="e">
        <f ca="1"/>
        <v>#NAME?</v>
      </c>
    </row>
    <row r="964" spans="1:25" x14ac:dyDescent="0.2">
      <c r="A964" s="1338"/>
      <c r="B964" s="1339"/>
      <c r="C964" s="1340"/>
      <c r="D964" s="1341"/>
      <c r="E964" s="1338"/>
      <c r="F964" s="1339"/>
      <c r="G964" s="1340"/>
      <c r="H964" s="1341"/>
      <c r="I964" s="1338"/>
      <c r="J964" s="1339"/>
      <c r="K964" s="1340"/>
      <c r="L964" s="1341"/>
      <c r="M964" s="1338"/>
      <c r="N964" s="1339"/>
      <c r="O964" s="1340"/>
      <c r="P964" s="1341"/>
      <c r="X964" s="1343" t="e">
        <f ca="1"/>
        <v>#NAME?</v>
      </c>
      <c r="Y964" s="1344" t="e">
        <f ca="1"/>
        <v>#NAME?</v>
      </c>
    </row>
    <row r="965" spans="1:25" x14ac:dyDescent="0.2">
      <c r="A965" s="1338"/>
      <c r="B965" s="1339"/>
      <c r="C965" s="1340"/>
      <c r="D965" s="1341"/>
      <c r="E965" s="1338"/>
      <c r="F965" s="1339"/>
      <c r="G965" s="1340"/>
      <c r="H965" s="1341"/>
      <c r="I965" s="1338"/>
      <c r="J965" s="1339"/>
      <c r="K965" s="1340"/>
      <c r="L965" s="1341"/>
      <c r="M965" s="1338"/>
      <c r="N965" s="1339"/>
      <c r="O965" s="1340"/>
      <c r="P965" s="1341"/>
      <c r="X965" s="1343" t="e">
        <f ca="1"/>
        <v>#NAME?</v>
      </c>
      <c r="Y965" s="1344" t="e">
        <f ca="1"/>
        <v>#NAME?</v>
      </c>
    </row>
    <row r="966" spans="1:25" x14ac:dyDescent="0.2">
      <c r="A966" s="1338"/>
      <c r="B966" s="1339"/>
      <c r="C966" s="1340"/>
      <c r="D966" s="1341"/>
      <c r="E966" s="1338"/>
      <c r="F966" s="1339"/>
      <c r="G966" s="1340"/>
      <c r="H966" s="1341"/>
      <c r="I966" s="1338"/>
      <c r="J966" s="1339"/>
      <c r="K966" s="1340"/>
      <c r="L966" s="1341"/>
      <c r="M966" s="1338"/>
      <c r="N966" s="1339"/>
      <c r="O966" s="1340"/>
      <c r="P966" s="1341"/>
      <c r="X966" s="1343" t="e">
        <f ca="1"/>
        <v>#NAME?</v>
      </c>
      <c r="Y966" s="1344" t="e">
        <f ca="1"/>
        <v>#NAME?</v>
      </c>
    </row>
    <row r="967" spans="1:25" x14ac:dyDescent="0.2">
      <c r="A967" s="1338"/>
      <c r="B967" s="1339"/>
      <c r="C967" s="1340"/>
      <c r="D967" s="1341"/>
      <c r="E967" s="1338"/>
      <c r="F967" s="1339"/>
      <c r="G967" s="1340"/>
      <c r="H967" s="1341"/>
      <c r="I967" s="1338"/>
      <c r="J967" s="1339"/>
      <c r="K967" s="1340"/>
      <c r="L967" s="1341"/>
      <c r="M967" s="1338"/>
      <c r="N967" s="1339"/>
      <c r="O967" s="1340"/>
      <c r="P967" s="1341"/>
      <c r="X967" s="1343" t="e">
        <f ca="1"/>
        <v>#NAME?</v>
      </c>
      <c r="Y967" s="1344" t="e">
        <f ca="1"/>
        <v>#NAME?</v>
      </c>
    </row>
    <row r="968" spans="1:25" x14ac:dyDescent="0.2">
      <c r="A968" s="1338"/>
      <c r="B968" s="1339"/>
      <c r="C968" s="1340"/>
      <c r="D968" s="1341"/>
      <c r="E968" s="1338"/>
      <c r="F968" s="1339"/>
      <c r="G968" s="1340"/>
      <c r="H968" s="1341"/>
      <c r="I968" s="1338"/>
      <c r="J968" s="1339"/>
      <c r="K968" s="1340"/>
      <c r="L968" s="1341"/>
      <c r="M968" s="1338"/>
      <c r="N968" s="1339"/>
      <c r="O968" s="1340"/>
      <c r="P968" s="1341"/>
      <c r="X968" s="1343" t="e">
        <f ca="1"/>
        <v>#NAME?</v>
      </c>
      <c r="Y968" s="1344" t="e">
        <f ca="1"/>
        <v>#NAME?</v>
      </c>
    </row>
    <row r="969" spans="1:25" x14ac:dyDescent="0.2">
      <c r="A969" s="1338"/>
      <c r="B969" s="1339"/>
      <c r="C969" s="1340"/>
      <c r="D969" s="1341"/>
      <c r="E969" s="1338"/>
      <c r="F969" s="1339"/>
      <c r="G969" s="1340"/>
      <c r="H969" s="1341"/>
      <c r="I969" s="1338"/>
      <c r="J969" s="1339"/>
      <c r="K969" s="1340"/>
      <c r="L969" s="1341"/>
      <c r="M969" s="1338"/>
      <c r="N969" s="1339"/>
      <c r="O969" s="1340"/>
      <c r="P969" s="1341"/>
      <c r="X969" s="1343" t="e">
        <f ca="1"/>
        <v>#NAME?</v>
      </c>
      <c r="Y969" s="1344" t="e">
        <f ca="1"/>
        <v>#NAME?</v>
      </c>
    </row>
    <row r="970" spans="1:25" x14ac:dyDescent="0.2">
      <c r="A970" s="1338"/>
      <c r="B970" s="1339"/>
      <c r="C970" s="1340"/>
      <c r="D970" s="1341"/>
      <c r="E970" s="1338"/>
      <c r="F970" s="1339"/>
      <c r="G970" s="1340"/>
      <c r="H970" s="1341"/>
      <c r="I970" s="1338"/>
      <c r="J970" s="1339"/>
      <c r="K970" s="1340"/>
      <c r="L970" s="1341"/>
      <c r="M970" s="1338"/>
      <c r="N970" s="1339"/>
      <c r="O970" s="1340"/>
      <c r="P970" s="1341"/>
      <c r="X970" s="1343" t="e">
        <f ca="1"/>
        <v>#NAME?</v>
      </c>
      <c r="Y970" s="1344" t="e">
        <f ca="1"/>
        <v>#NAME?</v>
      </c>
    </row>
    <row r="971" spans="1:25" x14ac:dyDescent="0.2">
      <c r="A971" s="1338"/>
      <c r="B971" s="1339"/>
      <c r="C971" s="1340"/>
      <c r="D971" s="1341"/>
      <c r="E971" s="1338"/>
      <c r="F971" s="1339"/>
      <c r="G971" s="1340"/>
      <c r="H971" s="1341"/>
      <c r="I971" s="1338"/>
      <c r="J971" s="1339"/>
      <c r="K971" s="1340"/>
      <c r="L971" s="1341"/>
      <c r="M971" s="1338"/>
      <c r="N971" s="1339"/>
      <c r="O971" s="1340"/>
      <c r="P971" s="1341"/>
      <c r="X971" s="1343" t="e">
        <f ca="1"/>
        <v>#NAME?</v>
      </c>
      <c r="Y971" s="1344" t="e">
        <f ca="1"/>
        <v>#NAME?</v>
      </c>
    </row>
    <row r="972" spans="1:25" x14ac:dyDescent="0.2">
      <c r="A972" s="1338"/>
      <c r="B972" s="1339"/>
      <c r="C972" s="1340"/>
      <c r="D972" s="1341"/>
      <c r="E972" s="1338"/>
      <c r="F972" s="1339"/>
      <c r="G972" s="1340"/>
      <c r="H972" s="1341"/>
      <c r="I972" s="1338"/>
      <c r="J972" s="1339"/>
      <c r="K972" s="1340"/>
      <c r="L972" s="1341"/>
      <c r="M972" s="1338"/>
      <c r="N972" s="1339"/>
      <c r="O972" s="1340"/>
      <c r="P972" s="1341"/>
      <c r="X972" s="1343" t="e">
        <f ca="1"/>
        <v>#NAME?</v>
      </c>
      <c r="Y972" s="1344" t="e">
        <f ca="1"/>
        <v>#NAME?</v>
      </c>
    </row>
    <row r="973" spans="1:25" x14ac:dyDescent="0.2">
      <c r="A973" s="1338"/>
      <c r="B973" s="1339"/>
      <c r="C973" s="1340"/>
      <c r="D973" s="1341"/>
      <c r="E973" s="1338"/>
      <c r="F973" s="1339"/>
      <c r="G973" s="1340"/>
      <c r="H973" s="1341"/>
      <c r="I973" s="1338"/>
      <c r="J973" s="1339"/>
      <c r="K973" s="1340"/>
      <c r="L973" s="1341"/>
      <c r="M973" s="1338"/>
      <c r="N973" s="1339"/>
      <c r="O973" s="1340"/>
      <c r="P973" s="1341"/>
      <c r="X973" s="1343" t="e">
        <f ca="1"/>
        <v>#NAME?</v>
      </c>
      <c r="Y973" s="1344" t="e">
        <f ca="1"/>
        <v>#NAME?</v>
      </c>
    </row>
    <row r="974" spans="1:25" x14ac:dyDescent="0.2">
      <c r="A974" s="1338"/>
      <c r="B974" s="1339"/>
      <c r="C974" s="1340"/>
      <c r="D974" s="1341"/>
      <c r="E974" s="1338"/>
      <c r="F974" s="1339"/>
      <c r="G974" s="1340"/>
      <c r="H974" s="1341"/>
      <c r="I974" s="1338"/>
      <c r="J974" s="1339"/>
      <c r="K974" s="1340"/>
      <c r="L974" s="1341"/>
      <c r="M974" s="1338"/>
      <c r="N974" s="1339"/>
      <c r="O974" s="1340"/>
      <c r="P974" s="1341"/>
      <c r="X974" s="1343" t="e">
        <f ca="1"/>
        <v>#NAME?</v>
      </c>
      <c r="Y974" s="1344" t="e">
        <f ca="1"/>
        <v>#NAME?</v>
      </c>
    </row>
    <row r="975" spans="1:25" x14ac:dyDescent="0.2">
      <c r="A975" s="1338"/>
      <c r="B975" s="1339"/>
      <c r="C975" s="1340"/>
      <c r="D975" s="1341"/>
      <c r="E975" s="1338"/>
      <c r="F975" s="1339"/>
      <c r="G975" s="1340"/>
      <c r="H975" s="1341"/>
      <c r="I975" s="1338"/>
      <c r="J975" s="1339"/>
      <c r="K975" s="1340"/>
      <c r="L975" s="1341"/>
      <c r="M975" s="1338"/>
      <c r="N975" s="1339"/>
      <c r="O975" s="1340"/>
      <c r="P975" s="1341"/>
      <c r="X975" s="1343" t="e">
        <f ca="1"/>
        <v>#NAME?</v>
      </c>
      <c r="Y975" s="1344" t="e">
        <f ca="1"/>
        <v>#NAME?</v>
      </c>
    </row>
    <row r="976" spans="1:25" x14ac:dyDescent="0.2">
      <c r="A976" s="1338"/>
      <c r="B976" s="1339"/>
      <c r="C976" s="1340"/>
      <c r="D976" s="1341"/>
      <c r="E976" s="1338"/>
      <c r="F976" s="1339"/>
      <c r="G976" s="1340"/>
      <c r="H976" s="1341"/>
      <c r="I976" s="1338"/>
      <c r="J976" s="1339"/>
      <c r="K976" s="1340"/>
      <c r="L976" s="1341"/>
      <c r="M976" s="1338"/>
      <c r="N976" s="1339"/>
      <c r="O976" s="1340"/>
      <c r="P976" s="1341"/>
      <c r="X976" s="1343" t="e">
        <f ca="1"/>
        <v>#NAME?</v>
      </c>
      <c r="Y976" s="1344" t="e">
        <f ca="1"/>
        <v>#NAME?</v>
      </c>
    </row>
    <row r="977" spans="1:25" x14ac:dyDescent="0.2">
      <c r="A977" s="1338"/>
      <c r="B977" s="1339"/>
      <c r="C977" s="1340"/>
      <c r="D977" s="1341"/>
      <c r="E977" s="1338"/>
      <c r="F977" s="1339"/>
      <c r="G977" s="1340"/>
      <c r="H977" s="1341"/>
      <c r="I977" s="1338"/>
      <c r="J977" s="1339"/>
      <c r="K977" s="1340"/>
      <c r="L977" s="1341"/>
      <c r="M977" s="1338"/>
      <c r="N977" s="1339"/>
      <c r="O977" s="1340"/>
      <c r="P977" s="1341"/>
      <c r="X977" s="1343" t="e">
        <f ca="1"/>
        <v>#NAME?</v>
      </c>
      <c r="Y977" s="1344" t="e">
        <f ca="1"/>
        <v>#NAME?</v>
      </c>
    </row>
    <row r="978" spans="1:25" x14ac:dyDescent="0.2">
      <c r="A978" s="1338"/>
      <c r="B978" s="1339"/>
      <c r="C978" s="1340"/>
      <c r="D978" s="1341"/>
      <c r="E978" s="1338"/>
      <c r="F978" s="1339"/>
      <c r="G978" s="1340"/>
      <c r="H978" s="1341"/>
      <c r="I978" s="1338"/>
      <c r="J978" s="1339"/>
      <c r="K978" s="1340"/>
      <c r="L978" s="1341"/>
      <c r="M978" s="1338"/>
      <c r="N978" s="1339"/>
      <c r="O978" s="1340"/>
      <c r="P978" s="1341"/>
      <c r="X978" s="1343" t="e">
        <f ca="1"/>
        <v>#NAME?</v>
      </c>
      <c r="Y978" s="1344" t="e">
        <f ca="1"/>
        <v>#NAME?</v>
      </c>
    </row>
    <row r="979" spans="1:25" x14ac:dyDescent="0.2">
      <c r="A979" s="1338"/>
      <c r="B979" s="1339"/>
      <c r="C979" s="1340"/>
      <c r="D979" s="1341"/>
      <c r="E979" s="1338"/>
      <c r="F979" s="1339"/>
      <c r="G979" s="1340"/>
      <c r="H979" s="1341"/>
      <c r="I979" s="1338"/>
      <c r="J979" s="1339"/>
      <c r="K979" s="1340"/>
      <c r="L979" s="1341"/>
      <c r="M979" s="1338"/>
      <c r="N979" s="1339"/>
      <c r="O979" s="1340"/>
      <c r="P979" s="1341"/>
      <c r="X979" s="1343" t="e">
        <f ca="1"/>
        <v>#NAME?</v>
      </c>
      <c r="Y979" s="1344" t="e">
        <f ca="1"/>
        <v>#NAME?</v>
      </c>
    </row>
    <row r="980" spans="1:25" x14ac:dyDescent="0.2">
      <c r="A980" s="1338"/>
      <c r="B980" s="1339"/>
      <c r="C980" s="1340"/>
      <c r="D980" s="1341"/>
      <c r="E980" s="1338"/>
      <c r="F980" s="1339"/>
      <c r="G980" s="1340"/>
      <c r="H980" s="1341"/>
      <c r="I980" s="1338"/>
      <c r="J980" s="1339"/>
      <c r="K980" s="1340"/>
      <c r="L980" s="1341"/>
      <c r="M980" s="1338"/>
      <c r="N980" s="1339"/>
      <c r="O980" s="1340"/>
      <c r="P980" s="1341"/>
      <c r="X980" s="1343" t="e">
        <f ca="1"/>
        <v>#NAME?</v>
      </c>
      <c r="Y980" s="1344" t="e">
        <f ca="1"/>
        <v>#NAME?</v>
      </c>
    </row>
    <row r="981" spans="1:25" x14ac:dyDescent="0.2">
      <c r="A981" s="1338"/>
      <c r="B981" s="1339"/>
      <c r="C981" s="1340"/>
      <c r="D981" s="1341"/>
      <c r="E981" s="1338"/>
      <c r="F981" s="1339"/>
      <c r="G981" s="1340"/>
      <c r="H981" s="1341"/>
      <c r="I981" s="1338"/>
      <c r="J981" s="1339"/>
      <c r="K981" s="1340"/>
      <c r="L981" s="1341"/>
      <c r="M981" s="1338"/>
      <c r="N981" s="1339"/>
      <c r="O981" s="1340"/>
      <c r="P981" s="1341"/>
      <c r="X981" s="1343" t="e">
        <f ca="1"/>
        <v>#NAME?</v>
      </c>
      <c r="Y981" s="1344" t="e">
        <f ca="1"/>
        <v>#NAME?</v>
      </c>
    </row>
    <row r="982" spans="1:25" x14ac:dyDescent="0.2">
      <c r="A982" s="1338"/>
      <c r="B982" s="1339"/>
      <c r="C982" s="1340"/>
      <c r="D982" s="1341"/>
      <c r="E982" s="1338"/>
      <c r="F982" s="1339"/>
      <c r="G982" s="1340"/>
      <c r="H982" s="1341"/>
      <c r="I982" s="1338"/>
      <c r="J982" s="1339"/>
      <c r="K982" s="1340"/>
      <c r="L982" s="1341"/>
      <c r="M982" s="1338"/>
      <c r="N982" s="1339"/>
      <c r="O982" s="1340"/>
      <c r="P982" s="1341"/>
      <c r="X982" s="1343" t="e">
        <f ca="1"/>
        <v>#NAME?</v>
      </c>
      <c r="Y982" s="1344" t="e">
        <f ca="1"/>
        <v>#NAME?</v>
      </c>
    </row>
    <row r="983" spans="1:25" x14ac:dyDescent="0.2">
      <c r="A983" s="1338"/>
      <c r="B983" s="1339"/>
      <c r="C983" s="1340"/>
      <c r="D983" s="1341"/>
      <c r="E983" s="1338"/>
      <c r="F983" s="1339"/>
      <c r="G983" s="1340"/>
      <c r="H983" s="1341"/>
      <c r="I983" s="1338"/>
      <c r="J983" s="1339"/>
      <c r="K983" s="1340"/>
      <c r="L983" s="1341"/>
      <c r="M983" s="1338"/>
      <c r="N983" s="1339"/>
      <c r="O983" s="1340"/>
      <c r="P983" s="1341"/>
      <c r="X983" s="1343" t="e">
        <f ca="1"/>
        <v>#NAME?</v>
      </c>
      <c r="Y983" s="1344" t="e">
        <f ca="1"/>
        <v>#NAME?</v>
      </c>
    </row>
    <row r="984" spans="1:25" x14ac:dyDescent="0.2">
      <c r="A984" s="1338"/>
      <c r="B984" s="1339"/>
      <c r="C984" s="1340"/>
      <c r="D984" s="1341"/>
      <c r="E984" s="1338"/>
      <c r="F984" s="1339"/>
      <c r="G984" s="1340"/>
      <c r="H984" s="1341"/>
      <c r="I984" s="1338"/>
      <c r="J984" s="1339"/>
      <c r="K984" s="1340"/>
      <c r="L984" s="1341"/>
      <c r="M984" s="1338"/>
      <c r="N984" s="1339"/>
      <c r="O984" s="1340"/>
      <c r="P984" s="1341"/>
      <c r="X984" s="1343" t="e">
        <f ca="1"/>
        <v>#NAME?</v>
      </c>
      <c r="Y984" s="1344" t="e">
        <f ca="1"/>
        <v>#NAME?</v>
      </c>
    </row>
    <row r="985" spans="1:25" x14ac:dyDescent="0.2">
      <c r="A985" s="1338"/>
      <c r="B985" s="1339"/>
      <c r="C985" s="1340"/>
      <c r="D985" s="1341"/>
      <c r="E985" s="1338"/>
      <c r="F985" s="1339"/>
      <c r="G985" s="1340"/>
      <c r="H985" s="1341"/>
      <c r="I985" s="1338"/>
      <c r="J985" s="1339"/>
      <c r="K985" s="1340"/>
      <c r="L985" s="1341"/>
      <c r="M985" s="1338"/>
      <c r="N985" s="1339"/>
      <c r="O985" s="1340"/>
      <c r="P985" s="1341"/>
      <c r="X985" s="1343" t="e">
        <f ca="1"/>
        <v>#NAME?</v>
      </c>
      <c r="Y985" s="1344" t="e">
        <f ca="1"/>
        <v>#NAME?</v>
      </c>
    </row>
    <row r="986" spans="1:25" x14ac:dyDescent="0.2">
      <c r="A986" s="1338"/>
      <c r="B986" s="1339"/>
      <c r="C986" s="1340"/>
      <c r="D986" s="1341"/>
      <c r="E986" s="1338"/>
      <c r="F986" s="1339"/>
      <c r="G986" s="1340"/>
      <c r="H986" s="1341"/>
      <c r="I986" s="1338"/>
      <c r="J986" s="1339"/>
      <c r="K986" s="1340"/>
      <c r="L986" s="1341"/>
      <c r="M986" s="1338"/>
      <c r="N986" s="1339"/>
      <c r="O986" s="1340"/>
      <c r="P986" s="1341"/>
      <c r="X986" s="1343" t="e">
        <f ca="1"/>
        <v>#NAME?</v>
      </c>
      <c r="Y986" s="1344" t="e">
        <f ca="1"/>
        <v>#NAME?</v>
      </c>
    </row>
    <row r="987" spans="1:25" x14ac:dyDescent="0.2">
      <c r="A987" s="1338"/>
      <c r="B987" s="1339"/>
      <c r="C987" s="1340"/>
      <c r="D987" s="1341"/>
      <c r="E987" s="1338"/>
      <c r="F987" s="1339"/>
      <c r="G987" s="1340"/>
      <c r="H987" s="1341"/>
      <c r="I987" s="1338"/>
      <c r="J987" s="1339"/>
      <c r="K987" s="1340"/>
      <c r="L987" s="1341"/>
      <c r="M987" s="1338"/>
      <c r="N987" s="1339"/>
      <c r="O987" s="1340"/>
      <c r="P987" s="1341"/>
      <c r="X987" s="1343" t="e">
        <f ca="1"/>
        <v>#NAME?</v>
      </c>
      <c r="Y987" s="1344" t="e">
        <f ca="1"/>
        <v>#NAME?</v>
      </c>
    </row>
    <row r="988" spans="1:25" x14ac:dyDescent="0.2">
      <c r="A988" s="1338"/>
      <c r="B988" s="1339"/>
      <c r="C988" s="1340"/>
      <c r="D988" s="1341"/>
      <c r="E988" s="1338"/>
      <c r="F988" s="1339"/>
      <c r="G988" s="1340"/>
      <c r="H988" s="1341"/>
      <c r="I988" s="1338"/>
      <c r="J988" s="1339"/>
      <c r="K988" s="1340"/>
      <c r="L988" s="1341"/>
      <c r="M988" s="1338"/>
      <c r="N988" s="1339"/>
      <c r="O988" s="1340"/>
      <c r="P988" s="1341"/>
      <c r="X988" s="1343" t="e">
        <f ca="1"/>
        <v>#NAME?</v>
      </c>
      <c r="Y988" s="1344" t="e">
        <f ca="1"/>
        <v>#NAME?</v>
      </c>
    </row>
    <row r="989" spans="1:25" x14ac:dyDescent="0.2">
      <c r="A989" s="1338"/>
      <c r="B989" s="1339"/>
      <c r="C989" s="1340"/>
      <c r="D989" s="1341"/>
      <c r="E989" s="1338"/>
      <c r="F989" s="1339"/>
      <c r="G989" s="1340"/>
      <c r="H989" s="1341"/>
      <c r="I989" s="1338"/>
      <c r="J989" s="1339"/>
      <c r="K989" s="1340"/>
      <c r="L989" s="1341"/>
      <c r="M989" s="1338"/>
      <c r="N989" s="1339"/>
      <c r="O989" s="1340"/>
      <c r="P989" s="1341"/>
      <c r="X989" s="1343" t="e">
        <f ca="1"/>
        <v>#NAME?</v>
      </c>
      <c r="Y989" s="1344" t="e">
        <f ca="1"/>
        <v>#NAME?</v>
      </c>
    </row>
    <row r="990" spans="1:25" x14ac:dyDescent="0.2">
      <c r="A990" s="1338"/>
      <c r="B990" s="1339"/>
      <c r="C990" s="1340"/>
      <c r="D990" s="1341"/>
      <c r="E990" s="1338"/>
      <c r="F990" s="1339"/>
      <c r="G990" s="1340"/>
      <c r="H990" s="1341"/>
      <c r="I990" s="1338"/>
      <c r="J990" s="1339"/>
      <c r="K990" s="1340"/>
      <c r="L990" s="1341"/>
      <c r="M990" s="1338"/>
      <c r="N990" s="1339"/>
      <c r="O990" s="1340"/>
      <c r="P990" s="1341"/>
      <c r="X990" s="1343" t="e">
        <f ca="1"/>
        <v>#NAME?</v>
      </c>
      <c r="Y990" s="1344" t="e">
        <f ca="1"/>
        <v>#NAME?</v>
      </c>
    </row>
    <row r="991" spans="1:25" x14ac:dyDescent="0.2">
      <c r="A991" s="1338"/>
      <c r="B991" s="1339"/>
      <c r="C991" s="1340"/>
      <c r="D991" s="1341"/>
      <c r="E991" s="1338"/>
      <c r="F991" s="1339"/>
      <c r="G991" s="1340"/>
      <c r="H991" s="1341"/>
      <c r="I991" s="1338"/>
      <c r="J991" s="1339"/>
      <c r="K991" s="1340"/>
      <c r="L991" s="1341"/>
      <c r="M991" s="1338"/>
      <c r="N991" s="1339"/>
      <c r="O991" s="1340"/>
      <c r="P991" s="1341"/>
      <c r="X991" s="1343" t="e">
        <f ca="1"/>
        <v>#NAME?</v>
      </c>
      <c r="Y991" s="1344" t="e">
        <f ca="1"/>
        <v>#NAME?</v>
      </c>
    </row>
    <row r="992" spans="1:25" x14ac:dyDescent="0.2">
      <c r="A992" s="1338"/>
      <c r="B992" s="1339"/>
      <c r="C992" s="1340"/>
      <c r="D992" s="1341"/>
      <c r="E992" s="1338"/>
      <c r="F992" s="1339"/>
      <c r="G992" s="1340"/>
      <c r="H992" s="1341"/>
      <c r="I992" s="1338"/>
      <c r="J992" s="1339"/>
      <c r="K992" s="1340"/>
      <c r="L992" s="1341"/>
      <c r="M992" s="1338"/>
      <c r="N992" s="1339"/>
      <c r="O992" s="1340"/>
      <c r="P992" s="1341"/>
      <c r="X992" s="1343" t="e">
        <f ca="1"/>
        <v>#NAME?</v>
      </c>
      <c r="Y992" s="1344" t="e">
        <f ca="1"/>
        <v>#NAME?</v>
      </c>
    </row>
    <row r="993" spans="1:25" x14ac:dyDescent="0.2">
      <c r="A993" s="1338"/>
      <c r="B993" s="1339"/>
      <c r="C993" s="1340"/>
      <c r="D993" s="1341"/>
      <c r="E993" s="1338"/>
      <c r="F993" s="1339"/>
      <c r="G993" s="1340"/>
      <c r="H993" s="1341"/>
      <c r="I993" s="1338"/>
      <c r="J993" s="1339"/>
      <c r="K993" s="1340"/>
      <c r="L993" s="1341"/>
      <c r="M993" s="1338"/>
      <c r="N993" s="1339"/>
      <c r="O993" s="1340"/>
      <c r="P993" s="1341"/>
      <c r="X993" s="1343" t="e">
        <f ca="1"/>
        <v>#NAME?</v>
      </c>
      <c r="Y993" s="1344" t="e">
        <f ca="1"/>
        <v>#NAME?</v>
      </c>
    </row>
    <row r="994" spans="1:25" x14ac:dyDescent="0.2">
      <c r="A994" s="1338"/>
      <c r="B994" s="1339"/>
      <c r="C994" s="1340"/>
      <c r="D994" s="1341"/>
      <c r="E994" s="1338"/>
      <c r="F994" s="1339"/>
      <c r="G994" s="1340"/>
      <c r="H994" s="1341"/>
      <c r="I994" s="1338"/>
      <c r="J994" s="1339"/>
      <c r="K994" s="1340"/>
      <c r="L994" s="1341"/>
      <c r="M994" s="1338"/>
      <c r="N994" s="1339"/>
      <c r="O994" s="1340"/>
      <c r="P994" s="1341"/>
      <c r="X994" s="1343" t="e">
        <f ca="1"/>
        <v>#NAME?</v>
      </c>
      <c r="Y994" s="1344" t="e">
        <f ca="1"/>
        <v>#NAME?</v>
      </c>
    </row>
    <row r="995" spans="1:25" x14ac:dyDescent="0.2">
      <c r="A995" s="1338"/>
      <c r="B995" s="1339"/>
      <c r="C995" s="1340"/>
      <c r="D995" s="1341"/>
      <c r="E995" s="1338"/>
      <c r="F995" s="1339"/>
      <c r="G995" s="1340"/>
      <c r="H995" s="1341"/>
      <c r="I995" s="1338"/>
      <c r="J995" s="1339"/>
      <c r="K995" s="1340"/>
      <c r="L995" s="1341"/>
      <c r="M995" s="1338"/>
      <c r="N995" s="1339"/>
      <c r="O995" s="1340"/>
      <c r="P995" s="1341"/>
      <c r="X995" s="1343" t="e">
        <f ca="1"/>
        <v>#NAME?</v>
      </c>
      <c r="Y995" s="1344" t="e">
        <f ca="1"/>
        <v>#NAME?</v>
      </c>
    </row>
    <row r="996" spans="1:25" x14ac:dyDescent="0.2">
      <c r="A996" s="1338"/>
      <c r="B996" s="1339"/>
      <c r="C996" s="1340"/>
      <c r="D996" s="1341"/>
      <c r="E996" s="1338"/>
      <c r="F996" s="1339"/>
      <c r="G996" s="1340"/>
      <c r="H996" s="1341"/>
      <c r="I996" s="1338"/>
      <c r="J996" s="1339"/>
      <c r="K996" s="1340"/>
      <c r="L996" s="1341"/>
      <c r="M996" s="1338"/>
      <c r="N996" s="1339"/>
      <c r="O996" s="1340"/>
      <c r="P996" s="1341"/>
      <c r="X996" s="1343" t="e">
        <f ca="1"/>
        <v>#NAME?</v>
      </c>
      <c r="Y996" s="1344" t="e">
        <f ca="1"/>
        <v>#NAME?</v>
      </c>
    </row>
    <row r="997" spans="1:25" x14ac:dyDescent="0.2">
      <c r="A997" s="1338"/>
      <c r="B997" s="1339"/>
      <c r="C997" s="1340"/>
      <c r="D997" s="1341"/>
      <c r="E997" s="1338"/>
      <c r="F997" s="1339"/>
      <c r="G997" s="1340"/>
      <c r="H997" s="1341"/>
      <c r="I997" s="1338"/>
      <c r="J997" s="1339"/>
      <c r="K997" s="1340"/>
      <c r="L997" s="1341"/>
      <c r="M997" s="1338"/>
      <c r="N997" s="1339"/>
      <c r="O997" s="1340"/>
      <c r="P997" s="1341"/>
      <c r="X997" s="1343" t="e">
        <f ca="1"/>
        <v>#NAME?</v>
      </c>
      <c r="Y997" s="1344" t="e">
        <f ca="1"/>
        <v>#NAME?</v>
      </c>
    </row>
    <row r="998" spans="1:25" x14ac:dyDescent="0.2">
      <c r="A998" s="1338"/>
      <c r="B998" s="1339"/>
      <c r="C998" s="1340"/>
      <c r="D998" s="1341"/>
      <c r="E998" s="1338"/>
      <c r="F998" s="1339"/>
      <c r="G998" s="1340"/>
      <c r="H998" s="1341"/>
      <c r="I998" s="1338"/>
      <c r="J998" s="1339"/>
      <c r="K998" s="1340"/>
      <c r="L998" s="1341"/>
      <c r="M998" s="1338"/>
      <c r="N998" s="1339"/>
      <c r="O998" s="1340"/>
      <c r="P998" s="1341"/>
      <c r="X998" s="1343" t="e">
        <f ca="1"/>
        <v>#NAME?</v>
      </c>
      <c r="Y998" s="1344" t="e">
        <f ca="1"/>
        <v>#NAME?</v>
      </c>
    </row>
    <row r="999" spans="1:25" x14ac:dyDescent="0.2">
      <c r="A999" s="1338"/>
      <c r="B999" s="1339"/>
      <c r="C999" s="1340"/>
      <c r="D999" s="1341"/>
      <c r="E999" s="1338"/>
      <c r="F999" s="1339"/>
      <c r="G999" s="1340"/>
      <c r="H999" s="1341"/>
      <c r="I999" s="1338"/>
      <c r="J999" s="1339"/>
      <c r="K999" s="1340"/>
      <c r="L999" s="1341"/>
      <c r="M999" s="1338"/>
      <c r="N999" s="1339"/>
      <c r="O999" s="1340"/>
      <c r="P999" s="1341"/>
      <c r="X999" s="1343" t="e">
        <f ca="1"/>
        <v>#NAME?</v>
      </c>
      <c r="Y999" s="1344" t="e">
        <f ca="1"/>
        <v>#NAME?</v>
      </c>
    </row>
    <row r="1000" spans="1:25" x14ac:dyDescent="0.2">
      <c r="A1000" s="1338"/>
      <c r="B1000" s="1339"/>
      <c r="C1000" s="1340"/>
      <c r="D1000" s="1341"/>
      <c r="E1000" s="1338"/>
      <c r="F1000" s="1339"/>
      <c r="G1000" s="1340"/>
      <c r="H1000" s="1341"/>
      <c r="I1000" s="1338"/>
      <c r="J1000" s="1339"/>
      <c r="K1000" s="1340"/>
      <c r="L1000" s="1341"/>
      <c r="M1000" s="1338"/>
      <c r="N1000" s="1339"/>
      <c r="O1000" s="1340"/>
      <c r="P1000" s="1341"/>
      <c r="X1000" s="1343" t="e">
        <f ca="1"/>
        <v>#NAME?</v>
      </c>
      <c r="Y1000" s="1344" t="e">
        <f ca="1"/>
        <v>#NAME?</v>
      </c>
    </row>
    <row r="1001" spans="1:25" x14ac:dyDescent="0.2">
      <c r="A1001" s="1338"/>
      <c r="B1001" s="1339"/>
      <c r="C1001" s="1340"/>
      <c r="D1001" s="1341"/>
      <c r="E1001" s="1338"/>
      <c r="F1001" s="1339"/>
      <c r="G1001" s="1340"/>
      <c r="H1001" s="1341"/>
      <c r="I1001" s="1338"/>
      <c r="J1001" s="1339"/>
      <c r="K1001" s="1340"/>
      <c r="L1001" s="1341"/>
      <c r="M1001" s="1338"/>
      <c r="N1001" s="1339"/>
      <c r="O1001" s="1340"/>
      <c r="P1001" s="1341"/>
      <c r="X1001" s="1343" t="e">
        <f ca="1"/>
        <v>#NAME?</v>
      </c>
      <c r="Y1001" s="1344" t="e">
        <f ca="1"/>
        <v>#NAME?</v>
      </c>
    </row>
    <row r="1002" spans="1:25" x14ac:dyDescent="0.2">
      <c r="A1002" s="1338"/>
      <c r="B1002" s="1339"/>
      <c r="C1002" s="1340"/>
      <c r="D1002" s="1341"/>
      <c r="E1002" s="1338"/>
      <c r="F1002" s="1339"/>
      <c r="G1002" s="1340"/>
      <c r="H1002" s="1341"/>
      <c r="I1002" s="1338"/>
      <c r="J1002" s="1339"/>
      <c r="K1002" s="1340"/>
      <c r="L1002" s="1341"/>
      <c r="M1002" s="1338"/>
      <c r="N1002" s="1339"/>
      <c r="O1002" s="1340"/>
      <c r="P1002" s="1341"/>
      <c r="X1002" s="1343" t="e">
        <f ca="1"/>
        <v>#NAME?</v>
      </c>
      <c r="Y1002" s="1344" t="e">
        <f ca="1"/>
        <v>#NAME?</v>
      </c>
    </row>
    <row r="1003" spans="1:25" x14ac:dyDescent="0.2">
      <c r="A1003" s="1338"/>
      <c r="B1003" s="1339"/>
      <c r="C1003" s="1340"/>
      <c r="D1003" s="1341"/>
      <c r="E1003" s="1338"/>
      <c r="F1003" s="1339"/>
      <c r="G1003" s="1340"/>
      <c r="H1003" s="1341"/>
      <c r="I1003" s="1338"/>
      <c r="J1003" s="1339"/>
      <c r="K1003" s="1340"/>
      <c r="L1003" s="1341"/>
      <c r="M1003" s="1338"/>
      <c r="N1003" s="1339"/>
      <c r="O1003" s="1340"/>
      <c r="P1003" s="1341"/>
      <c r="X1003" s="1343" t="e">
        <f ca="1"/>
        <v>#NAME?</v>
      </c>
      <c r="Y1003" s="1344" t="e">
        <f ca="1"/>
        <v>#NAME?</v>
      </c>
    </row>
    <row r="1004" spans="1:25" x14ac:dyDescent="0.2">
      <c r="A1004" s="1338"/>
      <c r="B1004" s="1339"/>
      <c r="C1004" s="1340"/>
      <c r="D1004" s="1341"/>
      <c r="E1004" s="1338"/>
      <c r="F1004" s="1339"/>
      <c r="G1004" s="1340"/>
      <c r="H1004" s="1341"/>
      <c r="I1004" s="1338"/>
      <c r="J1004" s="1339"/>
      <c r="K1004" s="1340"/>
      <c r="L1004" s="1341"/>
      <c r="M1004" s="1338"/>
      <c r="N1004" s="1339"/>
      <c r="O1004" s="1340"/>
      <c r="P1004" s="1341"/>
      <c r="X1004" s="1343" t="e">
        <f ca="1"/>
        <v>#NAME?</v>
      </c>
      <c r="Y1004" s="1344" t="e">
        <f ca="1"/>
        <v>#NAME?</v>
      </c>
    </row>
    <row r="1005" spans="1:25" x14ac:dyDescent="0.2">
      <c r="A1005" s="1338"/>
      <c r="B1005" s="1339"/>
      <c r="C1005" s="1340"/>
      <c r="D1005" s="1341"/>
      <c r="E1005" s="1338"/>
      <c r="F1005" s="1339"/>
      <c r="G1005" s="1340"/>
      <c r="H1005" s="1341"/>
      <c r="I1005" s="1338"/>
      <c r="J1005" s="1339"/>
      <c r="K1005" s="1340"/>
      <c r="L1005" s="1341"/>
      <c r="M1005" s="1338"/>
      <c r="N1005" s="1339"/>
      <c r="O1005" s="1340"/>
      <c r="P1005" s="1341"/>
      <c r="X1005" s="1343" t="e">
        <f ca="1"/>
        <v>#NAME?</v>
      </c>
      <c r="Y1005" s="1344" t="e">
        <f ca="1"/>
        <v>#NAME?</v>
      </c>
    </row>
    <row r="1006" spans="1:25" x14ac:dyDescent="0.2">
      <c r="A1006" s="1338"/>
      <c r="B1006" s="1339"/>
      <c r="C1006" s="1340"/>
      <c r="D1006" s="1341"/>
      <c r="E1006" s="1338"/>
      <c r="F1006" s="1339"/>
      <c r="G1006" s="1340"/>
      <c r="H1006" s="1341"/>
      <c r="I1006" s="1338"/>
      <c r="J1006" s="1339"/>
      <c r="K1006" s="1340"/>
      <c r="L1006" s="1341"/>
      <c r="M1006" s="1338"/>
      <c r="N1006" s="1339"/>
      <c r="O1006" s="1340"/>
      <c r="P1006" s="1341"/>
      <c r="X1006" s="1343" t="e">
        <f ca="1"/>
        <v>#NAME?</v>
      </c>
      <c r="Y1006" s="1344" t="e">
        <f ca="1"/>
        <v>#NAME?</v>
      </c>
    </row>
    <row r="1007" spans="1:25" x14ac:dyDescent="0.2">
      <c r="A1007" s="1338"/>
      <c r="B1007" s="1339"/>
      <c r="C1007" s="1340"/>
      <c r="D1007" s="1341"/>
      <c r="E1007" s="1338"/>
      <c r="F1007" s="1339"/>
      <c r="G1007" s="1340"/>
      <c r="H1007" s="1341"/>
      <c r="I1007" s="1338"/>
      <c r="J1007" s="1339"/>
      <c r="K1007" s="1340"/>
      <c r="L1007" s="1341"/>
      <c r="M1007" s="1338"/>
      <c r="N1007" s="1339"/>
      <c r="O1007" s="1340"/>
      <c r="P1007" s="1341"/>
      <c r="X1007" s="1343" t="e">
        <f ca="1"/>
        <v>#NAME?</v>
      </c>
      <c r="Y1007" s="1344" t="e">
        <f ca="1"/>
        <v>#NAME?</v>
      </c>
    </row>
    <row r="1008" spans="1:25" x14ac:dyDescent="0.2">
      <c r="A1008" s="1338"/>
      <c r="B1008" s="1339"/>
      <c r="C1008" s="1340"/>
      <c r="D1008" s="1341"/>
      <c r="E1008" s="1338"/>
      <c r="F1008" s="1339"/>
      <c r="G1008" s="1340"/>
      <c r="H1008" s="1341"/>
      <c r="I1008" s="1338"/>
      <c r="J1008" s="1339"/>
      <c r="K1008" s="1340"/>
      <c r="L1008" s="1341"/>
      <c r="M1008" s="1338"/>
      <c r="N1008" s="1339"/>
      <c r="O1008" s="1340"/>
      <c r="P1008" s="1341"/>
      <c r="X1008" s="1343" t="e">
        <f ca="1"/>
        <v>#NAME?</v>
      </c>
      <c r="Y1008" s="1344" t="e">
        <f ca="1"/>
        <v>#NAME?</v>
      </c>
    </row>
    <row r="1009" spans="1:25" x14ac:dyDescent="0.2">
      <c r="A1009" s="1338"/>
      <c r="B1009" s="1339"/>
      <c r="C1009" s="1340"/>
      <c r="D1009" s="1341"/>
      <c r="E1009" s="1338"/>
      <c r="F1009" s="1339"/>
      <c r="G1009" s="1340"/>
      <c r="H1009" s="1341"/>
      <c r="I1009" s="1338"/>
      <c r="J1009" s="1339"/>
      <c r="K1009" s="1340"/>
      <c r="L1009" s="1341"/>
      <c r="M1009" s="1338"/>
      <c r="N1009" s="1339"/>
      <c r="O1009" s="1340"/>
      <c r="P1009" s="1341"/>
      <c r="X1009" s="1343" t="e">
        <f ca="1"/>
        <v>#NAME?</v>
      </c>
      <c r="Y1009" s="1344" t="e">
        <f ca="1"/>
        <v>#NAME?</v>
      </c>
    </row>
    <row r="1010" spans="1:25" x14ac:dyDescent="0.2">
      <c r="A1010" s="1338"/>
      <c r="B1010" s="1339"/>
      <c r="C1010" s="1340"/>
      <c r="D1010" s="1341"/>
      <c r="E1010" s="1338"/>
      <c r="F1010" s="1339"/>
      <c r="G1010" s="1340"/>
      <c r="H1010" s="1341"/>
      <c r="I1010" s="1338"/>
      <c r="J1010" s="1339"/>
      <c r="K1010" s="1340"/>
      <c r="L1010" s="1341"/>
      <c r="M1010" s="1338"/>
      <c r="N1010" s="1339"/>
      <c r="O1010" s="1340"/>
      <c r="P1010" s="1341"/>
      <c r="X1010" s="1343" t="e">
        <f ca="1"/>
        <v>#NAME?</v>
      </c>
      <c r="Y1010" s="1344" t="e">
        <f ca="1"/>
        <v>#NAME?</v>
      </c>
    </row>
    <row r="1011" spans="1:25" x14ac:dyDescent="0.2">
      <c r="A1011" s="1338"/>
      <c r="B1011" s="1339"/>
      <c r="C1011" s="1340"/>
      <c r="D1011" s="1341"/>
      <c r="E1011" s="1338"/>
      <c r="F1011" s="1339"/>
      <c r="G1011" s="1340"/>
      <c r="H1011" s="1341"/>
      <c r="I1011" s="1338"/>
      <c r="J1011" s="1339"/>
      <c r="K1011" s="1340"/>
      <c r="L1011" s="1341"/>
      <c r="M1011" s="1338"/>
      <c r="N1011" s="1339"/>
      <c r="O1011" s="1340"/>
      <c r="P1011" s="1341"/>
      <c r="X1011" s="1343" t="e">
        <f ca="1"/>
        <v>#NAME?</v>
      </c>
      <c r="Y1011" s="1344" t="e">
        <f ca="1"/>
        <v>#NAME?</v>
      </c>
    </row>
    <row r="1012" spans="1:25" x14ac:dyDescent="0.2">
      <c r="A1012" s="1338"/>
      <c r="B1012" s="1339"/>
      <c r="C1012" s="1340"/>
      <c r="D1012" s="1341"/>
      <c r="E1012" s="1338"/>
      <c r="F1012" s="1339"/>
      <c r="G1012" s="1340"/>
      <c r="H1012" s="1341"/>
      <c r="I1012" s="1338"/>
      <c r="J1012" s="1339"/>
      <c r="K1012" s="1340"/>
      <c r="L1012" s="1341"/>
      <c r="M1012" s="1338"/>
      <c r="N1012" s="1339"/>
      <c r="O1012" s="1340"/>
      <c r="P1012" s="1341"/>
      <c r="X1012" s="1343" t="e">
        <f ca="1"/>
        <v>#NAME?</v>
      </c>
      <c r="Y1012" s="1344" t="e">
        <f ca="1"/>
        <v>#NAME?</v>
      </c>
    </row>
    <row r="1013" spans="1:25" x14ac:dyDescent="0.2">
      <c r="A1013" s="1338"/>
      <c r="B1013" s="1339"/>
      <c r="C1013" s="1340"/>
      <c r="D1013" s="1341"/>
      <c r="E1013" s="1338"/>
      <c r="F1013" s="1339"/>
      <c r="G1013" s="1340"/>
      <c r="H1013" s="1341"/>
      <c r="I1013" s="1338"/>
      <c r="J1013" s="1339"/>
      <c r="K1013" s="1340"/>
      <c r="L1013" s="1341"/>
      <c r="M1013" s="1338"/>
      <c r="N1013" s="1339"/>
      <c r="O1013" s="1340"/>
      <c r="P1013" s="1341"/>
      <c r="X1013" s="1343" t="e">
        <f ca="1"/>
        <v>#NAME?</v>
      </c>
      <c r="Y1013" s="1344" t="e">
        <f ca="1"/>
        <v>#NAME?</v>
      </c>
    </row>
    <row r="1014" spans="1:25" x14ac:dyDescent="0.2">
      <c r="A1014" s="1338"/>
      <c r="B1014" s="1339"/>
      <c r="C1014" s="1340"/>
      <c r="D1014" s="1341"/>
      <c r="E1014" s="1338"/>
      <c r="F1014" s="1339"/>
      <c r="G1014" s="1340"/>
      <c r="H1014" s="1341"/>
      <c r="I1014" s="1338"/>
      <c r="J1014" s="1339"/>
      <c r="K1014" s="1340"/>
      <c r="L1014" s="1341"/>
      <c r="M1014" s="1338"/>
      <c r="N1014" s="1339"/>
      <c r="O1014" s="1340"/>
      <c r="P1014" s="1341"/>
      <c r="X1014" s="1343" t="e">
        <f ca="1"/>
        <v>#NAME?</v>
      </c>
      <c r="Y1014" s="1344" t="e">
        <f ca="1"/>
        <v>#NAME?</v>
      </c>
    </row>
    <row r="1015" spans="1:25" x14ac:dyDescent="0.2">
      <c r="A1015" s="1338"/>
      <c r="B1015" s="1339"/>
      <c r="C1015" s="1340"/>
      <c r="D1015" s="1341"/>
      <c r="E1015" s="1338"/>
      <c r="F1015" s="1339"/>
      <c r="G1015" s="1340"/>
      <c r="H1015" s="1341"/>
      <c r="I1015" s="1338"/>
      <c r="J1015" s="1339"/>
      <c r="K1015" s="1340"/>
      <c r="L1015" s="1341"/>
      <c r="M1015" s="1338"/>
      <c r="N1015" s="1339"/>
      <c r="O1015" s="1340"/>
      <c r="P1015" s="1341"/>
      <c r="X1015" s="1343" t="e">
        <f ca="1"/>
        <v>#NAME?</v>
      </c>
      <c r="Y1015" s="1344" t="e">
        <f ca="1"/>
        <v>#NAME?</v>
      </c>
    </row>
    <row r="1016" spans="1:25" x14ac:dyDescent="0.2">
      <c r="A1016" s="1338"/>
      <c r="B1016" s="1339"/>
      <c r="C1016" s="1340"/>
      <c r="D1016" s="1341"/>
      <c r="E1016" s="1338"/>
      <c r="F1016" s="1339"/>
      <c r="G1016" s="1340"/>
      <c r="H1016" s="1341"/>
      <c r="I1016" s="1338"/>
      <c r="J1016" s="1339"/>
      <c r="K1016" s="1340"/>
      <c r="L1016" s="1341"/>
      <c r="M1016" s="1338"/>
      <c r="N1016" s="1339"/>
      <c r="O1016" s="1340"/>
      <c r="P1016" s="1341"/>
      <c r="X1016" s="1343" t="e">
        <f ca="1"/>
        <v>#NAME?</v>
      </c>
      <c r="Y1016" s="1344" t="e">
        <f ca="1"/>
        <v>#NAME?</v>
      </c>
    </row>
    <row r="1017" spans="1:25" x14ac:dyDescent="0.2">
      <c r="A1017" s="1338"/>
      <c r="B1017" s="1339"/>
      <c r="C1017" s="1340"/>
      <c r="D1017" s="1341"/>
      <c r="E1017" s="1338"/>
      <c r="F1017" s="1339"/>
      <c r="G1017" s="1340"/>
      <c r="H1017" s="1341"/>
      <c r="I1017" s="1338"/>
      <c r="J1017" s="1339"/>
      <c r="K1017" s="1340"/>
      <c r="L1017" s="1341"/>
      <c r="M1017" s="1338"/>
      <c r="N1017" s="1339"/>
      <c r="O1017" s="1340"/>
      <c r="P1017" s="1341"/>
      <c r="X1017" s="1343" t="e">
        <f ca="1"/>
        <v>#NAME?</v>
      </c>
      <c r="Y1017" s="1344" t="e">
        <f ca="1"/>
        <v>#NAME?</v>
      </c>
    </row>
    <row r="1018" spans="1:25" x14ac:dyDescent="0.2">
      <c r="A1018" s="1338"/>
      <c r="B1018" s="1339"/>
      <c r="C1018" s="1340"/>
      <c r="D1018" s="1341"/>
      <c r="E1018" s="1338"/>
      <c r="F1018" s="1339"/>
      <c r="G1018" s="1340"/>
      <c r="H1018" s="1341"/>
      <c r="I1018" s="1338"/>
      <c r="J1018" s="1339"/>
      <c r="K1018" s="1340"/>
      <c r="L1018" s="1341"/>
      <c r="M1018" s="1338"/>
      <c r="N1018" s="1339"/>
      <c r="O1018" s="1340"/>
      <c r="P1018" s="1341"/>
      <c r="X1018" s="1343" t="e">
        <f ca="1"/>
        <v>#NAME?</v>
      </c>
      <c r="Y1018" s="1344" t="e">
        <f ca="1"/>
        <v>#NAME?</v>
      </c>
    </row>
    <row r="1019" spans="1:25" x14ac:dyDescent="0.2">
      <c r="A1019" s="1338"/>
      <c r="B1019" s="1339"/>
      <c r="C1019" s="1340"/>
      <c r="D1019" s="1341"/>
      <c r="E1019" s="1338"/>
      <c r="F1019" s="1339"/>
      <c r="G1019" s="1340"/>
      <c r="H1019" s="1341"/>
      <c r="I1019" s="1338"/>
      <c r="J1019" s="1339"/>
      <c r="K1019" s="1340"/>
      <c r="L1019" s="1341"/>
      <c r="M1019" s="1338"/>
      <c r="N1019" s="1339"/>
      <c r="O1019" s="1340"/>
      <c r="P1019" s="1341"/>
      <c r="X1019" s="1343" t="e">
        <f ca="1"/>
        <v>#NAME?</v>
      </c>
      <c r="Y1019" s="1344" t="e">
        <f ca="1"/>
        <v>#NAME?</v>
      </c>
    </row>
    <row r="1020" spans="1:25" x14ac:dyDescent="0.2">
      <c r="A1020" s="1338"/>
      <c r="B1020" s="1339"/>
      <c r="C1020" s="1340"/>
      <c r="D1020" s="1341"/>
      <c r="E1020" s="1338"/>
      <c r="F1020" s="1339"/>
      <c r="G1020" s="1340"/>
      <c r="H1020" s="1341"/>
      <c r="I1020" s="1338"/>
      <c r="J1020" s="1339"/>
      <c r="K1020" s="1340"/>
      <c r="L1020" s="1341"/>
      <c r="M1020" s="1338"/>
      <c r="N1020" s="1339"/>
      <c r="O1020" s="1340"/>
      <c r="P1020" s="1341"/>
      <c r="X1020" s="1343" t="e">
        <f ca="1"/>
        <v>#NAME?</v>
      </c>
      <c r="Y1020" s="1344" t="e">
        <f ca="1"/>
        <v>#NAME?</v>
      </c>
    </row>
    <row r="1021" spans="1:25" x14ac:dyDescent="0.2">
      <c r="A1021" s="1338"/>
      <c r="B1021" s="1339"/>
      <c r="C1021" s="1340"/>
      <c r="D1021" s="1341"/>
      <c r="E1021" s="1338"/>
      <c r="F1021" s="1339"/>
      <c r="G1021" s="1340"/>
      <c r="H1021" s="1341"/>
      <c r="I1021" s="1338"/>
      <c r="J1021" s="1339"/>
      <c r="K1021" s="1340"/>
      <c r="L1021" s="1341"/>
      <c r="M1021" s="1338"/>
      <c r="N1021" s="1339"/>
      <c r="O1021" s="1340"/>
      <c r="P1021" s="1341"/>
      <c r="X1021" s="1343" t="e">
        <f ca="1"/>
        <v>#NAME?</v>
      </c>
      <c r="Y1021" s="1344" t="e">
        <f ca="1"/>
        <v>#NAME?</v>
      </c>
    </row>
    <row r="1022" spans="1:25" x14ac:dyDescent="0.2">
      <c r="A1022" s="1338"/>
      <c r="B1022" s="1339"/>
      <c r="C1022" s="1340"/>
      <c r="D1022" s="1341"/>
      <c r="E1022" s="1338"/>
      <c r="F1022" s="1339"/>
      <c r="G1022" s="1340"/>
      <c r="H1022" s="1341"/>
      <c r="I1022" s="1338"/>
      <c r="J1022" s="1339"/>
      <c r="K1022" s="1340"/>
      <c r="L1022" s="1341"/>
      <c r="M1022" s="1338"/>
      <c r="N1022" s="1339"/>
      <c r="O1022" s="1340"/>
      <c r="P1022" s="1341"/>
      <c r="X1022" s="1343" t="e">
        <f ca="1"/>
        <v>#NAME?</v>
      </c>
      <c r="Y1022" s="1344" t="e">
        <f ca="1"/>
        <v>#NAME?</v>
      </c>
    </row>
    <row r="1023" spans="1:25" x14ac:dyDescent="0.2">
      <c r="A1023" s="1338"/>
      <c r="B1023" s="1339"/>
      <c r="C1023" s="1340"/>
      <c r="D1023" s="1341"/>
      <c r="E1023" s="1338"/>
      <c r="F1023" s="1339"/>
      <c r="G1023" s="1340"/>
      <c r="H1023" s="1341"/>
      <c r="I1023" s="1338"/>
      <c r="J1023" s="1339"/>
      <c r="K1023" s="1340"/>
      <c r="L1023" s="1341"/>
      <c r="M1023" s="1338"/>
      <c r="N1023" s="1339"/>
      <c r="O1023" s="1340"/>
      <c r="P1023" s="1341"/>
      <c r="X1023" s="1343" t="e">
        <f ca="1"/>
        <v>#NAME?</v>
      </c>
      <c r="Y1023" s="1344" t="e">
        <f ca="1"/>
        <v>#NAME?</v>
      </c>
    </row>
    <row r="1024" spans="1:25" x14ac:dyDescent="0.2">
      <c r="A1024" s="1338"/>
      <c r="B1024" s="1339"/>
      <c r="C1024" s="1340"/>
      <c r="D1024" s="1341"/>
      <c r="E1024" s="1338"/>
      <c r="F1024" s="1339"/>
      <c r="G1024" s="1340"/>
      <c r="H1024" s="1341"/>
      <c r="I1024" s="1338"/>
      <c r="J1024" s="1339"/>
      <c r="K1024" s="1340"/>
      <c r="L1024" s="1341"/>
      <c r="M1024" s="1338"/>
      <c r="N1024" s="1339"/>
      <c r="O1024" s="1340"/>
      <c r="P1024" s="1341"/>
      <c r="X1024" s="1343" t="e">
        <f ca="1"/>
        <v>#NAME?</v>
      </c>
      <c r="Y1024" s="1344" t="e">
        <f ca="1"/>
        <v>#NAME?</v>
      </c>
    </row>
    <row r="1025" spans="1:25" x14ac:dyDescent="0.2">
      <c r="A1025" s="1338"/>
      <c r="B1025" s="1339"/>
      <c r="C1025" s="1340"/>
      <c r="D1025" s="1341"/>
      <c r="E1025" s="1338"/>
      <c r="F1025" s="1339"/>
      <c r="G1025" s="1340"/>
      <c r="H1025" s="1341"/>
      <c r="I1025" s="1338"/>
      <c r="J1025" s="1339"/>
      <c r="K1025" s="1340"/>
      <c r="L1025" s="1341"/>
      <c r="M1025" s="1338"/>
      <c r="N1025" s="1339"/>
      <c r="O1025" s="1340"/>
      <c r="P1025" s="1341"/>
      <c r="X1025" s="1343" t="e">
        <f ca="1"/>
        <v>#NAME?</v>
      </c>
      <c r="Y1025" s="1344" t="e">
        <f ca="1"/>
        <v>#NAME?</v>
      </c>
    </row>
    <row r="1026" spans="1:25" x14ac:dyDescent="0.2">
      <c r="A1026" s="1338"/>
      <c r="B1026" s="1339"/>
      <c r="C1026" s="1340"/>
      <c r="D1026" s="1341"/>
      <c r="E1026" s="1338"/>
      <c r="F1026" s="1339"/>
      <c r="G1026" s="1340"/>
      <c r="H1026" s="1341"/>
      <c r="I1026" s="1338"/>
      <c r="J1026" s="1339"/>
      <c r="K1026" s="1340"/>
      <c r="L1026" s="1341"/>
      <c r="M1026" s="1338"/>
      <c r="N1026" s="1339"/>
      <c r="O1026" s="1340"/>
      <c r="P1026" s="1341"/>
      <c r="X1026" s="1343" t="e">
        <f ca="1"/>
        <v>#NAME?</v>
      </c>
      <c r="Y1026" s="1344" t="e">
        <f ca="1"/>
        <v>#NAME?</v>
      </c>
    </row>
    <row r="1027" spans="1:25" x14ac:dyDescent="0.2">
      <c r="A1027" s="1338"/>
      <c r="B1027" s="1339"/>
      <c r="C1027" s="1340"/>
      <c r="D1027" s="1341"/>
      <c r="E1027" s="1338"/>
      <c r="F1027" s="1339"/>
      <c r="G1027" s="1340"/>
      <c r="H1027" s="1341"/>
      <c r="I1027" s="1338"/>
      <c r="J1027" s="1339"/>
      <c r="K1027" s="1340"/>
      <c r="L1027" s="1341"/>
      <c r="M1027" s="1338"/>
      <c r="N1027" s="1339"/>
      <c r="O1027" s="1340"/>
      <c r="P1027" s="1341"/>
      <c r="X1027" s="1343" t="e">
        <f ca="1"/>
        <v>#NAME?</v>
      </c>
      <c r="Y1027" s="1344" t="e">
        <f ca="1"/>
        <v>#NAME?</v>
      </c>
    </row>
    <row r="1028" spans="1:25" x14ac:dyDescent="0.2">
      <c r="A1028" s="1338"/>
      <c r="B1028" s="1339"/>
      <c r="C1028" s="1340"/>
      <c r="D1028" s="1341"/>
      <c r="E1028" s="1338"/>
      <c r="F1028" s="1339"/>
      <c r="G1028" s="1340"/>
      <c r="H1028" s="1341"/>
      <c r="I1028" s="1338"/>
      <c r="J1028" s="1339"/>
      <c r="K1028" s="1340"/>
      <c r="L1028" s="1341"/>
      <c r="M1028" s="1338"/>
      <c r="N1028" s="1339"/>
      <c r="O1028" s="1340"/>
      <c r="P1028" s="1341"/>
      <c r="X1028" s="1343" t="e">
        <f ca="1"/>
        <v>#NAME?</v>
      </c>
      <c r="Y1028" s="1344" t="e">
        <f ca="1"/>
        <v>#NAME?</v>
      </c>
    </row>
    <row r="1029" spans="1:25" x14ac:dyDescent="0.2">
      <c r="A1029" s="1338"/>
      <c r="B1029" s="1339"/>
      <c r="C1029" s="1340"/>
      <c r="D1029" s="1341"/>
      <c r="E1029" s="1338"/>
      <c r="F1029" s="1339"/>
      <c r="G1029" s="1340"/>
      <c r="H1029" s="1341"/>
      <c r="I1029" s="1338"/>
      <c r="J1029" s="1339"/>
      <c r="K1029" s="1340"/>
      <c r="L1029" s="1341"/>
      <c r="M1029" s="1338"/>
      <c r="N1029" s="1339"/>
      <c r="O1029" s="1340"/>
      <c r="P1029" s="1341"/>
      <c r="X1029" s="1343" t="e">
        <f ca="1"/>
        <v>#NAME?</v>
      </c>
      <c r="Y1029" s="1344" t="e">
        <f ca="1"/>
        <v>#NAME?</v>
      </c>
    </row>
    <row r="1030" spans="1:25" x14ac:dyDescent="0.2">
      <c r="A1030" s="1338"/>
      <c r="B1030" s="1339"/>
      <c r="C1030" s="1340"/>
      <c r="D1030" s="1341"/>
      <c r="E1030" s="1338"/>
      <c r="F1030" s="1339"/>
      <c r="G1030" s="1340"/>
      <c r="H1030" s="1341"/>
      <c r="I1030" s="1338"/>
      <c r="J1030" s="1339"/>
      <c r="K1030" s="1340"/>
      <c r="L1030" s="1341"/>
      <c r="M1030" s="1338"/>
      <c r="N1030" s="1339"/>
      <c r="O1030" s="1340"/>
      <c r="P1030" s="1341"/>
      <c r="X1030" s="1343" t="e">
        <f ca="1"/>
        <v>#NAME?</v>
      </c>
      <c r="Y1030" s="1344" t="e">
        <f ca="1"/>
        <v>#NAME?</v>
      </c>
    </row>
    <row r="1031" spans="1:25" ht="13.5" thickBot="1" x14ac:dyDescent="0.25">
      <c r="A1031" s="1345"/>
      <c r="B1031" s="1346"/>
      <c r="C1031" s="1347"/>
      <c r="D1031" s="1348"/>
      <c r="E1031" s="1345"/>
      <c r="F1031" s="1346"/>
      <c r="G1031" s="1347"/>
      <c r="H1031" s="1348"/>
      <c r="I1031" s="1345"/>
      <c r="J1031" s="1346"/>
      <c r="K1031" s="1347"/>
      <c r="L1031" s="1348"/>
      <c r="M1031" s="1345"/>
      <c r="N1031" s="1346"/>
      <c r="O1031" s="1347"/>
      <c r="P1031" s="1348"/>
      <c r="X1031" s="1349" t="e">
        <f ca="1"/>
        <v>#NAME?</v>
      </c>
      <c r="Y1031" s="1350" t="e">
        <f ca="1"/>
        <v>#NAME?</v>
      </c>
    </row>
  </sheetData>
  <sheetProtection algorithmName="SHA-512" hashValue="OzAUqdsbdvpOqKImKsaxQ0vRVK1AnAwjlFCtqsFWZVhca2YssEaY6W1eZcWbudIvnlkach34fhf+8mheCZcUMQ==" saltValue="a2Sdr+tlX2G175iwMx/3Ag==" spinCount="100000" sheet="1" objects="1" scenarios="1"/>
  <mergeCells count="10">
    <mergeCell ref="B4:P4"/>
    <mergeCell ref="A27:P27"/>
    <mergeCell ref="A28:B28"/>
    <mergeCell ref="C28:D28"/>
    <mergeCell ref="E28:F28"/>
    <mergeCell ref="G28:H28"/>
    <mergeCell ref="I28:J28"/>
    <mergeCell ref="K28:L28"/>
    <mergeCell ref="M28:N28"/>
    <mergeCell ref="O28:P28"/>
  </mergeCells>
  <dataValidations count="1">
    <dataValidation type="list" allowBlank="1" showInputMessage="1" showErrorMessage="1" sqref="R18" xr:uid="{00000000-0002-0000-0B00-000000000000}">
      <formula1>$R$8:$R$14</formula1>
    </dataValidation>
  </dataValidations>
  <printOptions horizontalCentered="1"/>
  <pageMargins left="0.25" right="0.25" top="0.25" bottom="0.25" header="0.5" footer="0.5"/>
  <pageSetup scale="67" orientation="landscape" verticalDpi="599" r:id="rId1"/>
  <headerFooter alignWithMargins="0"/>
  <drawing r:id="rId2"/>
  <legacyDrawing r:id="rId3"/>
  <controls>
    <mc:AlternateContent xmlns:mc="http://schemas.openxmlformats.org/markup-compatibility/2006">
      <mc:Choice Requires="x14">
        <control shapeId="3180555" r:id="rId4" name="cbLoadData">
          <controlPr autoLine="0" r:id="rId5">
            <anchor moveWithCells="1">
              <from>
                <xdr:col>3</xdr:col>
                <xdr:colOff>0</xdr:colOff>
                <xdr:row>1</xdr:row>
                <xdr:rowOff>371475</xdr:rowOff>
              </from>
              <to>
                <xdr:col>5</xdr:col>
                <xdr:colOff>0</xdr:colOff>
                <xdr:row>1</xdr:row>
                <xdr:rowOff>752475</xdr:rowOff>
              </to>
            </anchor>
          </controlPr>
        </control>
      </mc:Choice>
      <mc:Fallback>
        <control shapeId="3180555" r:id="rId4" name="cbLoadData"/>
      </mc:Fallback>
    </mc:AlternateContent>
    <mc:AlternateContent xmlns:mc="http://schemas.openxmlformats.org/markup-compatibility/2006">
      <mc:Choice Requires="x14">
        <control shapeId="3180545" r:id="rId6" name="Label1">
          <controlPr defaultSize="0" autoFill="0" autoLine="0" r:id="rId7">
            <anchor moveWithCells="1">
              <from>
                <xdr:col>8</xdr:col>
                <xdr:colOff>180975</xdr:colOff>
                <xdr:row>1</xdr:row>
                <xdr:rowOff>247650</xdr:rowOff>
              </from>
              <to>
                <xdr:col>15</xdr:col>
                <xdr:colOff>104775</xdr:colOff>
                <xdr:row>1</xdr:row>
                <xdr:rowOff>676275</xdr:rowOff>
              </to>
            </anchor>
          </controlPr>
        </control>
      </mc:Choice>
      <mc:Fallback>
        <control shapeId="3180545" r:id="rId6" name="Label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4">
    <pageSetUpPr fitToPage="1"/>
  </sheetPr>
  <dimension ref="A1:R45"/>
  <sheetViews>
    <sheetView showGridLines="0" zoomScaleNormal="100" workbookViewId="0">
      <extLst>
        <ext xmlns:xlsdti="http://schemas.microsoft.com/office/spreadsheetml/2023/showDataTypeIcons" uri="{77bfe23e-c014-4d31-8a63-9c772dbf06b6}">
          <xlsdti:showDataTypeIcons visible="0"/>
        </ext>
      </extLst>
    </sheetView>
  </sheetViews>
  <sheetFormatPr defaultColWidth="9.140625" defaultRowHeight="12.75" x14ac:dyDescent="0.2"/>
  <cols>
    <col min="1" max="1" width="14.42578125" style="277" customWidth="1"/>
    <col min="2" max="2" width="7.28515625" style="277" customWidth="1"/>
    <col min="3" max="3" width="7.7109375" style="277" customWidth="1"/>
    <col min="4" max="4" width="7.5703125" style="277" customWidth="1"/>
    <col min="5" max="15" width="7.28515625" style="277" customWidth="1"/>
    <col min="16" max="16" width="9" style="277" customWidth="1"/>
    <col min="17" max="16384" width="9.140625" style="277"/>
  </cols>
  <sheetData>
    <row r="1" spans="1:18" ht="13.5" thickTop="1" x14ac:dyDescent="0.2">
      <c r="A1" s="274"/>
      <c r="B1" s="275"/>
      <c r="C1" s="275"/>
      <c r="D1" s="275"/>
      <c r="E1" s="275"/>
      <c r="F1" s="275"/>
      <c r="G1" s="275"/>
      <c r="H1" s="275"/>
      <c r="I1" s="275"/>
      <c r="J1" s="275"/>
      <c r="K1" s="275"/>
      <c r="L1" s="275"/>
      <c r="M1" s="275"/>
      <c r="N1" s="275"/>
      <c r="O1" s="276" t="str">
        <f>'Design Data'!U2</f>
        <v>January 2026</v>
      </c>
    </row>
    <row r="2" spans="1:18" s="281" customFormat="1" ht="13.9" customHeight="1" x14ac:dyDescent="0.25">
      <c r="A2" s="278" t="s">
        <v>75</v>
      </c>
      <c r="B2" s="279"/>
      <c r="C2" s="279"/>
      <c r="D2" s="279"/>
      <c r="E2" s="279"/>
      <c r="F2" s="279"/>
      <c r="G2" s="279"/>
      <c r="H2" s="279"/>
      <c r="I2" s="279"/>
      <c r="J2" s="279"/>
      <c r="K2" s="279"/>
      <c r="L2" s="279"/>
      <c r="M2" s="279"/>
      <c r="N2" s="279"/>
      <c r="O2" s="280"/>
    </row>
    <row r="3" spans="1:18" s="281" customFormat="1" ht="13.9" customHeight="1" x14ac:dyDescent="0.25">
      <c r="A3" s="278" t="s">
        <v>76</v>
      </c>
      <c r="B3" s="279"/>
      <c r="C3" s="279"/>
      <c r="D3" s="279"/>
      <c r="E3" s="279"/>
      <c r="F3" s="279"/>
      <c r="G3" s="279"/>
      <c r="H3" s="279"/>
      <c r="I3" s="279"/>
      <c r="J3" s="279"/>
      <c r="K3" s="279"/>
      <c r="L3" s="279"/>
      <c r="M3" s="279"/>
      <c r="N3" s="279"/>
      <c r="O3" s="280"/>
    </row>
    <row r="4" spans="1:18" s="281" customFormat="1" ht="13.9" customHeight="1" x14ac:dyDescent="0.25">
      <c r="A4" s="278" t="s">
        <v>77</v>
      </c>
      <c r="B4" s="279"/>
      <c r="C4" s="279"/>
      <c r="D4" s="279"/>
      <c r="E4" s="279"/>
      <c r="F4" s="279"/>
      <c r="G4" s="279"/>
      <c r="H4" s="279"/>
      <c r="I4" s="279"/>
      <c r="J4" s="279"/>
      <c r="K4" s="279"/>
      <c r="L4" s="279"/>
      <c r="M4" s="279"/>
      <c r="N4" s="279"/>
      <c r="O4" s="280"/>
    </row>
    <row r="5" spans="1:18" s="281" customFormat="1" ht="13.9" customHeight="1" thickBot="1" x14ac:dyDescent="0.25">
      <c r="A5" s="282"/>
      <c r="B5" s="283"/>
      <c r="C5" s="283"/>
      <c r="D5" s="283"/>
      <c r="E5" s="283"/>
      <c r="F5" s="283"/>
      <c r="G5" s="283"/>
      <c r="H5" s="283"/>
      <c r="I5" s="283"/>
      <c r="J5" s="283"/>
      <c r="K5" s="283"/>
      <c r="L5" s="283"/>
      <c r="M5" s="283"/>
      <c r="N5" s="283"/>
      <c r="O5" s="284"/>
    </row>
    <row r="6" spans="1:18" s="281" customFormat="1" ht="13.9" customHeight="1" thickTop="1" x14ac:dyDescent="0.2"/>
    <row r="7" spans="1:18" s="281" customFormat="1" ht="13.9" customHeight="1" x14ac:dyDescent="0.25">
      <c r="A7" s="285" t="s">
        <v>2538</v>
      </c>
      <c r="B7" s="286"/>
      <c r="C7" s="286"/>
      <c r="D7" s="286"/>
      <c r="E7" s="286"/>
      <c r="F7" s="286"/>
      <c r="G7" s="286"/>
      <c r="H7" s="286"/>
      <c r="I7" s="286"/>
      <c r="J7" s="286"/>
      <c r="K7" s="286"/>
      <c r="L7" s="286"/>
      <c r="M7" s="286"/>
      <c r="N7" s="286"/>
      <c r="O7" s="286"/>
    </row>
    <row r="8" spans="1:18" s="281" customFormat="1" ht="13.9" customHeight="1" x14ac:dyDescent="0.2">
      <c r="A8"/>
      <c r="B8" s="287"/>
      <c r="C8" s="287"/>
      <c r="D8" s="287"/>
      <c r="E8" s="287"/>
      <c r="F8" s="287"/>
      <c r="G8" s="287"/>
      <c r="H8" s="287"/>
      <c r="I8" s="287"/>
      <c r="J8" s="287"/>
      <c r="K8" s="287"/>
      <c r="L8" s="287"/>
      <c r="M8" s="287"/>
      <c r="N8" s="287"/>
      <c r="O8" s="287"/>
    </row>
    <row r="9" spans="1:18" s="281" customFormat="1" ht="13.9" customHeight="1" x14ac:dyDescent="0.2">
      <c r="A9" s="288" t="s">
        <v>416</v>
      </c>
      <c r="B9" s="289" t="str">
        <f>IF('Design Data'!H10="","",'Design Data'!H10)</f>
        <v/>
      </c>
      <c r="E9"/>
      <c r="F9" s="288" t="s">
        <v>80</v>
      </c>
      <c r="H9" s="289" t="str">
        <f>IF('Design Data'!K10="","",'Design Data'!K10)</f>
        <v/>
      </c>
      <c r="J9" s="288" t="s">
        <v>417</v>
      </c>
      <c r="K9"/>
      <c r="L9" s="1688" t="str">
        <f>'Chart Data'!W14</f>
        <v/>
      </c>
      <c r="M9" s="1688"/>
      <c r="N9" s="1688"/>
      <c r="O9" s="1688"/>
    </row>
    <row r="10" spans="1:18" s="281" customFormat="1" ht="13.9" customHeight="1" x14ac:dyDescent="0.2">
      <c r="E10"/>
      <c r="K10"/>
      <c r="L10" s="1688"/>
      <c r="M10" s="1688"/>
      <c r="N10" s="1688"/>
      <c r="O10" s="1688"/>
    </row>
    <row r="11" spans="1:18" s="281" customFormat="1" ht="13.9" customHeight="1" x14ac:dyDescent="0.2">
      <c r="A11" s="288" t="s">
        <v>418</v>
      </c>
      <c r="B11" s="289" t="str">
        <f>IF('Design Data'!C14="","",'Design Data'!C14)</f>
        <v>Enter Project(s) &amp; Line Item(s)</v>
      </c>
      <c r="E11"/>
      <c r="F11" s="288" t="s">
        <v>81</v>
      </c>
      <c r="H11" s="289" t="str">
        <f>IF('Design Data'!H12="","",'Design Data'!H12)</f>
        <v/>
      </c>
      <c r="J11" s="288" t="s">
        <v>419</v>
      </c>
      <c r="K11"/>
      <c r="L11" s="1688" t="e">
        <f>IF('Design Data'!Q14="","",'Design Data'!I15)</f>
        <v>#N/A</v>
      </c>
      <c r="M11" s="1688"/>
      <c r="N11" s="1688"/>
      <c r="O11" s="1688"/>
      <c r="P11" s="34"/>
    </row>
    <row r="12" spans="1:18" s="281" customFormat="1" ht="13.9" customHeight="1" x14ac:dyDescent="0.2">
      <c r="B12" s="289" t="str">
        <f>IF('Design Data'!C15="","",'Design Data'!C15)</f>
        <v>On 'Project Items' Tab.</v>
      </c>
      <c r="E12"/>
      <c r="F12"/>
      <c r="G12"/>
      <c r="H12"/>
      <c r="I12"/>
      <c r="J12"/>
      <c r="K12"/>
      <c r="L12" s="1688"/>
      <c r="M12" s="1688"/>
      <c r="N12" s="1688"/>
      <c r="O12" s="1688"/>
      <c r="P12" s="34"/>
    </row>
    <row r="13" spans="1:18" s="281" customFormat="1" ht="13.9" customHeight="1" x14ac:dyDescent="0.2">
      <c r="A13" s="288" t="s">
        <v>420</v>
      </c>
      <c r="B13" s="289" t="str">
        <f>IF('Design Data'!C18="","",'Design Data'!C18)</f>
        <v/>
      </c>
      <c r="E13"/>
      <c r="F13" s="288" t="s">
        <v>2557</v>
      </c>
      <c r="H13" s="281" t="str">
        <f>IF('Chart Data'!AJ37="","",'Chart Data'!AJ37)</f>
        <v>PG64-22</v>
      </c>
      <c r="J13" s="288" t="s">
        <v>82</v>
      </c>
      <c r="K13"/>
      <c r="L13" s="281" t="s">
        <v>2539</v>
      </c>
      <c r="M13"/>
      <c r="N13"/>
      <c r="O13"/>
      <c r="P13" s="34"/>
    </row>
    <row r="14" spans="1:18" s="281" customFormat="1" ht="13.9" customHeight="1" x14ac:dyDescent="0.2">
      <c r="A14" s="965" t="s">
        <v>1829</v>
      </c>
      <c r="B14"/>
      <c r="E14"/>
      <c r="J14" s="34"/>
      <c r="P14" s="34"/>
    </row>
    <row r="15" spans="1:18" s="281" customFormat="1" ht="13.9" customHeight="1" x14ac:dyDescent="0.2">
      <c r="A15" s="288" t="s">
        <v>422</v>
      </c>
      <c r="B15" s="289" t="str">
        <f>IF('Design Data'!H18="","",'Design Data'!A17)</f>
        <v/>
      </c>
      <c r="E15"/>
      <c r="F15" s="62" t="s">
        <v>1233</v>
      </c>
      <c r="H15" s="289" t="str">
        <f>IF(H13="","",VLOOKUP(H13,'Chart Data'!J33:K36,2,FALSE))</f>
        <v>300/265 (deg. F)</v>
      </c>
      <c r="I15" s="68"/>
      <c r="J15"/>
      <c r="K15" s="1300"/>
      <c r="L15" s="313"/>
      <c r="M15" s="1300"/>
      <c r="N15" s="1301"/>
      <c r="O15" s="1300"/>
      <c r="P15" s="34"/>
    </row>
    <row r="16" spans="1:18" s="281" customFormat="1" ht="13.9" customHeight="1" thickBot="1" x14ac:dyDescent="0.25">
      <c r="A16"/>
      <c r="B16"/>
      <c r="C16"/>
      <c r="D16"/>
      <c r="E16"/>
      <c r="F16"/>
      <c r="G16"/>
      <c r="H16"/>
      <c r="I16"/>
      <c r="J16" s="1351"/>
      <c r="K16" s="1309"/>
      <c r="L16" s="1309"/>
      <c r="M16" s="1309"/>
      <c r="N16" s="1352"/>
      <c r="O16" s="1352"/>
      <c r="P16" s="34"/>
      <c r="Q16" s="34"/>
      <c r="R16" s="34"/>
    </row>
    <row r="17" spans="1:18" s="281" customFormat="1" ht="13.9" customHeight="1" thickTop="1" thickBot="1" x14ac:dyDescent="0.25">
      <c r="A17" s="1634" t="s">
        <v>2540</v>
      </c>
      <c r="B17" s="1753"/>
      <c r="C17" s="1753"/>
      <c r="D17" s="1753"/>
      <c r="E17" s="1753"/>
      <c r="F17" s="1635"/>
      <c r="G17" s="1636" t="s">
        <v>2541</v>
      </c>
      <c r="H17" s="1753"/>
      <c r="I17" s="1635"/>
      <c r="J17" s="1636" t="s">
        <v>2542</v>
      </c>
      <c r="K17" s="1753"/>
      <c r="L17" s="1635"/>
      <c r="M17" s="1636" t="s">
        <v>2543</v>
      </c>
      <c r="N17" s="1753"/>
      <c r="O17" s="1635"/>
      <c r="Q17" s="321"/>
      <c r="R17" s="321"/>
    </row>
    <row r="18" spans="1:18" s="281" customFormat="1" ht="13.9" customHeight="1" thickTop="1" x14ac:dyDescent="0.2">
      <c r="A18" s="1754" t="s">
        <v>2544</v>
      </c>
      <c r="B18" s="1755"/>
      <c r="C18" s="1755"/>
      <c r="D18" s="1756"/>
      <c r="E18" s="1750">
        <v>1000</v>
      </c>
      <c r="F18" s="1751"/>
      <c r="G18" s="1750"/>
      <c r="H18" s="1752"/>
      <c r="I18" s="1751"/>
      <c r="J18" s="1353"/>
      <c r="K18" s="1302"/>
      <c r="L18" s="298"/>
      <c r="M18" s="1303"/>
      <c r="N18" s="1304"/>
      <c r="O18" s="1305"/>
      <c r="Q18" s="338"/>
      <c r="R18" s="338"/>
    </row>
    <row r="19" spans="1:18" s="281" customFormat="1" ht="13.9" customHeight="1" x14ac:dyDescent="0.2">
      <c r="A19" s="1757" t="s">
        <v>2545</v>
      </c>
      <c r="B19" s="1758"/>
      <c r="C19" s="1758"/>
      <c r="D19" s="1759"/>
      <c r="E19" s="1760" t="s">
        <v>2549</v>
      </c>
      <c r="F19" s="1761"/>
      <c r="G19" s="1762">
        <v>100</v>
      </c>
      <c r="H19" s="1469"/>
      <c r="I19" s="1470"/>
      <c r="J19" s="1745"/>
      <c r="K19" s="1746"/>
      <c r="L19" s="1749"/>
      <c r="M19" s="1745"/>
      <c r="N19" s="1746"/>
      <c r="O19" s="1747"/>
      <c r="Q19" s="338"/>
      <c r="R19" s="338"/>
    </row>
    <row r="20" spans="1:18" s="281" customFormat="1" ht="13.9" customHeight="1" x14ac:dyDescent="0.2">
      <c r="A20" s="1757" t="s">
        <v>2546</v>
      </c>
      <c r="B20" s="1758"/>
      <c r="C20" s="1758"/>
      <c r="D20" s="1759"/>
      <c r="E20" s="1760" t="s">
        <v>2550</v>
      </c>
      <c r="F20" s="1761"/>
      <c r="G20" s="1762">
        <v>5000</v>
      </c>
      <c r="H20" s="1469"/>
      <c r="I20" s="1470"/>
      <c r="J20" s="1745"/>
      <c r="K20" s="1746"/>
      <c r="L20" s="1749"/>
      <c r="M20" s="1745"/>
      <c r="N20" s="1746"/>
      <c r="O20" s="1747"/>
      <c r="Q20" s="321"/>
      <c r="R20" s="321"/>
    </row>
    <row r="21" spans="1:18" s="281" customFormat="1" ht="13.9" customHeight="1" x14ac:dyDescent="0.2">
      <c r="A21" s="1306" t="s">
        <v>2547</v>
      </c>
      <c r="B21" s="1307"/>
      <c r="C21" s="1307"/>
      <c r="D21" s="1308"/>
      <c r="E21" s="1762">
        <v>1000</v>
      </c>
      <c r="F21" s="1470"/>
      <c r="G21" s="1762">
        <v>10000</v>
      </c>
      <c r="H21" s="1469"/>
      <c r="I21" s="1470"/>
      <c r="J21" s="1745"/>
      <c r="K21" s="1746"/>
      <c r="L21" s="1749"/>
      <c r="M21" s="1745"/>
      <c r="N21" s="1746"/>
      <c r="O21" s="1747"/>
      <c r="Q21" s="243"/>
      <c r="R21" s="34"/>
    </row>
    <row r="22" spans="1:18" s="281" customFormat="1" ht="13.9" customHeight="1" x14ac:dyDescent="0.2">
      <c r="A22" s="600" t="s">
        <v>2548</v>
      </c>
      <c r="B22" s="601"/>
      <c r="C22" s="601"/>
      <c r="D22" s="602"/>
      <c r="E22" s="1762">
        <v>1000</v>
      </c>
      <c r="F22" s="1470"/>
      <c r="G22" s="1762">
        <v>15000</v>
      </c>
      <c r="H22" s="1469"/>
      <c r="I22" s="1470"/>
      <c r="J22" s="1745"/>
      <c r="K22" s="1746"/>
      <c r="L22" s="1749"/>
      <c r="M22" s="1745"/>
      <c r="N22" s="1746"/>
      <c r="O22" s="1747"/>
      <c r="Q22" s="242"/>
      <c r="R22" s="34"/>
    </row>
    <row r="23" spans="1:18" s="281" customFormat="1" ht="13.9" customHeight="1" x14ac:dyDescent="0.2">
      <c r="A23" s="600"/>
      <c r="B23" s="601"/>
      <c r="C23" s="601"/>
      <c r="D23" s="602"/>
      <c r="E23" s="1354"/>
      <c r="F23" s="1355"/>
      <c r="G23" s="1762">
        <v>20000</v>
      </c>
      <c r="H23" s="1469"/>
      <c r="I23" s="1470"/>
      <c r="J23" s="1745"/>
      <c r="K23" s="1746"/>
      <c r="L23" s="1749"/>
      <c r="M23" s="1745"/>
      <c r="N23" s="1746"/>
      <c r="O23" s="1747"/>
      <c r="Q23" s="242"/>
      <c r="R23" s="34"/>
    </row>
    <row r="24" spans="1:18" s="281" customFormat="1" ht="13.9" customHeight="1" thickBot="1" x14ac:dyDescent="0.25">
      <c r="A24" s="347"/>
      <c r="B24" s="1309"/>
      <c r="C24" s="1309"/>
      <c r="D24" s="1310"/>
      <c r="E24" s="1774"/>
      <c r="F24" s="1775"/>
      <c r="G24" s="1776">
        <v>25000</v>
      </c>
      <c r="H24" s="1475"/>
      <c r="I24" s="1476"/>
      <c r="J24" s="1742"/>
      <c r="K24" s="1743"/>
      <c r="L24" s="1744"/>
      <c r="M24" s="1742"/>
      <c r="N24" s="1743"/>
      <c r="O24" s="1748"/>
      <c r="Q24" s="270"/>
    </row>
    <row r="25" spans="1:18" s="281" customFormat="1" ht="13.9" customHeight="1" thickTop="1" thickBot="1" x14ac:dyDescent="0.25">
      <c r="J25"/>
      <c r="K25"/>
      <c r="L25"/>
      <c r="M25"/>
      <c r="N25"/>
      <c r="O25"/>
    </row>
    <row r="26" spans="1:18" s="281" customFormat="1" ht="13.9" customHeight="1" thickTop="1" thickBot="1" x14ac:dyDescent="0.25">
      <c r="A26" s="1356" t="s">
        <v>2551</v>
      </c>
      <c r="B26" s="383"/>
      <c r="C26" s="383"/>
      <c r="D26" s="1357"/>
      <c r="E26" s="1763"/>
      <c r="F26" s="1764"/>
      <c r="G26" s="1765" t="s">
        <v>2553</v>
      </c>
      <c r="H26" s="1766"/>
      <c r="I26" s="1767"/>
      <c r="J26" s="1777"/>
      <c r="K26" s="1778"/>
      <c r="L26" s="1779"/>
      <c r="M26" s="1777"/>
      <c r="N26" s="1778"/>
      <c r="O26" s="1786"/>
    </row>
    <row r="27" spans="1:18" s="281" customFormat="1" ht="13.9" customHeight="1" thickTop="1" thickBot="1" x14ac:dyDescent="0.25">
      <c r="A27" s="1356"/>
      <c r="B27" s="383"/>
      <c r="C27" s="383"/>
      <c r="D27" s="383"/>
      <c r="E27" s="383"/>
      <c r="F27" s="1358"/>
      <c r="G27" s="1768" t="s">
        <v>2554</v>
      </c>
      <c r="H27" s="1769"/>
      <c r="I27" s="1770"/>
      <c r="J27" s="1780"/>
      <c r="K27" s="1781"/>
      <c r="L27" s="1782"/>
      <c r="M27" s="1780"/>
      <c r="N27" s="1781"/>
      <c r="O27" s="1787"/>
    </row>
    <row r="28" spans="1:18" s="281" customFormat="1" ht="13.9" customHeight="1" thickTop="1" thickBot="1" x14ac:dyDescent="0.25">
      <c r="A28" s="1356" t="s">
        <v>2552</v>
      </c>
      <c r="B28" s="383"/>
      <c r="C28" s="383"/>
      <c r="D28" s="1357"/>
      <c r="E28" s="1763"/>
      <c r="F28" s="1764"/>
      <c r="G28" s="1771" t="s">
        <v>2555</v>
      </c>
      <c r="H28" s="1772"/>
      <c r="I28" s="1773"/>
      <c r="J28" s="1783"/>
      <c r="K28" s="1784"/>
      <c r="L28" s="1785"/>
      <c r="M28" s="1783"/>
      <c r="N28" s="1784"/>
      <c r="O28" s="1788"/>
    </row>
    <row r="29" spans="1:18" ht="13.5" thickTop="1" x14ac:dyDescent="0.2">
      <c r="M29" s="281"/>
      <c r="N29" s="281"/>
    </row>
    <row r="30" spans="1:18" x14ac:dyDescent="0.2">
      <c r="A30" s="400" t="s">
        <v>407</v>
      </c>
      <c r="B30" s="401"/>
      <c r="C30" s="401"/>
      <c r="D30" s="401"/>
      <c r="E30" s="401"/>
      <c r="F30" s="401"/>
      <c r="G30" s="401"/>
      <c r="H30" s="401"/>
      <c r="I30" s="401"/>
      <c r="J30" s="401"/>
      <c r="K30" s="401"/>
      <c r="L30" s="401"/>
      <c r="M30" s="401"/>
      <c r="N30" s="401"/>
      <c r="O30" s="401"/>
    </row>
    <row r="31" spans="1:18" s="6" customFormat="1" x14ac:dyDescent="0.2">
      <c r="A31" s="402"/>
      <c r="B31" s="402"/>
      <c r="C31" s="402"/>
      <c r="D31" s="402"/>
      <c r="E31" s="402"/>
      <c r="F31" s="402"/>
      <c r="G31" s="402"/>
      <c r="H31" s="402"/>
      <c r="I31" s="402"/>
      <c r="J31" s="402"/>
      <c r="K31" s="402"/>
      <c r="L31" s="402"/>
      <c r="M31" s="402"/>
      <c r="N31" s="402"/>
      <c r="O31" s="402"/>
    </row>
    <row r="32" spans="1:18" s="6" customFormat="1" x14ac:dyDescent="0.2">
      <c r="A32" s="402"/>
      <c r="B32" s="402"/>
      <c r="C32" s="402"/>
      <c r="D32" s="402"/>
      <c r="E32" s="402"/>
      <c r="F32" s="402"/>
      <c r="G32" s="402"/>
      <c r="H32" s="402"/>
      <c r="I32" s="402"/>
      <c r="J32" s="402"/>
      <c r="K32" s="402"/>
      <c r="L32" s="402"/>
      <c r="M32" s="402"/>
      <c r="N32" s="402"/>
      <c r="O32" s="402"/>
    </row>
    <row r="33" s="6" customFormat="1" x14ac:dyDescent="0.2"/>
    <row r="34" s="6" customFormat="1" x14ac:dyDescent="0.2"/>
    <row r="35" s="6" customFormat="1" x14ac:dyDescent="0.2"/>
    <row r="36" s="6" customFormat="1" x14ac:dyDescent="0.2"/>
    <row r="37" s="6" customFormat="1" x14ac:dyDescent="0.2"/>
    <row r="38" s="6" customFormat="1" x14ac:dyDescent="0.2"/>
    <row r="39" s="6" customFormat="1" x14ac:dyDescent="0.2"/>
    <row r="40" s="6" customFormat="1" x14ac:dyDescent="0.2"/>
    <row r="41" s="6" customFormat="1" x14ac:dyDescent="0.2"/>
    <row r="42" s="6" customFormat="1" x14ac:dyDescent="0.2"/>
    <row r="43" s="6" customFormat="1" x14ac:dyDescent="0.2"/>
    <row r="44" s="6" customFormat="1" x14ac:dyDescent="0.2"/>
    <row r="45" s="6" customFormat="1" x14ac:dyDescent="0.2"/>
  </sheetData>
  <sheetProtection algorithmName="SHA-512" hashValue="MsWWNz9CewTL1qGLcrIx3x+K+93riz3vjkY3swdxb5HG5T77l12G4ZE/CFOaG1GcnYnxGayCNl4xvTbKL7TvxQ==" saltValue="RQ4x3QrOaw7BTonkHYBjxg==" spinCount="100000" sheet="1" objects="1" scenarios="1"/>
  <mergeCells count="45">
    <mergeCell ref="J26:L26"/>
    <mergeCell ref="J27:L27"/>
    <mergeCell ref="J28:L28"/>
    <mergeCell ref="M26:O26"/>
    <mergeCell ref="M27:O27"/>
    <mergeCell ref="M28:O28"/>
    <mergeCell ref="E28:F28"/>
    <mergeCell ref="G26:I26"/>
    <mergeCell ref="G27:I27"/>
    <mergeCell ref="G28:I28"/>
    <mergeCell ref="E24:F24"/>
    <mergeCell ref="G24:I24"/>
    <mergeCell ref="A19:D19"/>
    <mergeCell ref="E19:F19"/>
    <mergeCell ref="G19:I19"/>
    <mergeCell ref="G23:I23"/>
    <mergeCell ref="E26:F26"/>
    <mergeCell ref="A20:D20"/>
    <mergeCell ref="E21:F21"/>
    <mergeCell ref="G21:I21"/>
    <mergeCell ref="E22:F22"/>
    <mergeCell ref="G22:I22"/>
    <mergeCell ref="E20:F20"/>
    <mergeCell ref="G20:I20"/>
    <mergeCell ref="L9:O10"/>
    <mergeCell ref="L11:O12"/>
    <mergeCell ref="E18:F18"/>
    <mergeCell ref="G18:I18"/>
    <mergeCell ref="M17:O17"/>
    <mergeCell ref="A17:F17"/>
    <mergeCell ref="G17:I17"/>
    <mergeCell ref="J17:L17"/>
    <mergeCell ref="A18:D18"/>
    <mergeCell ref="J24:L24"/>
    <mergeCell ref="M19:O19"/>
    <mergeCell ref="M20:O20"/>
    <mergeCell ref="M21:O21"/>
    <mergeCell ref="M22:O22"/>
    <mergeCell ref="M23:O23"/>
    <mergeCell ref="M24:O24"/>
    <mergeCell ref="J19:L19"/>
    <mergeCell ref="J20:L20"/>
    <mergeCell ref="J21:L21"/>
    <mergeCell ref="J22:L22"/>
    <mergeCell ref="J23:L23"/>
  </mergeCells>
  <printOptions horizontalCentered="1"/>
  <pageMargins left="0" right="0" top="0.5" bottom="0.5" header="0.5" footer="0.5"/>
  <pageSetup scale="90" orientation="portrait" horizontalDpi="4294967292" verticalDpi="4294967292" r:id="rId1"/>
  <headerFooter alignWithMargins="0"/>
  <rowBreaks count="1" manualBreakCount="1">
    <brk id="61" max="65535" man="1"/>
  </rowBreaks>
  <drawing r:id="rId2"/>
  <legacyDrawing r:id="rId3"/>
  <controls>
    <mc:AlternateContent xmlns:mc="http://schemas.openxmlformats.org/markup-compatibility/2006">
      <mc:Choice Requires="x14">
        <control shapeId="3196929" r:id="rId4" name="ComboBox1">
          <controlPr defaultSize="0" autoLine="0" linkedCell="'Chart Data'!AJ37" listFillRange="'Chart Data'!J33:J36" r:id="rId5">
            <anchor moveWithCells="1">
              <from>
                <xdr:col>7</xdr:col>
                <xdr:colOff>38100</xdr:colOff>
                <xdr:row>11</xdr:row>
                <xdr:rowOff>152400</xdr:rowOff>
              </from>
              <to>
                <xdr:col>8</xdr:col>
                <xdr:colOff>428625</xdr:colOff>
                <xdr:row>13</xdr:row>
                <xdr:rowOff>19050</xdr:rowOff>
              </to>
            </anchor>
          </controlPr>
        </control>
      </mc:Choice>
      <mc:Fallback>
        <control shapeId="3196929" r:id="rId4" name="ComboBox1"/>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1"/>
  <sheetViews>
    <sheetView workbookViewId="0">
      <extLst>
        <ext xmlns:xlsdti="http://schemas.microsoft.com/office/spreadsheetml/2023/showDataTypeIcons" uri="{77bfe23e-c014-4d31-8a63-9c772dbf06b6}">
          <xlsdti:showDataTypeIcons visible="0"/>
        </ext>
      </extLst>
    </sheetView>
  </sheetViews>
  <sheetFormatPr defaultColWidth="9.140625" defaultRowHeight="12.75" x14ac:dyDescent="0.2"/>
  <cols>
    <col min="1" max="16384" width="9.140625" style="608"/>
  </cols>
  <sheetData/>
  <phoneticPr fontId="16" type="noConversion"/>
  <pageMargins left="0.75" right="0.75" top="1" bottom="1" header="0.5" footer="0.5"/>
  <pageSetup orientation="portrait" verticalDpi="599"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1:BS280"/>
  <sheetViews>
    <sheetView topLeftCell="AB60" zoomScale="85" workbookViewId="0">
      <selection activeCell="AL75" sqref="AL75"/>
      <extLst>
        <ext xmlns:xlsdti="http://schemas.microsoft.com/office/spreadsheetml/2023/showDataTypeIcons" uri="{77bfe23e-c014-4d31-8a63-9c772dbf06b6}">
          <xlsdti:showDataTypeIcons visible="0"/>
        </ext>
      </extLst>
    </sheetView>
  </sheetViews>
  <sheetFormatPr defaultColWidth="9.140625" defaultRowHeight="12.75" x14ac:dyDescent="0.2"/>
  <cols>
    <col min="1" max="1" width="9.140625" style="240"/>
    <col min="2" max="2" width="10.42578125" style="240" bestFit="1" customWidth="1"/>
    <col min="3" max="3" width="9.140625" style="240"/>
    <col min="4" max="4" width="23.42578125" style="240" customWidth="1"/>
    <col min="5" max="5" width="14.7109375" style="240" customWidth="1"/>
    <col min="6" max="18" width="9.140625" style="240"/>
    <col min="19" max="19" width="34.140625" style="240" customWidth="1"/>
    <col min="20" max="25" width="9.140625" style="240"/>
    <col min="26" max="26" width="10.140625" style="240" customWidth="1"/>
    <col min="27" max="32" width="9.140625" style="240"/>
    <col min="33" max="33" width="9" style="240" customWidth="1"/>
    <col min="34" max="34" width="9" style="240" bestFit="1" customWidth="1"/>
    <col min="35" max="35" width="30.85546875" style="240" bestFit="1" customWidth="1"/>
    <col min="36" max="36" width="8.7109375" style="240" customWidth="1"/>
    <col min="37" max="38" width="9.140625" style="240"/>
    <col min="39" max="39" width="11.140625" style="240" customWidth="1"/>
    <col min="40" max="40" width="38" style="240" bestFit="1" customWidth="1"/>
    <col min="41" max="43" width="9.140625" style="240"/>
    <col min="44" max="44" width="33.140625" style="240" bestFit="1" customWidth="1"/>
    <col min="45" max="50" width="9.140625" style="240"/>
    <col min="51" max="51" width="9.5703125" style="240" bestFit="1" customWidth="1"/>
    <col min="52" max="52" width="10" style="240" bestFit="1" customWidth="1"/>
    <col min="53" max="53" width="5.7109375" style="240" customWidth="1"/>
    <col min="54" max="54" width="10.5703125" style="240" bestFit="1" customWidth="1"/>
    <col min="55" max="55" width="5.7109375" style="240" customWidth="1"/>
    <col min="56" max="56" width="12.7109375" style="240" bestFit="1" customWidth="1"/>
    <col min="57" max="57" width="10.5703125" style="240" bestFit="1" customWidth="1"/>
    <col min="58" max="58" width="10" bestFit="1" customWidth="1"/>
    <col min="59" max="59" width="7.85546875" style="240" bestFit="1" customWidth="1"/>
    <col min="60" max="60" width="12" style="240" bestFit="1" customWidth="1"/>
    <col min="61" max="66" width="9.140625" style="240"/>
    <col min="67" max="68" width="17" style="240" bestFit="1" customWidth="1"/>
    <col min="69" max="16384" width="9.140625" style="240"/>
  </cols>
  <sheetData>
    <row r="1" spans="1:71" ht="13.5" thickTop="1" x14ac:dyDescent="0.2">
      <c r="A1" s="966" t="s">
        <v>92</v>
      </c>
      <c r="B1" s="966" t="s">
        <v>93</v>
      </c>
      <c r="C1" s="240" t="s">
        <v>466</v>
      </c>
      <c r="D1" s="240" t="s">
        <v>467</v>
      </c>
      <c r="E1" s="967" t="s">
        <v>494</v>
      </c>
      <c r="F1" s="967"/>
      <c r="G1" s="967"/>
      <c r="H1" s="240" t="s">
        <v>495</v>
      </c>
      <c r="I1" s="240" t="s">
        <v>496</v>
      </c>
      <c r="L1" s="240">
        <f>IF(ISNUMBER('Design Data'!Q12),1,0)</f>
        <v>0</v>
      </c>
      <c r="N1" s="240">
        <f>IF($K$48="E",1000,900)</f>
        <v>900</v>
      </c>
      <c r="O1" s="240">
        <f>IF($K$48="E",N27+1000,N27+900)</f>
        <v>25200</v>
      </c>
      <c r="P1" s="240">
        <f>IF($K$48="E",O27+1000,O27+900)</f>
        <v>49500</v>
      </c>
      <c r="Q1" s="240">
        <f>IF($K$48="E",P27+1000,P27+900)</f>
        <v>73800</v>
      </c>
      <c r="R1" s="240">
        <f>IF($K$48="E",Q27+1000,Q27+900)</f>
        <v>98100</v>
      </c>
      <c r="T1" s="132">
        <v>0</v>
      </c>
      <c r="U1" s="132">
        <v>0</v>
      </c>
      <c r="W1" s="240" t="s">
        <v>1116</v>
      </c>
      <c r="X1" s="606">
        <v>60025</v>
      </c>
      <c r="Y1" s="240" t="str">
        <f>IF(W14="","",VLOOKUP(W15,W1:Z12,4,FALSE))</f>
        <v/>
      </c>
      <c r="Z1" s="240">
        <v>1</v>
      </c>
      <c r="AA1" s="1176">
        <f>IF($K$48="E",R27+1000,R27+900)</f>
        <v>122400</v>
      </c>
      <c r="AB1" s="1177">
        <f>IF($K$48="E",AA27+1000,AA27+900)</f>
        <v>146700</v>
      </c>
      <c r="AC1" s="1177">
        <f>IF($K$48="E",AB27+1000,AB27+900)</f>
        <v>171000</v>
      </c>
      <c r="AD1" s="1177">
        <f>IF($K$48="E",AC27+1000,AC27+900)</f>
        <v>195300</v>
      </c>
      <c r="AE1" s="1178">
        <f>IF($K$48="E",AD27+1000,AD27+900)</f>
        <v>219600</v>
      </c>
      <c r="BO1" s="65" t="s">
        <v>168</v>
      </c>
      <c r="BP1" s="65"/>
      <c r="BR1" s="11" t="s">
        <v>1215</v>
      </c>
      <c r="BS1" s="5" t="s">
        <v>227</v>
      </c>
    </row>
    <row r="2" spans="1:71" x14ac:dyDescent="0.2">
      <c r="A2" s="968" t="s">
        <v>1210</v>
      </c>
      <c r="B2" s="968">
        <f>'Design Data'!T15</f>
        <v>100</v>
      </c>
      <c r="C2" s="240">
        <v>50</v>
      </c>
      <c r="D2" s="240">
        <f t="shared" ref="D2:D15" si="0">C2^0.45</f>
        <v>5.8148230317277987</v>
      </c>
      <c r="H2" s="240">
        <f>D2</f>
        <v>5.8148230317277987</v>
      </c>
      <c r="I2" s="240">
        <v>0</v>
      </c>
      <c r="L2" s="240">
        <f>COUNTA('Design Data'!U16:U28)</f>
        <v>1</v>
      </c>
      <c r="N2" s="240">
        <f>IF($K$48="E",N1+1000,N1+900)</f>
        <v>1800</v>
      </c>
      <c r="O2" s="240">
        <f>IF($K$48="E",O1+1000,O1+900)</f>
        <v>26100</v>
      </c>
      <c r="P2" s="240">
        <f t="shared" ref="P2:R17" si="1">IF($K$48="E",P1+1000,P1+900)</f>
        <v>50400</v>
      </c>
      <c r="Q2" s="240">
        <f t="shared" si="1"/>
        <v>74700</v>
      </c>
      <c r="R2" s="240">
        <f t="shared" si="1"/>
        <v>99000</v>
      </c>
      <c r="W2" s="240" t="s">
        <v>1117</v>
      </c>
      <c r="X2" s="606">
        <v>60050</v>
      </c>
      <c r="Y2" s="240" t="str">
        <f>IF(W14="","",VLOOKUP(W15,W1:Z12,2,FALSE))</f>
        <v/>
      </c>
      <c r="Z2" s="240">
        <v>2</v>
      </c>
      <c r="AA2" s="1179">
        <f t="shared" ref="AA2:AB27" si="2">IF($K$48="E",AA1+1000,AA1+900)</f>
        <v>123300</v>
      </c>
      <c r="AB2" s="240">
        <f t="shared" si="2"/>
        <v>147600</v>
      </c>
      <c r="AC2" s="240">
        <f t="shared" ref="AC2:AC27" si="3">IF($K$48="E",AC1+1000,AC1+900)</f>
        <v>171900</v>
      </c>
      <c r="AD2" s="240">
        <f t="shared" ref="AD2:AD27" si="4">IF($K$48="E",AD1+1000,AD1+900)</f>
        <v>196200</v>
      </c>
      <c r="AE2" s="1180">
        <f t="shared" ref="AE2:AE27" si="5">IF($K$48="E",AE1+1000,AE1+900)</f>
        <v>220500</v>
      </c>
      <c r="AH2" s="267" t="s">
        <v>2059</v>
      </c>
      <c r="AI2" s="969" t="s">
        <v>2416</v>
      </c>
      <c r="AM2" s="969" t="s">
        <v>474</v>
      </c>
      <c r="AN2" s="969" t="s">
        <v>2399</v>
      </c>
      <c r="AO2" s="240" t="e">
        <v>#N/A</v>
      </c>
      <c r="AR2" t="s">
        <v>14</v>
      </c>
      <c r="AS2" s="240" t="s">
        <v>2284</v>
      </c>
      <c r="AV2" s="240" t="s">
        <v>1009</v>
      </c>
      <c r="AY2" s="240" t="s">
        <v>1507</v>
      </c>
      <c r="AZ2" s="240" t="s">
        <v>1508</v>
      </c>
      <c r="BA2" s="240" t="s">
        <v>1530</v>
      </c>
      <c r="BB2" s="240" t="s">
        <v>1515</v>
      </c>
      <c r="BC2" s="240" t="s">
        <v>1531</v>
      </c>
      <c r="BD2" s="240" t="s">
        <v>1507</v>
      </c>
      <c r="BE2" s="240" t="s">
        <v>1515</v>
      </c>
      <c r="BF2" s="240" t="s">
        <v>1508</v>
      </c>
      <c r="BG2" s="240" t="s">
        <v>1512</v>
      </c>
      <c r="BH2" s="240" t="s">
        <v>1513</v>
      </c>
      <c r="BI2" s="240" t="s">
        <v>1523</v>
      </c>
      <c r="BK2" s="1130" t="str">
        <f>'Chart Data'!J48</f>
        <v/>
      </c>
      <c r="BO2" s="11" t="s">
        <v>1130</v>
      </c>
      <c r="BP2" s="65"/>
      <c r="BR2" s="11" t="s">
        <v>1169</v>
      </c>
      <c r="BS2" s="5">
        <v>16</v>
      </c>
    </row>
    <row r="3" spans="1:71" x14ac:dyDescent="0.2">
      <c r="A3" s="968" t="s">
        <v>1205</v>
      </c>
      <c r="B3" s="968">
        <f>'Design Data'!T16</f>
        <v>0</v>
      </c>
      <c r="C3" s="240">
        <v>37.5</v>
      </c>
      <c r="D3" s="240">
        <f t="shared" si="0"/>
        <v>5.1087431744234335</v>
      </c>
      <c r="E3" s="590">
        <v>12.5</v>
      </c>
      <c r="F3" s="240">
        <f t="shared" ref="F3:F11" si="6">E3^0.45</f>
        <v>3.116086507375345</v>
      </c>
      <c r="G3" s="590">
        <v>100</v>
      </c>
      <c r="H3" s="240">
        <f>D2</f>
        <v>5.8148230317277987</v>
      </c>
      <c r="I3" s="240">
        <v>100</v>
      </c>
      <c r="L3" s="240">
        <f>COUNTA('Design Data'!T16:T28)</f>
        <v>1</v>
      </c>
      <c r="N3" s="240">
        <f t="shared" ref="N3:N27" si="7">IF($K$48="E",N2+1000,N2+900)</f>
        <v>2700</v>
      </c>
      <c r="O3" s="240">
        <f t="shared" ref="O3:O27" si="8">IF($K$48="E",O2+1000,O2+900)</f>
        <v>27000</v>
      </c>
      <c r="P3" s="240">
        <f t="shared" si="1"/>
        <v>51300</v>
      </c>
      <c r="Q3" s="240">
        <f t="shared" si="1"/>
        <v>75600</v>
      </c>
      <c r="R3" s="240">
        <f t="shared" si="1"/>
        <v>99900</v>
      </c>
      <c r="T3" s="137"/>
      <c r="W3" s="240" t="s">
        <v>1115</v>
      </c>
      <c r="X3" s="606">
        <v>60075</v>
      </c>
      <c r="Z3" s="240">
        <v>3</v>
      </c>
      <c r="AA3" s="1179">
        <f t="shared" si="2"/>
        <v>124200</v>
      </c>
      <c r="AB3" s="240">
        <f t="shared" si="2"/>
        <v>148500</v>
      </c>
      <c r="AC3" s="240">
        <f t="shared" si="3"/>
        <v>172800</v>
      </c>
      <c r="AD3" s="240">
        <f t="shared" si="4"/>
        <v>197100</v>
      </c>
      <c r="AE3" s="1180">
        <f t="shared" si="5"/>
        <v>221400</v>
      </c>
      <c r="AH3" s="267" t="s">
        <v>1062</v>
      </c>
      <c r="AI3" s="969" t="s">
        <v>981</v>
      </c>
      <c r="AM3" s="969" t="s">
        <v>2659</v>
      </c>
      <c r="AN3" s="969" t="s">
        <v>2660</v>
      </c>
      <c r="AR3" t="s">
        <v>15</v>
      </c>
      <c r="AS3" s="240" t="s">
        <v>2283</v>
      </c>
      <c r="AV3" s="240" t="s">
        <v>1010</v>
      </c>
      <c r="AY3" s="240">
        <f>IF(OR($BK$2=0.5,$BK$2=0.38,$BK$2="No. 4"),1,0)</f>
        <v>0</v>
      </c>
      <c r="AZ3" s="1129" t="e">
        <f t="shared" ref="AZ3:AZ16" si="9">IF($BK$7=BF3,1,0)</f>
        <v>#REF!</v>
      </c>
      <c r="BA3" s="240" t="e">
        <f>IF($BK$6&lt;=17,1,0)</f>
        <v>#REF!</v>
      </c>
      <c r="BB3" s="240">
        <f>IF($BK$3=BE3,1,0)</f>
        <v>0</v>
      </c>
      <c r="BC3" s="240" t="e">
        <f>SUM(AY3:BB3)</f>
        <v>#REF!</v>
      </c>
      <c r="BD3" s="240" t="s">
        <v>1517</v>
      </c>
      <c r="BE3" s="240" t="s">
        <v>1115</v>
      </c>
      <c r="BF3" s="240" t="s">
        <v>1509</v>
      </c>
      <c r="BG3" s="240" t="s">
        <v>2434</v>
      </c>
      <c r="BH3" s="240" t="s">
        <v>1514</v>
      </c>
      <c r="BI3" s="240" t="s">
        <v>1524</v>
      </c>
      <c r="BK3" s="240" t="str">
        <f>F48</f>
        <v/>
      </c>
      <c r="BO3" s="271" t="s">
        <v>175</v>
      </c>
      <c r="BP3" s="271" t="s">
        <v>176</v>
      </c>
      <c r="BR3" s="271">
        <v>0.38</v>
      </c>
      <c r="BS3" s="5">
        <v>15</v>
      </c>
    </row>
    <row r="4" spans="1:71" x14ac:dyDescent="0.2">
      <c r="A4" s="966" t="s">
        <v>1206</v>
      </c>
      <c r="B4" s="968">
        <f>'Design Data'!T17</f>
        <v>0</v>
      </c>
      <c r="C4" s="240">
        <v>25</v>
      </c>
      <c r="D4" s="240">
        <f t="shared" si="0"/>
        <v>4.2566996126039234</v>
      </c>
      <c r="E4" s="590">
        <v>9.5</v>
      </c>
      <c r="F4" s="240">
        <f t="shared" si="6"/>
        <v>2.754074108566122</v>
      </c>
      <c r="G4" s="590">
        <v>100</v>
      </c>
      <c r="H4" s="240">
        <f>D3</f>
        <v>5.1087431744234335</v>
      </c>
      <c r="L4" s="240">
        <f>IF(ISNUMBER('Design Data'!H20),1,0)</f>
        <v>0</v>
      </c>
      <c r="N4" s="240">
        <f t="shared" si="7"/>
        <v>3600</v>
      </c>
      <c r="O4" s="240">
        <f t="shared" si="8"/>
        <v>27900</v>
      </c>
      <c r="P4" s="240">
        <f t="shared" si="1"/>
        <v>52200</v>
      </c>
      <c r="Q4" s="240">
        <f t="shared" si="1"/>
        <v>76500</v>
      </c>
      <c r="R4" s="240">
        <f t="shared" si="1"/>
        <v>100800</v>
      </c>
      <c r="S4" s="240" t="s">
        <v>74</v>
      </c>
      <c r="T4" s="137" t="s">
        <v>74</v>
      </c>
      <c r="W4" s="240" t="s">
        <v>1118</v>
      </c>
      <c r="X4" s="606">
        <v>60100</v>
      </c>
      <c r="Z4" s="240">
        <v>4</v>
      </c>
      <c r="AA4" s="1179">
        <f t="shared" si="2"/>
        <v>125100</v>
      </c>
      <c r="AB4" s="240">
        <f t="shared" si="2"/>
        <v>149400</v>
      </c>
      <c r="AC4" s="240">
        <f t="shared" si="3"/>
        <v>173700</v>
      </c>
      <c r="AD4" s="240">
        <f t="shared" si="4"/>
        <v>198000</v>
      </c>
      <c r="AE4" s="1180">
        <f t="shared" si="5"/>
        <v>222300</v>
      </c>
      <c r="AH4" s="267" t="s">
        <v>1480</v>
      </c>
      <c r="AI4" s="969" t="s">
        <v>1481</v>
      </c>
      <c r="AM4" s="969" t="s">
        <v>289</v>
      </c>
      <c r="AN4" s="969" t="s">
        <v>475</v>
      </c>
      <c r="AR4" t="s">
        <v>16</v>
      </c>
      <c r="AS4" s="240" t="s">
        <v>2286</v>
      </c>
      <c r="AV4" s="240" t="s">
        <v>1011</v>
      </c>
      <c r="AY4" s="240">
        <f t="shared" ref="AY4:AY9" si="10">IF(OR($BK$2=0.5,$BK$2=0.38,$BK$2="No. 4"),1,0)</f>
        <v>0</v>
      </c>
      <c r="AZ4" s="1129" t="e">
        <f t="shared" si="9"/>
        <v>#REF!</v>
      </c>
      <c r="BA4" s="240" t="e">
        <f>IF(AND($BK$6&gt;=18,$BK$6&lt;=23),1,0)</f>
        <v>#REF!</v>
      </c>
      <c r="BB4" s="240">
        <f t="shared" ref="BB4:BB16" si="11">IF($BK$3=BE4,1,0)</f>
        <v>0</v>
      </c>
      <c r="BC4" s="240" t="e">
        <f t="shared" ref="BC4:BC16" si="12">SUM(AY4:BB4)</f>
        <v>#REF!</v>
      </c>
      <c r="BD4" s="240" t="s">
        <v>1517</v>
      </c>
      <c r="BE4" s="240" t="s">
        <v>1115</v>
      </c>
      <c r="BF4" s="240" t="s">
        <v>1509</v>
      </c>
      <c r="BG4" s="240" t="s">
        <v>2435</v>
      </c>
      <c r="BH4" s="240" t="s">
        <v>1522</v>
      </c>
      <c r="BI4" s="240" t="s">
        <v>1525</v>
      </c>
      <c r="BK4" s="240" t="e">
        <f>'Recycle Data'!#REF!</f>
        <v>#REF!</v>
      </c>
      <c r="BO4" s="272" t="s">
        <v>180</v>
      </c>
      <c r="BP4" s="272" t="s">
        <v>180</v>
      </c>
      <c r="BR4" s="272">
        <v>0.5</v>
      </c>
      <c r="BS4" s="5">
        <v>14</v>
      </c>
    </row>
    <row r="5" spans="1:71" x14ac:dyDescent="0.2">
      <c r="A5" s="966" t="s">
        <v>1207</v>
      </c>
      <c r="B5" s="968">
        <f>'Design Data'!T18</f>
        <v>0</v>
      </c>
      <c r="C5" s="240">
        <v>19</v>
      </c>
      <c r="D5" s="240">
        <f t="shared" si="0"/>
        <v>3.7621761023862978</v>
      </c>
      <c r="E5" s="590">
        <v>9.5</v>
      </c>
      <c r="F5" s="240">
        <f t="shared" si="6"/>
        <v>2.754074108566122</v>
      </c>
      <c r="G5" s="590">
        <v>90</v>
      </c>
      <c r="H5" s="240">
        <f>D3</f>
        <v>5.1087431744234335</v>
      </c>
      <c r="L5" s="240">
        <f>COUNTIF('Design Data'!O52:O70,"")</f>
        <v>19</v>
      </c>
      <c r="N5" s="240">
        <f t="shared" si="7"/>
        <v>4500</v>
      </c>
      <c r="O5" s="240">
        <f t="shared" si="8"/>
        <v>28800</v>
      </c>
      <c r="P5" s="240">
        <f t="shared" si="1"/>
        <v>53100</v>
      </c>
      <c r="Q5" s="240">
        <f t="shared" si="1"/>
        <v>77400</v>
      </c>
      <c r="R5" s="240">
        <f t="shared" si="1"/>
        <v>101700</v>
      </c>
      <c r="S5" s="240" t="s">
        <v>497</v>
      </c>
      <c r="T5" s="137">
        <v>2</v>
      </c>
      <c r="W5" s="240" t="s">
        <v>1119</v>
      </c>
      <c r="X5" s="606">
        <v>60125</v>
      </c>
      <c r="Z5" s="240">
        <v>5</v>
      </c>
      <c r="AA5" s="1179">
        <f t="shared" si="2"/>
        <v>126000</v>
      </c>
      <c r="AB5" s="240">
        <f t="shared" si="2"/>
        <v>150300</v>
      </c>
      <c r="AC5" s="240">
        <f t="shared" si="3"/>
        <v>174600</v>
      </c>
      <c r="AD5" s="240">
        <f t="shared" si="4"/>
        <v>198900</v>
      </c>
      <c r="AE5" s="1180">
        <f t="shared" si="5"/>
        <v>223200</v>
      </c>
      <c r="AH5" s="267" t="s">
        <v>1063</v>
      </c>
      <c r="AI5" s="969" t="s">
        <v>982</v>
      </c>
      <c r="AM5" s="969" t="s">
        <v>290</v>
      </c>
      <c r="AN5" s="969" t="s">
        <v>476</v>
      </c>
      <c r="AR5" t="s">
        <v>17</v>
      </c>
      <c r="AS5" s="240" t="s">
        <v>2285</v>
      </c>
      <c r="AV5" s="240" t="s">
        <v>1012</v>
      </c>
      <c r="AY5" s="240">
        <f t="shared" si="10"/>
        <v>0</v>
      </c>
      <c r="AZ5" s="1129" t="e">
        <f t="shared" si="9"/>
        <v>#REF!</v>
      </c>
      <c r="BA5" s="240" t="e">
        <f>IF($BK$6&lt;=17,1,0)</f>
        <v>#REF!</v>
      </c>
      <c r="BB5" s="240">
        <f t="shared" si="11"/>
        <v>0</v>
      </c>
      <c r="BC5" s="240" t="e">
        <f t="shared" si="12"/>
        <v>#REF!</v>
      </c>
      <c r="BD5" s="240" t="s">
        <v>1517</v>
      </c>
      <c r="BE5" s="240" t="s">
        <v>1122</v>
      </c>
      <c r="BF5" s="240" t="s">
        <v>1509</v>
      </c>
      <c r="BG5" s="240" t="s">
        <v>2434</v>
      </c>
      <c r="BH5" s="240" t="s">
        <v>1516</v>
      </c>
      <c r="BI5" s="240" t="s">
        <v>1526</v>
      </c>
      <c r="BK5" s="240" t="e">
        <f>'Recycle Data'!#REF!</f>
        <v>#REF!</v>
      </c>
      <c r="BO5" s="272" t="s">
        <v>2480</v>
      </c>
      <c r="BP5" s="272" t="s">
        <v>2480</v>
      </c>
      <c r="BR5" s="271">
        <v>0.75</v>
      </c>
      <c r="BS5" s="5">
        <v>13</v>
      </c>
    </row>
    <row r="6" spans="1:71" x14ac:dyDescent="0.2">
      <c r="A6" s="966" t="s">
        <v>1208</v>
      </c>
      <c r="B6" s="968">
        <f>'Design Data'!T19</f>
        <v>0</v>
      </c>
      <c r="C6" s="240">
        <v>12.5</v>
      </c>
      <c r="D6" s="240">
        <f t="shared" si="0"/>
        <v>3.116086507375345</v>
      </c>
      <c r="E6" s="590">
        <v>4.75</v>
      </c>
      <c r="F6" s="240">
        <f t="shared" si="6"/>
        <v>2.0161002539629291</v>
      </c>
      <c r="G6" s="590">
        <v>90</v>
      </c>
      <c r="H6" s="240">
        <f>D4</f>
        <v>4.2566996126039234</v>
      </c>
      <c r="N6" s="240">
        <f t="shared" si="7"/>
        <v>5400</v>
      </c>
      <c r="O6" s="240">
        <f t="shared" si="8"/>
        <v>29700</v>
      </c>
      <c r="P6" s="240">
        <f t="shared" si="1"/>
        <v>54000</v>
      </c>
      <c r="Q6" s="240">
        <f t="shared" si="1"/>
        <v>78300</v>
      </c>
      <c r="R6" s="240">
        <f t="shared" si="1"/>
        <v>102600</v>
      </c>
      <c r="W6" s="240" t="s">
        <v>1120</v>
      </c>
      <c r="X6" s="606">
        <v>60150</v>
      </c>
      <c r="Z6" s="240">
        <v>6</v>
      </c>
      <c r="AA6" s="1179">
        <f t="shared" si="2"/>
        <v>126900</v>
      </c>
      <c r="AB6" s="240">
        <f t="shared" si="2"/>
        <v>151200</v>
      </c>
      <c r="AC6" s="240">
        <f t="shared" si="3"/>
        <v>175500</v>
      </c>
      <c r="AD6" s="240">
        <f t="shared" si="4"/>
        <v>199800</v>
      </c>
      <c r="AE6" s="1180">
        <f t="shared" si="5"/>
        <v>224100</v>
      </c>
      <c r="AH6" s="267" t="s">
        <v>1064</v>
      </c>
      <c r="AI6" s="969" t="s">
        <v>983</v>
      </c>
      <c r="AM6" s="969" t="s">
        <v>291</v>
      </c>
      <c r="AN6" s="969" t="s">
        <v>477</v>
      </c>
      <c r="AR6" t="s">
        <v>1038</v>
      </c>
      <c r="AS6" s="240" t="s">
        <v>2299</v>
      </c>
      <c r="AV6" s="240" t="s">
        <v>1013</v>
      </c>
      <c r="AY6" s="240">
        <f t="shared" si="10"/>
        <v>0</v>
      </c>
      <c r="AZ6" s="1129" t="e">
        <f t="shared" si="9"/>
        <v>#REF!</v>
      </c>
      <c r="BA6" s="240" t="e">
        <f>IF($BK$6&lt;=10,1,0)</f>
        <v>#REF!</v>
      </c>
      <c r="BB6" s="240">
        <f t="shared" si="11"/>
        <v>0</v>
      </c>
      <c r="BC6" s="240" t="e">
        <f t="shared" si="12"/>
        <v>#REF!</v>
      </c>
      <c r="BD6" s="240" t="s">
        <v>1517</v>
      </c>
      <c r="BE6" s="240" t="s">
        <v>1115</v>
      </c>
      <c r="BF6" s="240" t="s">
        <v>1510</v>
      </c>
      <c r="BG6" s="240" t="s">
        <v>2436</v>
      </c>
      <c r="BH6" s="240" t="s">
        <v>1514</v>
      </c>
      <c r="BI6" s="240" t="s">
        <v>1527</v>
      </c>
      <c r="BK6" s="240" t="e">
        <f>IF(OR(BK4="",BK5=""),"",ROUND(BK5/BK4*100,0))</f>
        <v>#REF!</v>
      </c>
      <c r="BO6" s="272" t="s">
        <v>188</v>
      </c>
      <c r="BP6" s="272" t="s">
        <v>188</v>
      </c>
      <c r="BR6" s="271">
        <v>1</v>
      </c>
      <c r="BS6" s="5">
        <v>12</v>
      </c>
    </row>
    <row r="7" spans="1:71" x14ac:dyDescent="0.2">
      <c r="A7" s="966" t="s">
        <v>1209</v>
      </c>
      <c r="B7" s="968">
        <f>'Design Data'!T20</f>
        <v>0</v>
      </c>
      <c r="C7" s="240">
        <v>9.5</v>
      </c>
      <c r="D7" s="240">
        <f t="shared" si="0"/>
        <v>2.754074108566122</v>
      </c>
      <c r="E7" s="590">
        <v>2.36</v>
      </c>
      <c r="F7" s="240">
        <f t="shared" si="6"/>
        <v>1.4716698795820382</v>
      </c>
      <c r="G7" s="590">
        <v>67</v>
      </c>
      <c r="H7" s="240">
        <f>D4</f>
        <v>4.2566996126039234</v>
      </c>
      <c r="J7" s="240" t="s">
        <v>271</v>
      </c>
      <c r="M7" s="240" t="str">
        <f>IF(ISERROR(VLOOKUP(J7,J9:M12,4,FALSE)),"",VLOOKUP(J7,J9:M12,4,FALSE))</f>
        <v/>
      </c>
      <c r="N7" s="240">
        <f t="shared" si="7"/>
        <v>6300</v>
      </c>
      <c r="O7" s="240">
        <f t="shared" si="8"/>
        <v>30600</v>
      </c>
      <c r="P7" s="240">
        <f t="shared" si="1"/>
        <v>54900</v>
      </c>
      <c r="Q7" s="240">
        <f t="shared" si="1"/>
        <v>79200</v>
      </c>
      <c r="R7" s="240">
        <f t="shared" si="1"/>
        <v>103500</v>
      </c>
      <c r="W7" s="240" t="s">
        <v>1121</v>
      </c>
      <c r="X7" s="606">
        <v>60175</v>
      </c>
      <c r="Z7" s="240">
        <v>7</v>
      </c>
      <c r="AA7" s="1179">
        <f t="shared" si="2"/>
        <v>127800</v>
      </c>
      <c r="AB7" s="240">
        <f t="shared" si="2"/>
        <v>152100</v>
      </c>
      <c r="AC7" s="240">
        <f t="shared" si="3"/>
        <v>176400</v>
      </c>
      <c r="AD7" s="240">
        <f t="shared" si="4"/>
        <v>200700</v>
      </c>
      <c r="AE7" s="1180">
        <f t="shared" si="5"/>
        <v>225000</v>
      </c>
      <c r="AH7" s="267" t="s">
        <v>1421</v>
      </c>
      <c r="AI7" s="969" t="s">
        <v>1422</v>
      </c>
      <c r="AM7" s="969" t="s">
        <v>748</v>
      </c>
      <c r="AN7" s="969" t="s">
        <v>749</v>
      </c>
      <c r="AR7" t="s">
        <v>1</v>
      </c>
      <c r="AS7" s="240" t="s">
        <v>2300</v>
      </c>
      <c r="AV7" s="240" t="s">
        <v>1014</v>
      </c>
      <c r="AY7" s="240">
        <f t="shared" si="10"/>
        <v>0</v>
      </c>
      <c r="AZ7" s="1129" t="e">
        <f t="shared" si="9"/>
        <v>#REF!</v>
      </c>
      <c r="BA7" s="240" t="e">
        <f>IF(AND($BK$6&gt;=11,$BK$6&lt;=15),1,0)</f>
        <v>#REF!</v>
      </c>
      <c r="BB7" s="240">
        <f t="shared" si="11"/>
        <v>0</v>
      </c>
      <c r="BC7" s="240" t="e">
        <f t="shared" si="12"/>
        <v>#REF!</v>
      </c>
      <c r="BD7" s="240" t="s">
        <v>1517</v>
      </c>
      <c r="BE7" s="240" t="s">
        <v>1115</v>
      </c>
      <c r="BF7" s="240" t="s">
        <v>1510</v>
      </c>
      <c r="BG7" s="972" t="s">
        <v>2441</v>
      </c>
      <c r="BH7" s="240" t="s">
        <v>1522</v>
      </c>
      <c r="BI7" s="240" t="s">
        <v>1528</v>
      </c>
      <c r="BK7" s="240" t="e">
        <f>IF(BK5="","",IF(AND(U55&gt;=1,V55=0),"RAS",IF(AND(U55=0,V55&gt;=1),"RAP",IF(AND(U55&gt;=1,V55&gt;=1),"Both",""))))</f>
        <v>#REF!</v>
      </c>
      <c r="BO7" s="272" t="s">
        <v>195</v>
      </c>
      <c r="BP7" s="272" t="s">
        <v>195</v>
      </c>
      <c r="BR7" s="271">
        <v>1.5</v>
      </c>
      <c r="BS7" s="5">
        <v>11</v>
      </c>
    </row>
    <row r="8" spans="1:71" x14ac:dyDescent="0.2">
      <c r="A8" s="966" t="s">
        <v>119</v>
      </c>
      <c r="B8" s="968">
        <f>'Design Data'!T22</f>
        <v>0</v>
      </c>
      <c r="C8" s="240">
        <v>4.75</v>
      </c>
      <c r="D8" s="240">
        <f t="shared" si="0"/>
        <v>2.0161002539629291</v>
      </c>
      <c r="E8" s="590">
        <v>2.36</v>
      </c>
      <c r="F8" s="240">
        <f t="shared" si="6"/>
        <v>1.4716698795820382</v>
      </c>
      <c r="G8" s="590">
        <v>32</v>
      </c>
      <c r="H8" s="240">
        <f>D5</f>
        <v>3.7621761023862978</v>
      </c>
      <c r="N8" s="240">
        <f t="shared" si="7"/>
        <v>7200</v>
      </c>
      <c r="O8" s="240">
        <f t="shared" si="8"/>
        <v>31500</v>
      </c>
      <c r="P8" s="240">
        <f t="shared" si="1"/>
        <v>55800</v>
      </c>
      <c r="Q8" s="240">
        <f t="shared" si="1"/>
        <v>80100</v>
      </c>
      <c r="R8" s="240">
        <f t="shared" si="1"/>
        <v>104400</v>
      </c>
      <c r="W8" s="240" t="s">
        <v>1122</v>
      </c>
      <c r="X8" s="606">
        <v>60200</v>
      </c>
      <c r="Z8" s="240">
        <v>8</v>
      </c>
      <c r="AA8" s="1179">
        <f t="shared" si="2"/>
        <v>128700</v>
      </c>
      <c r="AB8" s="240">
        <f t="shared" si="2"/>
        <v>153000</v>
      </c>
      <c r="AC8" s="240">
        <f t="shared" si="3"/>
        <v>177300</v>
      </c>
      <c r="AD8" s="240">
        <f t="shared" si="4"/>
        <v>201600</v>
      </c>
      <c r="AE8" s="1180">
        <f t="shared" si="5"/>
        <v>225900</v>
      </c>
      <c r="AH8" s="267" t="s">
        <v>1065</v>
      </c>
      <c r="AI8" s="971" t="s">
        <v>984</v>
      </c>
      <c r="AM8" s="969" t="s">
        <v>292</v>
      </c>
      <c r="AN8" s="969" t="s">
        <v>2327</v>
      </c>
      <c r="AR8" t="s">
        <v>2</v>
      </c>
      <c r="AS8" s="240" t="s">
        <v>2301</v>
      </c>
      <c r="AV8" s="240" t="s">
        <v>1015</v>
      </c>
      <c r="AY8" s="240">
        <f t="shared" si="10"/>
        <v>0</v>
      </c>
      <c r="AZ8" s="1129" t="e">
        <f t="shared" si="9"/>
        <v>#REF!</v>
      </c>
      <c r="BA8" s="240" t="e">
        <f>IF($BK$6&lt;=12,1,0)</f>
        <v>#REF!</v>
      </c>
      <c r="BB8" s="240">
        <f t="shared" si="11"/>
        <v>0</v>
      </c>
      <c r="BC8" s="240" t="e">
        <f t="shared" si="12"/>
        <v>#REF!</v>
      </c>
      <c r="BD8" s="240" t="s">
        <v>1517</v>
      </c>
      <c r="BE8" s="240" t="s">
        <v>1115</v>
      </c>
      <c r="BF8" s="240" t="s">
        <v>1511</v>
      </c>
      <c r="BG8" s="240" t="s">
        <v>2437</v>
      </c>
      <c r="BH8" s="240" t="s">
        <v>1514</v>
      </c>
      <c r="BO8"/>
      <c r="BP8"/>
      <c r="BR8" s="271"/>
      <c r="BS8" s="5"/>
    </row>
    <row r="9" spans="1:71" x14ac:dyDescent="0.2">
      <c r="A9" s="966" t="s">
        <v>121</v>
      </c>
      <c r="B9" s="968">
        <f>'Design Data'!T23</f>
        <v>0</v>
      </c>
      <c r="C9" s="240">
        <v>2.36</v>
      </c>
      <c r="D9" s="240">
        <f t="shared" si="0"/>
        <v>1.4716698795820382</v>
      </c>
      <c r="E9" s="590">
        <v>7.4999999999999997E-2</v>
      </c>
      <c r="F9" s="240">
        <f t="shared" si="6"/>
        <v>0.31172925995349998</v>
      </c>
      <c r="G9" s="590">
        <v>10</v>
      </c>
      <c r="H9" s="240">
        <f>D5</f>
        <v>3.7621761023862978</v>
      </c>
      <c r="J9" s="240" t="s">
        <v>1232</v>
      </c>
      <c r="M9" s="240">
        <v>1</v>
      </c>
      <c r="N9" s="240">
        <f t="shared" si="7"/>
        <v>8100</v>
      </c>
      <c r="O9" s="240">
        <f t="shared" si="8"/>
        <v>32400</v>
      </c>
      <c r="P9" s="240">
        <f t="shared" si="1"/>
        <v>56700</v>
      </c>
      <c r="Q9" s="240">
        <f t="shared" si="1"/>
        <v>81000</v>
      </c>
      <c r="R9" s="240">
        <f t="shared" si="1"/>
        <v>105300</v>
      </c>
      <c r="S9" s="970" t="s">
        <v>1538</v>
      </c>
      <c r="T9" s="240" t="str">
        <f>IF('Design Data'!N79="","",2525)</f>
        <v/>
      </c>
      <c r="V9" s="240">
        <v>1</v>
      </c>
      <c r="W9" s="240" t="s">
        <v>1123</v>
      </c>
      <c r="X9" s="606">
        <v>60225</v>
      </c>
      <c r="Z9" s="240">
        <v>9</v>
      </c>
      <c r="AA9" s="1179">
        <f t="shared" si="2"/>
        <v>129600</v>
      </c>
      <c r="AB9" s="240">
        <f t="shared" si="2"/>
        <v>153900</v>
      </c>
      <c r="AC9" s="240">
        <f t="shared" si="3"/>
        <v>178200</v>
      </c>
      <c r="AD9" s="240">
        <f t="shared" si="4"/>
        <v>202500</v>
      </c>
      <c r="AE9" s="1180">
        <f t="shared" si="5"/>
        <v>226800</v>
      </c>
      <c r="AH9" s="267" t="s">
        <v>2055</v>
      </c>
      <c r="AI9" s="969" t="s">
        <v>2056</v>
      </c>
      <c r="AM9" s="969" t="s">
        <v>2710</v>
      </c>
      <c r="AN9" s="969" t="s">
        <v>2711</v>
      </c>
      <c r="AR9" t="s">
        <v>1039</v>
      </c>
      <c r="AS9" s="240" t="s">
        <v>2302</v>
      </c>
      <c r="AV9" s="240" t="s">
        <v>1016</v>
      </c>
      <c r="AY9" s="240">
        <f t="shared" si="10"/>
        <v>0</v>
      </c>
      <c r="AZ9" s="1129" t="e">
        <f t="shared" si="9"/>
        <v>#REF!</v>
      </c>
      <c r="BA9" s="240" t="e">
        <f>IF(AND($BK$6&gt;=13,$BK$6&lt;=18),1,0)</f>
        <v>#REF!</v>
      </c>
      <c r="BB9" s="240">
        <f t="shared" si="11"/>
        <v>0</v>
      </c>
      <c r="BC9" s="240" t="e">
        <f t="shared" si="12"/>
        <v>#REF!</v>
      </c>
      <c r="BD9" s="240" t="s">
        <v>1517</v>
      </c>
      <c r="BE9" s="240" t="s">
        <v>1115</v>
      </c>
      <c r="BF9" s="240" t="s">
        <v>1511</v>
      </c>
      <c r="BG9" s="240" t="s">
        <v>2438</v>
      </c>
      <c r="BH9" s="240" t="s">
        <v>1522</v>
      </c>
      <c r="BI9" s="240" t="s">
        <v>1529</v>
      </c>
      <c r="BK9" s="240" t="e">
        <f>IF(BK7="","",IF(OR(BC3=4,BC4=4,BC5=4,BC6=4,BC7=4,BC8=4,BC9=4,BC10=4,BC11=4,BC12=4,BC13=4,BC14=4,BC15=4,BC16=4),"YES","NO"))</f>
        <v>#REF!</v>
      </c>
      <c r="BO9" s="273" t="str">
        <f>IF('Chart Data'!J48="NO. 4","N/A",IF(AND('Design Data'!H20=1,'Design Data'!K20&lt;=100),BO4,IF(AND('Design Data'!H20=1,'Design Data'!K20&gt;100),BP4,IF(AND('Design Data'!H20=2,'Design Data'!K20&lt;=100),BO5,IF(AND('Design Data'!H20=2,'Design Data'!K20&gt;100),BP5,IF(AND('Design Data'!H20=3,'Design Data'!K20&lt;=100),BO6,IF(AND('Design Data'!H20=3,'Design Data'!K20&gt;100),BP6,"")))))))</f>
        <v/>
      </c>
      <c r="BP9" s="273" t="b">
        <f>IF(AND('Design Data'!H20=4,'Design Data'!K20&lt;=100),BO7,IF(AND('Design Data'!H20=4,'Design Data'!K20&gt;100),BP7))</f>
        <v>0</v>
      </c>
      <c r="BR9" s="271"/>
      <c r="BS9" s="5" t="str">
        <f>IF(OR(ISNUMBER('Chart Data'!J48),'Chart Data'!J48="NO. 4"),VLOOKUP('Chart Data'!J48,'Chart Data'!BR2:BS7,2,FALSE),"")</f>
        <v/>
      </c>
    </row>
    <row r="10" spans="1:71" x14ac:dyDescent="0.2">
      <c r="A10" s="966" t="s">
        <v>125</v>
      </c>
      <c r="B10" s="968">
        <f>'Design Data'!T24</f>
        <v>0</v>
      </c>
      <c r="C10" s="240">
        <v>1.18</v>
      </c>
      <c r="D10" s="240">
        <f t="shared" si="0"/>
        <v>1.0773254099250416</v>
      </c>
      <c r="E10" s="590">
        <v>7.4999999999999997E-2</v>
      </c>
      <c r="F10" s="240">
        <f t="shared" si="6"/>
        <v>0.31172925995349998</v>
      </c>
      <c r="G10" s="590">
        <v>2</v>
      </c>
      <c r="H10" s="240">
        <f>D6</f>
        <v>3.116086507375345</v>
      </c>
      <c r="J10" s="240" t="s">
        <v>1234</v>
      </c>
      <c r="M10" s="240">
        <v>2</v>
      </c>
      <c r="N10" s="240">
        <f t="shared" si="7"/>
        <v>9000</v>
      </c>
      <c r="O10" s="240">
        <f t="shared" si="8"/>
        <v>33300</v>
      </c>
      <c r="P10" s="240">
        <f t="shared" si="1"/>
        <v>57600</v>
      </c>
      <c r="Q10" s="240">
        <f t="shared" si="1"/>
        <v>81900</v>
      </c>
      <c r="R10" s="240">
        <f t="shared" si="1"/>
        <v>106200</v>
      </c>
      <c r="S10" s="970" t="s">
        <v>1540</v>
      </c>
      <c r="T10" s="240" t="str">
        <f>IF('Design Data'!Q79="","",1425)</f>
        <v/>
      </c>
      <c r="W10" s="240" t="s">
        <v>1124</v>
      </c>
      <c r="X10" s="606">
        <v>60250</v>
      </c>
      <c r="Z10" s="240">
        <v>10</v>
      </c>
      <c r="AA10" s="1179">
        <f t="shared" si="2"/>
        <v>130500</v>
      </c>
      <c r="AB10" s="240">
        <f t="shared" si="2"/>
        <v>154800</v>
      </c>
      <c r="AC10" s="240">
        <f t="shared" si="3"/>
        <v>179100</v>
      </c>
      <c r="AD10" s="240">
        <f t="shared" si="4"/>
        <v>203400</v>
      </c>
      <c r="AE10" s="1180">
        <f t="shared" si="5"/>
        <v>227700</v>
      </c>
      <c r="AH10" s="267" t="s">
        <v>1066</v>
      </c>
      <c r="AI10" s="969" t="s">
        <v>978</v>
      </c>
      <c r="AM10" s="969" t="s">
        <v>298</v>
      </c>
      <c r="AN10" s="969" t="s">
        <v>2376</v>
      </c>
      <c r="AR10" t="s">
        <v>3</v>
      </c>
      <c r="AS10" s="240" t="s">
        <v>2303</v>
      </c>
      <c r="AV10" s="240" t="s">
        <v>1017</v>
      </c>
      <c r="AY10" s="240">
        <f>IF(OR($BK$2=1.5,$BK$2=1,$BK$2=0.75),1,0)</f>
        <v>0</v>
      </c>
      <c r="AZ10" s="1129" t="e">
        <f t="shared" si="9"/>
        <v>#REF!</v>
      </c>
      <c r="BA10" s="240" t="e">
        <f>IF($BK$6&lt;=25,1,0)</f>
        <v>#REF!</v>
      </c>
      <c r="BB10" s="240">
        <f t="shared" si="11"/>
        <v>0</v>
      </c>
      <c r="BC10" s="240" t="e">
        <f t="shared" si="12"/>
        <v>#REF!</v>
      </c>
      <c r="BD10" s="240" t="s">
        <v>1520</v>
      </c>
      <c r="BE10" s="240" t="s">
        <v>1115</v>
      </c>
      <c r="BF10" s="240" t="s">
        <v>1509</v>
      </c>
      <c r="BG10" s="240" t="s">
        <v>1521</v>
      </c>
      <c r="BH10" s="240" t="s">
        <v>1514</v>
      </c>
      <c r="BI10" s="240" t="s">
        <v>1513</v>
      </c>
      <c r="BK10" s="240" t="e">
        <f>IF(BK9="YES",VLOOKUP(4,BC3:BH16,6,FALSE),"")</f>
        <v>#REF!</v>
      </c>
    </row>
    <row r="11" spans="1:71" x14ac:dyDescent="0.2">
      <c r="A11" s="966" t="s">
        <v>127</v>
      </c>
      <c r="B11" s="968">
        <f>'Design Data'!T25</f>
        <v>0</v>
      </c>
      <c r="C11" s="240">
        <v>0.6</v>
      </c>
      <c r="D11" s="240">
        <f t="shared" si="0"/>
        <v>0.79463568224020453</v>
      </c>
      <c r="E11" s="240">
        <v>7.4999999999999997E-2</v>
      </c>
      <c r="F11" s="240">
        <f t="shared" si="6"/>
        <v>0.31172925995349998</v>
      </c>
      <c r="G11" s="240">
        <v>6</v>
      </c>
      <c r="H11" s="240">
        <f>D6</f>
        <v>3.116086507375345</v>
      </c>
      <c r="J11" s="240" t="s">
        <v>473</v>
      </c>
      <c r="M11" s="240">
        <v>3</v>
      </c>
      <c r="N11" s="240">
        <f t="shared" si="7"/>
        <v>9900</v>
      </c>
      <c r="O11" s="240">
        <f t="shared" si="8"/>
        <v>34200</v>
      </c>
      <c r="P11" s="240">
        <f t="shared" si="1"/>
        <v>58500</v>
      </c>
      <c r="Q11" s="240">
        <f t="shared" si="1"/>
        <v>82800</v>
      </c>
      <c r="R11" s="240">
        <f t="shared" si="1"/>
        <v>107100</v>
      </c>
      <c r="S11" s="970" t="s">
        <v>217</v>
      </c>
      <c r="T11" s="240" t="str">
        <f>IF('Design Data'!N80="","",85)</f>
        <v/>
      </c>
      <c r="W11" s="240" t="s">
        <v>1125</v>
      </c>
      <c r="X11" s="606">
        <v>60275</v>
      </c>
      <c r="Z11" s="240">
        <v>11</v>
      </c>
      <c r="AA11" s="1179">
        <f t="shared" si="2"/>
        <v>131400</v>
      </c>
      <c r="AB11" s="240">
        <f t="shared" si="2"/>
        <v>155700</v>
      </c>
      <c r="AC11" s="240">
        <f t="shared" si="3"/>
        <v>180000</v>
      </c>
      <c r="AD11" s="240">
        <f t="shared" si="4"/>
        <v>204300</v>
      </c>
      <c r="AE11" s="1180">
        <f t="shared" si="5"/>
        <v>228600</v>
      </c>
      <c r="AH11" s="267" t="s">
        <v>1026</v>
      </c>
      <c r="AI11" s="969" t="s">
        <v>1035</v>
      </c>
      <c r="AM11" s="969" t="s">
        <v>293</v>
      </c>
      <c r="AN11" s="969" t="s">
        <v>1091</v>
      </c>
      <c r="AR11" t="s">
        <v>4</v>
      </c>
      <c r="AS11" s="240" t="s">
        <v>2304</v>
      </c>
      <c r="AV11" s="240" t="s">
        <v>1018</v>
      </c>
      <c r="AY11" s="240">
        <f t="shared" ref="AY11:AY16" si="13">IF(OR($BK$2=1.5,$BK$2=1,$BK$2=0.75),1,0)</f>
        <v>0</v>
      </c>
      <c r="AZ11" s="1129" t="e">
        <f t="shared" si="9"/>
        <v>#REF!</v>
      </c>
      <c r="BA11" s="240" t="e">
        <f>IF(AND($BK$6&gt;=26,$BK$6&lt;=30),1,0)</f>
        <v>#REF!</v>
      </c>
      <c r="BB11" s="240">
        <f t="shared" si="11"/>
        <v>0</v>
      </c>
      <c r="BC11" s="240" t="e">
        <f t="shared" si="12"/>
        <v>#REF!</v>
      </c>
      <c r="BD11" s="240" t="s">
        <v>1520</v>
      </c>
      <c r="BE11" s="240" t="s">
        <v>1115</v>
      </c>
      <c r="BF11" s="240" t="s">
        <v>1509</v>
      </c>
      <c r="BG11" s="240" t="s">
        <v>2439</v>
      </c>
      <c r="BH11" s="240" t="s">
        <v>1522</v>
      </c>
    </row>
    <row r="12" spans="1:71" x14ac:dyDescent="0.2">
      <c r="A12" s="966" t="s">
        <v>128</v>
      </c>
      <c r="B12" s="968">
        <f>'Design Data'!T26</f>
        <v>0</v>
      </c>
      <c r="C12" s="240">
        <v>0.3</v>
      </c>
      <c r="D12" s="240">
        <f t="shared" si="0"/>
        <v>0.58170736792793831</v>
      </c>
      <c r="E12" s="967" t="s">
        <v>498</v>
      </c>
      <c r="F12" s="967"/>
      <c r="G12" s="967"/>
      <c r="H12" s="240">
        <f>D7</f>
        <v>2.754074108566122</v>
      </c>
      <c r="J12" s="240" t="s">
        <v>472</v>
      </c>
      <c r="M12" s="240">
        <v>4</v>
      </c>
      <c r="N12" s="240">
        <f t="shared" si="7"/>
        <v>10800</v>
      </c>
      <c r="O12" s="240">
        <f t="shared" si="8"/>
        <v>35100</v>
      </c>
      <c r="P12" s="240">
        <f t="shared" si="1"/>
        <v>59400</v>
      </c>
      <c r="Q12" s="240">
        <f t="shared" si="1"/>
        <v>83700</v>
      </c>
      <c r="R12" s="240">
        <f t="shared" si="1"/>
        <v>108000</v>
      </c>
      <c r="S12" s="970" t="s">
        <v>1541</v>
      </c>
      <c r="T12" s="240" t="str">
        <f>IF('Design Data'!Q80="","",45)</f>
        <v/>
      </c>
      <c r="W12" s="240" t="s">
        <v>1126</v>
      </c>
      <c r="X12" s="240">
        <v>61075</v>
      </c>
      <c r="Z12" s="240">
        <v>12</v>
      </c>
      <c r="AA12" s="1179">
        <f t="shared" si="2"/>
        <v>132300</v>
      </c>
      <c r="AB12" s="240">
        <f t="shared" si="2"/>
        <v>156600</v>
      </c>
      <c r="AC12" s="240">
        <f t="shared" si="3"/>
        <v>180900</v>
      </c>
      <c r="AD12" s="240">
        <f t="shared" si="4"/>
        <v>205200</v>
      </c>
      <c r="AE12" s="1180">
        <f t="shared" si="5"/>
        <v>229500</v>
      </c>
      <c r="AH12" s="267" t="s">
        <v>1067</v>
      </c>
      <c r="AI12" s="969" t="s">
        <v>2417</v>
      </c>
      <c r="AM12" s="969" t="s">
        <v>2704</v>
      </c>
      <c r="AN12" s="969" t="s">
        <v>2705</v>
      </c>
      <c r="AR12" t="s">
        <v>1040</v>
      </c>
      <c r="AS12" s="240" t="s">
        <v>2305</v>
      </c>
      <c r="AV12" s="240" t="s">
        <v>1019</v>
      </c>
      <c r="AY12" s="240">
        <f t="shared" si="13"/>
        <v>0</v>
      </c>
      <c r="AZ12" s="1129" t="e">
        <f t="shared" si="9"/>
        <v>#REF!</v>
      </c>
      <c r="BA12" s="240" t="e">
        <f>IF($BK$6&lt;=25,1,0)</f>
        <v>#REF!</v>
      </c>
      <c r="BB12" s="240">
        <f t="shared" si="11"/>
        <v>0</v>
      </c>
      <c r="BC12" s="240" t="e">
        <f t="shared" si="12"/>
        <v>#REF!</v>
      </c>
      <c r="BD12" s="240" t="s">
        <v>1520</v>
      </c>
      <c r="BE12" s="240" t="s">
        <v>1122</v>
      </c>
      <c r="BF12" s="240" t="s">
        <v>1509</v>
      </c>
      <c r="BG12" s="240" t="s">
        <v>1521</v>
      </c>
      <c r="BH12" s="240" t="s">
        <v>1516</v>
      </c>
      <c r="BO12" s="240" t="s">
        <v>169</v>
      </c>
    </row>
    <row r="13" spans="1:71" x14ac:dyDescent="0.2">
      <c r="A13" s="966" t="s">
        <v>129</v>
      </c>
      <c r="B13" s="968">
        <f>'Design Data'!T27</f>
        <v>0</v>
      </c>
      <c r="C13" s="240">
        <v>0.15</v>
      </c>
      <c r="D13" s="240">
        <f t="shared" si="0"/>
        <v>0.42583471830473674</v>
      </c>
      <c r="H13" s="240">
        <f>D7</f>
        <v>2.754074108566122</v>
      </c>
      <c r="N13" s="240">
        <f t="shared" si="7"/>
        <v>11700</v>
      </c>
      <c r="O13" s="240">
        <f t="shared" si="8"/>
        <v>36000</v>
      </c>
      <c r="P13" s="240">
        <f t="shared" si="1"/>
        <v>60300</v>
      </c>
      <c r="Q13" s="240">
        <f t="shared" si="1"/>
        <v>84600</v>
      </c>
      <c r="R13" s="240">
        <f t="shared" si="1"/>
        <v>108900</v>
      </c>
      <c r="S13" s="970" t="s">
        <v>1542</v>
      </c>
      <c r="T13" s="240" t="str">
        <f>IF('1-Pt. Check'!C30="","",60)</f>
        <v/>
      </c>
      <c r="AA13" s="1179">
        <f t="shared" si="2"/>
        <v>133200</v>
      </c>
      <c r="AB13" s="240">
        <f t="shared" si="2"/>
        <v>157500</v>
      </c>
      <c r="AC13" s="240">
        <f t="shared" si="3"/>
        <v>181800</v>
      </c>
      <c r="AD13" s="240">
        <f t="shared" si="4"/>
        <v>206100</v>
      </c>
      <c r="AE13" s="1180">
        <f t="shared" si="5"/>
        <v>230400</v>
      </c>
      <c r="AH13" s="267" t="s">
        <v>1068</v>
      </c>
      <c r="AI13" s="969" t="s">
        <v>2418</v>
      </c>
      <c r="AM13" s="969" t="s">
        <v>2665</v>
      </c>
      <c r="AN13" s="969" t="s">
        <v>2666</v>
      </c>
      <c r="AR13" t="s">
        <v>5</v>
      </c>
      <c r="AS13" s="240" t="s">
        <v>2306</v>
      </c>
      <c r="AV13" s="240" t="s">
        <v>1020</v>
      </c>
      <c r="AY13" s="240">
        <f t="shared" si="13"/>
        <v>0</v>
      </c>
      <c r="AZ13" s="1129" t="e">
        <f t="shared" si="9"/>
        <v>#REF!</v>
      </c>
      <c r="BA13" s="240" t="e">
        <f>IF($BK$6&lt;=12,1,0)</f>
        <v>#REF!</v>
      </c>
      <c r="BB13" s="240">
        <f t="shared" si="11"/>
        <v>0</v>
      </c>
      <c r="BC13" s="240" t="e">
        <f t="shared" si="12"/>
        <v>#REF!</v>
      </c>
      <c r="BD13" s="240" t="s">
        <v>1520</v>
      </c>
      <c r="BE13" s="240" t="s">
        <v>1115</v>
      </c>
      <c r="BF13" s="240" t="s">
        <v>1510</v>
      </c>
      <c r="BG13" s="240" t="s">
        <v>2437</v>
      </c>
      <c r="BH13" s="240" t="s">
        <v>1514</v>
      </c>
      <c r="BO13" s="240" t="s">
        <v>1215</v>
      </c>
      <c r="BP13" s="240" t="str">
        <f>J48</f>
        <v/>
      </c>
    </row>
    <row r="14" spans="1:71" x14ac:dyDescent="0.2">
      <c r="A14" s="966" t="s">
        <v>131</v>
      </c>
      <c r="B14" s="968">
        <f>'Design Data'!T28</f>
        <v>0</v>
      </c>
      <c r="C14" s="240">
        <v>7.4999999999999997E-2</v>
      </c>
      <c r="D14" s="240">
        <f t="shared" si="0"/>
        <v>0.31172925995349998</v>
      </c>
      <c r="E14" s="590">
        <v>0</v>
      </c>
      <c r="F14" s="240">
        <f>E14^0.45</f>
        <v>0</v>
      </c>
      <c r="G14" s="240">
        <v>0</v>
      </c>
      <c r="H14" s="240">
        <f>D8</f>
        <v>2.0161002539629291</v>
      </c>
      <c r="N14" s="240">
        <f t="shared" si="7"/>
        <v>12600</v>
      </c>
      <c r="O14" s="240">
        <f t="shared" si="8"/>
        <v>36900</v>
      </c>
      <c r="P14" s="240">
        <f t="shared" si="1"/>
        <v>61200</v>
      </c>
      <c r="Q14" s="240">
        <f t="shared" si="1"/>
        <v>85500</v>
      </c>
      <c r="R14" s="240">
        <f t="shared" si="1"/>
        <v>109800</v>
      </c>
      <c r="S14" s="970" t="s">
        <v>1229</v>
      </c>
      <c r="T14" s="240" t="str">
        <f>IF(L48="X",200,"")</f>
        <v/>
      </c>
      <c r="W14" s="240" t="s">
        <v>271</v>
      </c>
      <c r="AA14" s="1179">
        <f t="shared" si="2"/>
        <v>134100</v>
      </c>
      <c r="AB14" s="240">
        <f t="shared" si="2"/>
        <v>158400</v>
      </c>
      <c r="AC14" s="240">
        <f t="shared" si="3"/>
        <v>182700</v>
      </c>
      <c r="AD14" s="240">
        <f t="shared" si="4"/>
        <v>207000</v>
      </c>
      <c r="AE14" s="1180">
        <f t="shared" si="5"/>
        <v>231300</v>
      </c>
      <c r="AH14" s="267" t="s">
        <v>2180</v>
      </c>
      <c r="AI14" s="969" t="s">
        <v>2419</v>
      </c>
      <c r="AM14" s="969" t="s">
        <v>2402</v>
      </c>
      <c r="AN14" s="969" t="s">
        <v>2403</v>
      </c>
      <c r="AR14" t="s">
        <v>6</v>
      </c>
      <c r="AS14" s="240" t="s">
        <v>2307</v>
      </c>
      <c r="AV14" s="240" t="s">
        <v>1021</v>
      </c>
      <c r="AY14" s="240">
        <f t="shared" si="13"/>
        <v>0</v>
      </c>
      <c r="AZ14" s="1129" t="e">
        <f t="shared" si="9"/>
        <v>#REF!</v>
      </c>
      <c r="BA14" s="240" t="e">
        <f>IF(AND($BK$6&gt;=13,$BK$6&lt;=20),1,0)</f>
        <v>#REF!</v>
      </c>
      <c r="BB14" s="240">
        <f t="shared" si="11"/>
        <v>0</v>
      </c>
      <c r="BC14" s="240" t="e">
        <f t="shared" si="12"/>
        <v>#REF!</v>
      </c>
      <c r="BD14" s="240" t="s">
        <v>1520</v>
      </c>
      <c r="BE14" s="240" t="s">
        <v>1115</v>
      </c>
      <c r="BF14" s="240" t="s">
        <v>1510</v>
      </c>
      <c r="BG14" s="240" t="s">
        <v>2440</v>
      </c>
      <c r="BH14" s="240" t="s">
        <v>1522</v>
      </c>
      <c r="BI14" s="240" t="s">
        <v>1532</v>
      </c>
      <c r="BK14" s="240" t="s">
        <v>1534</v>
      </c>
      <c r="BL14" s="240" t="str">
        <f>IFERROR(('Design Data'!L34-'Design Data'!L37)/('Design Data'!B34-'Design Data'!B37),"")</f>
        <v/>
      </c>
      <c r="BO14" s="240" t="s">
        <v>1212</v>
      </c>
      <c r="BP14" s="1229" t="str">
        <f>'Design Data'!H20</f>
        <v/>
      </c>
    </row>
    <row r="15" spans="1:71" x14ac:dyDescent="0.2">
      <c r="B15" s="240">
        <v>0</v>
      </c>
      <c r="C15" s="240">
        <v>0</v>
      </c>
      <c r="D15" s="240">
        <f t="shared" si="0"/>
        <v>0</v>
      </c>
      <c r="E15" s="590" t="str">
        <f>IF(W14="","",VLOOKUP(I48,A35:B40,2,FALSE))</f>
        <v/>
      </c>
      <c r="F15" s="240" t="str">
        <f>IF(W14="","",E15^0.45)</f>
        <v/>
      </c>
      <c r="G15" s="240">
        <v>100</v>
      </c>
      <c r="H15" s="240">
        <f>D8</f>
        <v>2.0161002539629291</v>
      </c>
      <c r="I15" s="606"/>
      <c r="J15" s="606"/>
      <c r="K15" s="606"/>
      <c r="N15" s="240">
        <f t="shared" si="7"/>
        <v>13500</v>
      </c>
      <c r="O15" s="240">
        <f t="shared" si="8"/>
        <v>37800</v>
      </c>
      <c r="P15" s="240">
        <f t="shared" si="1"/>
        <v>62100</v>
      </c>
      <c r="Q15" s="240">
        <f t="shared" si="1"/>
        <v>86400</v>
      </c>
      <c r="R15" s="240">
        <f t="shared" si="1"/>
        <v>110700</v>
      </c>
      <c r="S15" s="970" t="s">
        <v>1543</v>
      </c>
      <c r="T15" s="590">
        <f>SUM(T9:T14)</f>
        <v>0</v>
      </c>
      <c r="W15" s="240" t="str">
        <f>IF(W14="","",IF(W14="Bid Item Not In Drop-Down List",W24,VLOOKUP(W14,A50:F264,6,FALSE)))</f>
        <v/>
      </c>
      <c r="AA15" s="1179">
        <f t="shared" si="2"/>
        <v>135000</v>
      </c>
      <c r="AB15" s="240">
        <f t="shared" si="2"/>
        <v>159300</v>
      </c>
      <c r="AC15" s="240">
        <f t="shared" si="3"/>
        <v>183600</v>
      </c>
      <c r="AD15" s="240">
        <f t="shared" si="4"/>
        <v>207900</v>
      </c>
      <c r="AE15" s="1180">
        <f t="shared" si="5"/>
        <v>232200</v>
      </c>
      <c r="AH15" s="267" t="s">
        <v>1069</v>
      </c>
      <c r="AI15" s="969" t="s">
        <v>2420</v>
      </c>
      <c r="AM15" s="969" t="s">
        <v>2663</v>
      </c>
      <c r="AN15" s="969" t="s">
        <v>2703</v>
      </c>
      <c r="AR15" t="s">
        <v>1041</v>
      </c>
      <c r="AS15" s="240" t="s">
        <v>2308</v>
      </c>
      <c r="AY15" s="240">
        <f t="shared" si="13"/>
        <v>0</v>
      </c>
      <c r="AZ15" s="1129" t="e">
        <f t="shared" si="9"/>
        <v>#REF!</v>
      </c>
      <c r="BA15" s="240" t="e">
        <f>IF($BK$6&lt;=15,1,0)</f>
        <v>#REF!</v>
      </c>
      <c r="BB15" s="240">
        <f t="shared" si="11"/>
        <v>0</v>
      </c>
      <c r="BC15" s="240" t="e">
        <f t="shared" si="12"/>
        <v>#REF!</v>
      </c>
      <c r="BD15" s="240" t="s">
        <v>1520</v>
      </c>
      <c r="BE15" s="240" t="s">
        <v>1115</v>
      </c>
      <c r="BF15" s="240" t="s">
        <v>1511</v>
      </c>
      <c r="BG15" s="240" t="s">
        <v>1518</v>
      </c>
      <c r="BH15" s="240" t="s">
        <v>1514</v>
      </c>
      <c r="BK15" s="240" t="s">
        <v>1533</v>
      </c>
      <c r="BL15" s="240" t="str">
        <f>IFERROR(('Design Data'!L34-'Chart Data'!BL14*'Design Data'!B34),"")</f>
        <v/>
      </c>
      <c r="BO15" s="240" t="s">
        <v>2479</v>
      </c>
      <c r="BP15" s="240">
        <f>'Design Data'!K20</f>
        <v>0</v>
      </c>
    </row>
    <row r="16" spans="1:71" x14ac:dyDescent="0.2">
      <c r="H16" s="240">
        <f>D9</f>
        <v>1.4716698795820382</v>
      </c>
      <c r="I16" s="606"/>
      <c r="J16" s="606"/>
      <c r="K16" s="606"/>
      <c r="N16" s="240">
        <f t="shared" si="7"/>
        <v>14400</v>
      </c>
      <c r="O16" s="240">
        <f t="shared" si="8"/>
        <v>38700</v>
      </c>
      <c r="P16" s="240">
        <f t="shared" si="1"/>
        <v>63000</v>
      </c>
      <c r="Q16" s="240">
        <f t="shared" si="1"/>
        <v>87300</v>
      </c>
      <c r="R16" s="240">
        <f t="shared" si="1"/>
        <v>111600</v>
      </c>
      <c r="W16" s="240" t="str">
        <f>IF(AND(W14="",W20=""),"",IF(AND(W14="Bid Item Not In Drop-Down List",W20=""),"",IF(W14="Bid Item Not In Drop-Down List",VALUE(RIGHT(W20,1)),VLOOKUP(W14,A50:G264,7,FALSE))))</f>
        <v/>
      </c>
      <c r="AA16" s="1179">
        <f t="shared" si="2"/>
        <v>135900</v>
      </c>
      <c r="AB16" s="240">
        <f t="shared" si="2"/>
        <v>160200</v>
      </c>
      <c r="AC16" s="240">
        <f t="shared" si="3"/>
        <v>184500</v>
      </c>
      <c r="AD16" s="240">
        <f t="shared" si="4"/>
        <v>208800</v>
      </c>
      <c r="AE16" s="1180">
        <f t="shared" si="5"/>
        <v>233100</v>
      </c>
      <c r="AH16" s="267" t="s">
        <v>1070</v>
      </c>
      <c r="AI16" s="969" t="s">
        <v>2421</v>
      </c>
      <c r="AM16" s="969" t="s">
        <v>299</v>
      </c>
      <c r="AN16" s="969" t="s">
        <v>478</v>
      </c>
      <c r="AR16" t="s">
        <v>7</v>
      </c>
      <c r="AS16" s="240" t="s">
        <v>2309</v>
      </c>
      <c r="AY16" s="240">
        <f t="shared" si="13"/>
        <v>0</v>
      </c>
      <c r="AZ16" s="1129" t="e">
        <f t="shared" si="9"/>
        <v>#REF!</v>
      </c>
      <c r="BA16" s="240" t="e">
        <f>IF(AND($BK$6&gt;=16,$BK$6&lt;=25),1,0)</f>
        <v>#REF!</v>
      </c>
      <c r="BB16" s="240">
        <f t="shared" si="11"/>
        <v>0</v>
      </c>
      <c r="BC16" s="240" t="e">
        <f t="shared" si="12"/>
        <v>#REF!</v>
      </c>
      <c r="BD16" s="240" t="s">
        <v>1520</v>
      </c>
      <c r="BE16" s="240" t="s">
        <v>1115</v>
      </c>
      <c r="BF16" s="240" t="s">
        <v>1511</v>
      </c>
      <c r="BG16" s="240" t="s">
        <v>1519</v>
      </c>
      <c r="BH16" s="240" t="s">
        <v>1522</v>
      </c>
      <c r="BK16" s="240" t="s">
        <v>1738</v>
      </c>
      <c r="BL16" s="240">
        <f>IFERROR(Graphs!K131,"")</f>
        <v>0</v>
      </c>
      <c r="BP16" s="240">
        <f>IF(AND(BP13="NO. 4",BP14=2),45,IF(AND(BP13="NO. 4",BP14&gt;=3),45,IF(OR(AND(BP15&lt;=100,BP14=2),AND(BP15&gt;100,BP14=2)),40,IF(OR(AND(BP15&gt;100,BP14=3),AND(BP15&lt;=100,BP14=3)),43,45))))</f>
        <v>45</v>
      </c>
    </row>
    <row r="17" spans="1:68" x14ac:dyDescent="0.2">
      <c r="A17" s="606"/>
      <c r="B17" s="606"/>
      <c r="C17" s="606"/>
      <c r="D17" s="606"/>
      <c r="E17" s="606"/>
      <c r="F17" s="606"/>
      <c r="G17" s="606"/>
      <c r="H17" s="240">
        <f>D9</f>
        <v>1.4716698795820382</v>
      </c>
      <c r="J17" s="240" t="s">
        <v>1235</v>
      </c>
      <c r="L17" s="240" t="b">
        <v>0</v>
      </c>
      <c r="N17" s="240">
        <f t="shared" si="7"/>
        <v>15300</v>
      </c>
      <c r="O17" s="240">
        <f t="shared" si="8"/>
        <v>39600</v>
      </c>
      <c r="P17" s="240">
        <f t="shared" si="1"/>
        <v>63900</v>
      </c>
      <c r="Q17" s="240">
        <f t="shared" si="1"/>
        <v>88200</v>
      </c>
      <c r="R17" s="240">
        <f t="shared" si="1"/>
        <v>112500</v>
      </c>
      <c r="S17" s="606"/>
      <c r="W17" s="240" t="str">
        <f>IF(W14="","",VLOOKUP(W14,A51:H264,8,FALSE))</f>
        <v/>
      </c>
      <c r="X17" s="240" t="str">
        <f>IF(W22="0.38","15.0", IF(W22="0.50","14.0", IF(W22="0.75","13.0", IF(W22="1.00", "12.0", IF(W22="1.50", "11.0","")))))</f>
        <v/>
      </c>
      <c r="AA17" s="1179">
        <f t="shared" si="2"/>
        <v>136800</v>
      </c>
      <c r="AB17" s="240">
        <f t="shared" si="2"/>
        <v>161100</v>
      </c>
      <c r="AC17" s="240">
        <f t="shared" si="3"/>
        <v>185400</v>
      </c>
      <c r="AD17" s="240">
        <f t="shared" si="4"/>
        <v>209700</v>
      </c>
      <c r="AE17" s="1180">
        <f t="shared" si="5"/>
        <v>234000</v>
      </c>
      <c r="AH17" s="267" t="s">
        <v>1071</v>
      </c>
      <c r="AI17" s="969" t="s">
        <v>2422</v>
      </c>
      <c r="AM17" s="969" t="s">
        <v>1467</v>
      </c>
      <c r="AN17" s="969" t="s">
        <v>1468</v>
      </c>
      <c r="AR17" t="s">
        <v>8</v>
      </c>
      <c r="AS17" s="240" t="s">
        <v>2310</v>
      </c>
      <c r="BK17" s="240" t="s">
        <v>1535</v>
      </c>
      <c r="BL17" s="240" t="str">
        <f>IFERROR(ROUND(BL14*BL16+BL15,1),"")</f>
        <v/>
      </c>
      <c r="BO17" s="240" t="s">
        <v>173</v>
      </c>
      <c r="BP17" s="240" t="str">
        <f>IF(BP16="N/A","N/A",CONCATENATE(BP16," (minimun)"))</f>
        <v>45 (minimun)</v>
      </c>
    </row>
    <row r="18" spans="1:68" x14ac:dyDescent="0.2">
      <c r="A18" s="137" t="s">
        <v>92</v>
      </c>
      <c r="B18" s="137" t="s">
        <v>1222</v>
      </c>
      <c r="C18" s="137" t="s">
        <v>466</v>
      </c>
      <c r="D18" s="137" t="s">
        <v>467</v>
      </c>
      <c r="E18" s="137" t="s">
        <v>1221</v>
      </c>
      <c r="F18" s="137" t="s">
        <v>1220</v>
      </c>
      <c r="H18" s="240">
        <f>D10</f>
        <v>1.0773254099250416</v>
      </c>
      <c r="I18" s="990" t="s">
        <v>1233</v>
      </c>
      <c r="J18" s="240" t="s">
        <v>1236</v>
      </c>
      <c r="L18" s="240" t="b">
        <v>0</v>
      </c>
      <c r="N18" s="240">
        <f t="shared" si="7"/>
        <v>16200</v>
      </c>
      <c r="O18" s="240">
        <f t="shared" si="8"/>
        <v>40500</v>
      </c>
      <c r="P18" s="240">
        <f t="shared" ref="P18:P27" si="14">IF($K$48="E",P17+1000,P17+900)</f>
        <v>64800</v>
      </c>
      <c r="Q18" s="240">
        <f t="shared" ref="Q18:Q27" si="15">IF($K$48="E",Q17+1000,Q17+900)</f>
        <v>89100</v>
      </c>
      <c r="R18" s="240">
        <f t="shared" ref="R18:R27" si="16">IF($K$48="E",R17+1000,R17+900)</f>
        <v>113400</v>
      </c>
      <c r="S18" s="606"/>
      <c r="AA18" s="1179">
        <f t="shared" si="2"/>
        <v>137700</v>
      </c>
      <c r="AB18" s="240">
        <f t="shared" si="2"/>
        <v>162000</v>
      </c>
      <c r="AC18" s="240">
        <f t="shared" si="3"/>
        <v>186300</v>
      </c>
      <c r="AD18" s="240">
        <f t="shared" si="4"/>
        <v>210600</v>
      </c>
      <c r="AE18" s="1180">
        <f t="shared" si="5"/>
        <v>234900</v>
      </c>
      <c r="AH18" s="267" t="s">
        <v>1072</v>
      </c>
      <c r="AI18" s="969" t="s">
        <v>2423</v>
      </c>
      <c r="AM18" s="969" t="s">
        <v>2153</v>
      </c>
      <c r="AN18" s="969" t="s">
        <v>2154</v>
      </c>
      <c r="AR18" t="s">
        <v>1042</v>
      </c>
      <c r="AS18" s="240" t="s">
        <v>2311</v>
      </c>
    </row>
    <row r="19" spans="1:68" x14ac:dyDescent="0.2">
      <c r="A19" s="137">
        <v>1.5</v>
      </c>
      <c r="B19" s="132">
        <f>'Design Data'!T16</f>
        <v>0</v>
      </c>
      <c r="C19" s="137">
        <v>37.5</v>
      </c>
      <c r="D19" s="137">
        <f t="shared" ref="D19:D25" si="17">C19^0.45</f>
        <v>5.1087431744234335</v>
      </c>
      <c r="E19" s="137">
        <v>100</v>
      </c>
      <c r="F19" s="137">
        <v>100</v>
      </c>
      <c r="H19" s="240">
        <f>D10</f>
        <v>1.0773254099250416</v>
      </c>
      <c r="J19" s="240" t="s">
        <v>1237</v>
      </c>
      <c r="L19" s="240" t="b">
        <v>0</v>
      </c>
      <c r="N19" s="240">
        <f t="shared" si="7"/>
        <v>17100</v>
      </c>
      <c r="O19" s="240">
        <f t="shared" si="8"/>
        <v>41400</v>
      </c>
      <c r="P19" s="240">
        <f t="shared" si="14"/>
        <v>65700</v>
      </c>
      <c r="Q19" s="240">
        <f t="shared" si="15"/>
        <v>90000</v>
      </c>
      <c r="R19" s="240">
        <f t="shared" si="16"/>
        <v>114300</v>
      </c>
      <c r="S19" s="970"/>
      <c r="T19" s="137"/>
      <c r="W19" s="240" t="s">
        <v>271</v>
      </c>
      <c r="AA19" s="1179">
        <f t="shared" si="2"/>
        <v>138600</v>
      </c>
      <c r="AB19" s="240">
        <f t="shared" si="2"/>
        <v>162900</v>
      </c>
      <c r="AC19" s="240">
        <f t="shared" si="3"/>
        <v>187200</v>
      </c>
      <c r="AD19" s="240">
        <f t="shared" si="4"/>
        <v>211500</v>
      </c>
      <c r="AE19" s="1180">
        <f t="shared" si="5"/>
        <v>235800</v>
      </c>
      <c r="AH19" s="267" t="s">
        <v>1073</v>
      </c>
      <c r="AI19" s="969" t="s">
        <v>2424</v>
      </c>
      <c r="AM19" s="969" t="s">
        <v>1425</v>
      </c>
      <c r="AN19" s="969" t="s">
        <v>1089</v>
      </c>
      <c r="AR19" t="s">
        <v>9</v>
      </c>
      <c r="AS19" s="240" t="s">
        <v>2318</v>
      </c>
    </row>
    <row r="20" spans="1:68" x14ac:dyDescent="0.2">
      <c r="A20" s="137">
        <v>0.75</v>
      </c>
      <c r="B20" s="132">
        <f>'Design Data'!T18</f>
        <v>0</v>
      </c>
      <c r="C20" s="137">
        <v>19</v>
      </c>
      <c r="D20" s="137">
        <f t="shared" si="17"/>
        <v>3.7621761023862978</v>
      </c>
      <c r="E20" s="137">
        <v>85</v>
      </c>
      <c r="F20" s="137">
        <v>100</v>
      </c>
      <c r="H20" s="240">
        <f>D11</f>
        <v>0.79463568224020453</v>
      </c>
      <c r="J20" s="240" t="s">
        <v>1238</v>
      </c>
      <c r="L20" s="240" t="b">
        <v>0</v>
      </c>
      <c r="N20" s="240">
        <f t="shared" si="7"/>
        <v>18000</v>
      </c>
      <c r="O20" s="240">
        <f t="shared" si="8"/>
        <v>42300</v>
      </c>
      <c r="P20" s="240">
        <f t="shared" si="14"/>
        <v>66600</v>
      </c>
      <c r="Q20" s="240">
        <f t="shared" si="15"/>
        <v>90900</v>
      </c>
      <c r="R20" s="240">
        <f t="shared" si="16"/>
        <v>115200</v>
      </c>
      <c r="W20" s="240" t="s">
        <v>271</v>
      </c>
      <c r="AA20" s="1179">
        <f t="shared" si="2"/>
        <v>139500</v>
      </c>
      <c r="AB20" s="240">
        <f t="shared" si="2"/>
        <v>163800</v>
      </c>
      <c r="AC20" s="240">
        <f t="shared" si="3"/>
        <v>188100</v>
      </c>
      <c r="AD20" s="240">
        <f t="shared" si="4"/>
        <v>212400</v>
      </c>
      <c r="AE20" s="1180">
        <f t="shared" si="5"/>
        <v>236700</v>
      </c>
      <c r="AH20" s="267" t="s">
        <v>2057</v>
      </c>
      <c r="AI20" s="969" t="s">
        <v>2058</v>
      </c>
      <c r="AM20" s="969" t="s">
        <v>1424</v>
      </c>
      <c r="AN20" s="969" t="s">
        <v>2328</v>
      </c>
      <c r="AR20" t="s">
        <v>10</v>
      </c>
      <c r="AS20" s="240" t="s">
        <v>2319</v>
      </c>
    </row>
    <row r="21" spans="1:68" x14ac:dyDescent="0.2">
      <c r="A21" s="137">
        <v>0.5</v>
      </c>
      <c r="B21" s="132">
        <f>'Design Data'!T19</f>
        <v>0</v>
      </c>
      <c r="C21" s="137">
        <v>12.5</v>
      </c>
      <c r="D21" s="137">
        <f t="shared" si="17"/>
        <v>3.116086507375345</v>
      </c>
      <c r="E21" s="137">
        <v>35</v>
      </c>
      <c r="F21" s="137">
        <v>65</v>
      </c>
      <c r="H21" s="240">
        <f>D11</f>
        <v>0.79463568224020453</v>
      </c>
      <c r="L21" s="137" t="str">
        <f>IF(OR(L17,L18,L19,L20),"TRUE","FALSE")</f>
        <v>FALSE</v>
      </c>
      <c r="N21" s="240">
        <f t="shared" si="7"/>
        <v>18900</v>
      </c>
      <c r="O21" s="240">
        <f t="shared" si="8"/>
        <v>43200</v>
      </c>
      <c r="P21" s="240">
        <f t="shared" si="14"/>
        <v>67500</v>
      </c>
      <c r="Q21" s="240">
        <f t="shared" si="15"/>
        <v>91800</v>
      </c>
      <c r="R21" s="240">
        <f t="shared" si="16"/>
        <v>116100</v>
      </c>
      <c r="W21" s="240" t="s">
        <v>271</v>
      </c>
      <c r="X21" s="240" t="str">
        <f>IF(W22="1.50","20625",IF(W22="1.00","20600",IF(W22="0.75","20575",IF(W22="0.38","20500", IF(AND(W22="0.50",W21="ASPH SURF"),"20525","20550")))))</f>
        <v>20550</v>
      </c>
      <c r="AA21" s="1179">
        <f t="shared" si="2"/>
        <v>140400</v>
      </c>
      <c r="AB21" s="240">
        <f t="shared" si="2"/>
        <v>164700</v>
      </c>
      <c r="AC21" s="240">
        <f t="shared" si="3"/>
        <v>189000</v>
      </c>
      <c r="AD21" s="240">
        <f t="shared" si="4"/>
        <v>213300</v>
      </c>
      <c r="AE21" s="1180">
        <f t="shared" si="5"/>
        <v>237600</v>
      </c>
      <c r="AH21" s="267" t="s">
        <v>1074</v>
      </c>
      <c r="AI21" s="971" t="s">
        <v>979</v>
      </c>
      <c r="AM21" s="969" t="s">
        <v>300</v>
      </c>
      <c r="AN21" s="969" t="s">
        <v>1092</v>
      </c>
      <c r="AR21" t="s">
        <v>11</v>
      </c>
      <c r="AS21" s="240" t="s">
        <v>2287</v>
      </c>
    </row>
    <row r="22" spans="1:68" x14ac:dyDescent="0.2">
      <c r="A22" s="137">
        <v>4</v>
      </c>
      <c r="B22" s="132">
        <f>'Design Data'!T22</f>
        <v>0</v>
      </c>
      <c r="C22" s="137">
        <v>4.75</v>
      </c>
      <c r="D22" s="137">
        <f t="shared" si="17"/>
        <v>2.0161002539629291</v>
      </c>
      <c r="E22" s="137">
        <v>0</v>
      </c>
      <c r="F22" s="137">
        <v>20</v>
      </c>
      <c r="H22" s="240">
        <f>D12</f>
        <v>0.58170736792793831</v>
      </c>
      <c r="N22" s="240">
        <f t="shared" si="7"/>
        <v>19800</v>
      </c>
      <c r="O22" s="240">
        <f t="shared" si="8"/>
        <v>44100</v>
      </c>
      <c r="P22" s="240">
        <f t="shared" si="14"/>
        <v>68400</v>
      </c>
      <c r="Q22" s="240">
        <f t="shared" si="15"/>
        <v>92700</v>
      </c>
      <c r="R22" s="240">
        <f t="shared" si="16"/>
        <v>117000</v>
      </c>
      <c r="W22" s="240" t="s">
        <v>271</v>
      </c>
      <c r="AA22" s="1179">
        <f t="shared" si="2"/>
        <v>141300</v>
      </c>
      <c r="AB22" s="240">
        <f t="shared" si="2"/>
        <v>165600</v>
      </c>
      <c r="AC22" s="240">
        <f t="shared" si="3"/>
        <v>189900</v>
      </c>
      <c r="AD22" s="240">
        <f t="shared" si="4"/>
        <v>214200</v>
      </c>
      <c r="AE22" s="1180">
        <f t="shared" si="5"/>
        <v>238500</v>
      </c>
      <c r="AH22" s="267" t="s">
        <v>1076</v>
      </c>
      <c r="AI22" s="971" t="s">
        <v>2425</v>
      </c>
      <c r="AM22" s="969" t="s">
        <v>310</v>
      </c>
      <c r="AN22" s="969" t="s">
        <v>2339</v>
      </c>
      <c r="AR22" t="s">
        <v>12</v>
      </c>
      <c r="AS22" s="240" t="s">
        <v>987</v>
      </c>
    </row>
    <row r="23" spans="1:68" x14ac:dyDescent="0.2">
      <c r="A23" s="137">
        <v>8</v>
      </c>
      <c r="B23" s="132">
        <f>'Design Data'!T23</f>
        <v>0</v>
      </c>
      <c r="C23" s="137">
        <v>2.36</v>
      </c>
      <c r="D23" s="137">
        <f t="shared" si="17"/>
        <v>1.4716698795820382</v>
      </c>
      <c r="E23" s="137">
        <v>0</v>
      </c>
      <c r="F23" s="137">
        <v>10</v>
      </c>
      <c r="H23" s="240">
        <f>D12</f>
        <v>0.58170736792793831</v>
      </c>
      <c r="N23" s="240">
        <f t="shared" si="7"/>
        <v>20700</v>
      </c>
      <c r="O23" s="240">
        <f t="shared" si="8"/>
        <v>45000</v>
      </c>
      <c r="P23" s="240">
        <f t="shared" si="14"/>
        <v>69300</v>
      </c>
      <c r="Q23" s="240">
        <f t="shared" si="15"/>
        <v>93600</v>
      </c>
      <c r="R23" s="240">
        <f t="shared" si="16"/>
        <v>117900</v>
      </c>
      <c r="W23" s="240" t="s">
        <v>271</v>
      </c>
      <c r="AA23" s="1179">
        <f t="shared" si="2"/>
        <v>142200</v>
      </c>
      <c r="AB23" s="240">
        <f t="shared" si="2"/>
        <v>166500</v>
      </c>
      <c r="AC23" s="240">
        <f t="shared" si="3"/>
        <v>190800</v>
      </c>
      <c r="AD23" s="240">
        <f t="shared" si="4"/>
        <v>215100</v>
      </c>
      <c r="AE23" s="1180">
        <f t="shared" si="5"/>
        <v>239400</v>
      </c>
      <c r="AH23" s="267" t="s">
        <v>1078</v>
      </c>
      <c r="AI23" s="971" t="s">
        <v>2426</v>
      </c>
      <c r="AM23" s="969" t="s">
        <v>1398</v>
      </c>
      <c r="AN23" s="969" t="s">
        <v>1399</v>
      </c>
      <c r="AR23" t="s">
        <v>13</v>
      </c>
      <c r="AS23" s="240" t="s">
        <v>988</v>
      </c>
    </row>
    <row r="24" spans="1:68" x14ac:dyDescent="0.2">
      <c r="A24" s="137">
        <v>200</v>
      </c>
      <c r="B24" s="137">
        <f>'Design Data'!T28</f>
        <v>0</v>
      </c>
      <c r="C24" s="137">
        <v>7.4999999999999997E-2</v>
      </c>
      <c r="D24" s="137">
        <f t="shared" si="17"/>
        <v>0.31172925995349998</v>
      </c>
      <c r="E24" s="137">
        <v>0</v>
      </c>
      <c r="F24" s="137">
        <v>4</v>
      </c>
      <c r="H24" s="240">
        <f>D13</f>
        <v>0.42583471830473674</v>
      </c>
      <c r="N24" s="240">
        <f t="shared" si="7"/>
        <v>21600</v>
      </c>
      <c r="O24" s="240">
        <f t="shared" si="8"/>
        <v>45900</v>
      </c>
      <c r="P24" s="240">
        <f t="shared" si="14"/>
        <v>70200</v>
      </c>
      <c r="Q24" s="240">
        <f t="shared" si="15"/>
        <v>94500</v>
      </c>
      <c r="R24" s="240">
        <f t="shared" si="16"/>
        <v>118800</v>
      </c>
      <c r="W24" s="240" t="s">
        <v>271</v>
      </c>
      <c r="AA24" s="1179">
        <f t="shared" si="2"/>
        <v>143100</v>
      </c>
      <c r="AB24" s="240">
        <f t="shared" si="2"/>
        <v>167400</v>
      </c>
      <c r="AC24" s="240">
        <f t="shared" si="3"/>
        <v>191700</v>
      </c>
      <c r="AD24" s="240">
        <f t="shared" si="4"/>
        <v>216000</v>
      </c>
      <c r="AE24" s="1180">
        <f t="shared" si="5"/>
        <v>240300</v>
      </c>
      <c r="AH24" s="267" t="s">
        <v>1438</v>
      </c>
      <c r="AI24" s="971" t="s">
        <v>2427</v>
      </c>
      <c r="AM24" s="969" t="s">
        <v>311</v>
      </c>
      <c r="AN24" s="969" t="s">
        <v>1086</v>
      </c>
      <c r="AR24" t="s">
        <v>18</v>
      </c>
      <c r="AS24" s="240" t="s">
        <v>2293</v>
      </c>
    </row>
    <row r="25" spans="1:68" x14ac:dyDescent="0.2">
      <c r="A25" s="137"/>
      <c r="B25" s="137">
        <v>0</v>
      </c>
      <c r="C25" s="137">
        <v>0</v>
      </c>
      <c r="D25" s="137">
        <f t="shared" si="17"/>
        <v>0</v>
      </c>
      <c r="E25" s="137">
        <v>0</v>
      </c>
      <c r="F25" s="137">
        <v>0</v>
      </c>
      <c r="H25" s="240">
        <f>D13</f>
        <v>0.42583471830473674</v>
      </c>
      <c r="N25" s="240">
        <f t="shared" si="7"/>
        <v>22500</v>
      </c>
      <c r="O25" s="240">
        <f t="shared" si="8"/>
        <v>46800</v>
      </c>
      <c r="P25" s="240">
        <f t="shared" si="14"/>
        <v>71100</v>
      </c>
      <c r="Q25" s="240">
        <f t="shared" si="15"/>
        <v>95400</v>
      </c>
      <c r="R25" s="240">
        <f t="shared" si="16"/>
        <v>119700</v>
      </c>
      <c r="AA25" s="1179">
        <f t="shared" si="2"/>
        <v>144000</v>
      </c>
      <c r="AB25" s="240">
        <f t="shared" si="2"/>
        <v>168300</v>
      </c>
      <c r="AC25" s="240">
        <f t="shared" si="3"/>
        <v>192600</v>
      </c>
      <c r="AD25" s="240">
        <f t="shared" si="4"/>
        <v>216900</v>
      </c>
      <c r="AE25" s="1180">
        <f t="shared" si="5"/>
        <v>241200</v>
      </c>
      <c r="AH25" s="267" t="s">
        <v>1400</v>
      </c>
      <c r="AI25" s="971" t="s">
        <v>1423</v>
      </c>
      <c r="AM25" s="969" t="s">
        <v>312</v>
      </c>
      <c r="AN25" s="969" t="s">
        <v>2179</v>
      </c>
      <c r="AR25" t="s">
        <v>19</v>
      </c>
      <c r="AS25" s="240" t="s">
        <v>2292</v>
      </c>
    </row>
    <row r="26" spans="1:68" x14ac:dyDescent="0.2">
      <c r="A26" s="137" t="s">
        <v>92</v>
      </c>
      <c r="B26" s="137" t="s">
        <v>1225</v>
      </c>
      <c r="C26" s="137" t="s">
        <v>466</v>
      </c>
      <c r="D26" s="137" t="s">
        <v>467</v>
      </c>
      <c r="E26" s="137" t="s">
        <v>1221</v>
      </c>
      <c r="F26" s="137" t="s">
        <v>1220</v>
      </c>
      <c r="H26" s="240">
        <f>D14</f>
        <v>0.31172925995349998</v>
      </c>
      <c r="N26" s="240">
        <f t="shared" si="7"/>
        <v>23400</v>
      </c>
      <c r="O26" s="240">
        <f t="shared" si="8"/>
        <v>47700</v>
      </c>
      <c r="P26" s="240">
        <f t="shared" si="14"/>
        <v>72000</v>
      </c>
      <c r="Q26" s="240">
        <f t="shared" si="15"/>
        <v>96300</v>
      </c>
      <c r="R26" s="240">
        <f t="shared" si="16"/>
        <v>120600</v>
      </c>
      <c r="AA26" s="1179">
        <f t="shared" si="2"/>
        <v>144900</v>
      </c>
      <c r="AB26" s="240">
        <f t="shared" si="2"/>
        <v>169200</v>
      </c>
      <c r="AC26" s="240">
        <f t="shared" si="3"/>
        <v>193500</v>
      </c>
      <c r="AD26" s="240">
        <f t="shared" si="4"/>
        <v>217800</v>
      </c>
      <c r="AE26" s="1180">
        <f t="shared" si="5"/>
        <v>242100</v>
      </c>
      <c r="AH26" s="267" t="s">
        <v>1075</v>
      </c>
      <c r="AI26" s="971" t="s">
        <v>980</v>
      </c>
      <c r="AM26" s="969" t="s">
        <v>2648</v>
      </c>
      <c r="AN26" s="969" t="s">
        <v>2649</v>
      </c>
      <c r="AR26" t="s">
        <v>36</v>
      </c>
      <c r="AS26" s="240" t="s">
        <v>991</v>
      </c>
    </row>
    <row r="27" spans="1:68" x14ac:dyDescent="0.2">
      <c r="A27" s="137">
        <v>0.5</v>
      </c>
      <c r="B27" s="132">
        <f>'Design Data'!T19</f>
        <v>0</v>
      </c>
      <c r="C27" s="137">
        <v>12.5</v>
      </c>
      <c r="D27" s="137">
        <f t="shared" ref="D27:D32" si="18">C27^0.45</f>
        <v>3.116086507375345</v>
      </c>
      <c r="E27" s="137">
        <v>100</v>
      </c>
      <c r="F27" s="137">
        <v>100</v>
      </c>
      <c r="H27" s="240">
        <f>D14</f>
        <v>0.31172925995349998</v>
      </c>
      <c r="N27" s="240">
        <f t="shared" si="7"/>
        <v>24300</v>
      </c>
      <c r="O27" s="240">
        <f t="shared" si="8"/>
        <v>48600</v>
      </c>
      <c r="P27" s="240">
        <f t="shared" si="14"/>
        <v>72900</v>
      </c>
      <c r="Q27" s="240">
        <f t="shared" si="15"/>
        <v>97200</v>
      </c>
      <c r="R27" s="240">
        <f t="shared" si="16"/>
        <v>121500</v>
      </c>
      <c r="AA27" s="1179">
        <f t="shared" si="2"/>
        <v>145800</v>
      </c>
      <c r="AB27" s="240">
        <f t="shared" si="2"/>
        <v>170100</v>
      </c>
      <c r="AC27" s="240">
        <f t="shared" si="3"/>
        <v>194400</v>
      </c>
      <c r="AD27" s="240">
        <f t="shared" si="4"/>
        <v>218700</v>
      </c>
      <c r="AE27" s="1180">
        <f t="shared" si="5"/>
        <v>243000</v>
      </c>
      <c r="AH27" s="267" t="s">
        <v>1077</v>
      </c>
      <c r="AI27" s="971" t="s">
        <v>985</v>
      </c>
      <c r="AM27" s="969" t="s">
        <v>313</v>
      </c>
      <c r="AN27" s="969" t="s">
        <v>2336</v>
      </c>
      <c r="AR27" t="s">
        <v>20</v>
      </c>
      <c r="AS27" s="240" t="s">
        <v>2290</v>
      </c>
    </row>
    <row r="28" spans="1:68" x14ac:dyDescent="0.2">
      <c r="A28" s="137">
        <v>0.38</v>
      </c>
      <c r="B28" s="132">
        <f>'Design Data'!T20</f>
        <v>0</v>
      </c>
      <c r="C28" s="137">
        <v>9.5</v>
      </c>
      <c r="D28" s="137">
        <f t="shared" si="18"/>
        <v>2.754074108566122</v>
      </c>
      <c r="E28" s="137">
        <v>90</v>
      </c>
      <c r="F28" s="137">
        <v>100</v>
      </c>
      <c r="H28" s="240">
        <f>D15</f>
        <v>0</v>
      </c>
      <c r="J28" s="240" t="s">
        <v>1115</v>
      </c>
      <c r="K28" s="589" t="s">
        <v>1239</v>
      </c>
      <c r="S28" s="606"/>
      <c r="T28" s="606"/>
      <c r="U28" s="606"/>
      <c r="V28" s="606"/>
      <c r="AA28" s="1179"/>
      <c r="AE28" s="1180"/>
      <c r="AH28" s="267" t="s">
        <v>1441</v>
      </c>
      <c r="AI28" s="971" t="s">
        <v>2060</v>
      </c>
      <c r="AM28" s="969" t="s">
        <v>2313</v>
      </c>
      <c r="AN28" s="969" t="s">
        <v>2312</v>
      </c>
      <c r="AR28" t="s">
        <v>21</v>
      </c>
      <c r="AS28" s="240" t="s">
        <v>2289</v>
      </c>
    </row>
    <row r="29" spans="1:68" x14ac:dyDescent="0.2">
      <c r="A29" s="137">
        <v>4</v>
      </c>
      <c r="B29" s="132">
        <f>'Design Data'!T22</f>
        <v>0</v>
      </c>
      <c r="C29" s="137">
        <v>4.75</v>
      </c>
      <c r="D29" s="137">
        <f t="shared" si="18"/>
        <v>2.0161002539629291</v>
      </c>
      <c r="E29" s="137">
        <v>25</v>
      </c>
      <c r="F29" s="137">
        <v>50</v>
      </c>
      <c r="H29" s="240">
        <f>D15</f>
        <v>0</v>
      </c>
      <c r="J29" s="240" t="s">
        <v>1120</v>
      </c>
      <c r="K29" s="589" t="s">
        <v>2322</v>
      </c>
      <c r="N29" s="589" t="s">
        <v>499</v>
      </c>
      <c r="O29" s="589" t="s">
        <v>500</v>
      </c>
      <c r="P29" s="589" t="s">
        <v>501</v>
      </c>
      <c r="Q29" s="589" t="s">
        <v>502</v>
      </c>
      <c r="R29" s="589" t="s">
        <v>503</v>
      </c>
      <c r="S29" s="240" t="s">
        <v>504</v>
      </c>
      <c r="T29" s="240" t="s">
        <v>505</v>
      </c>
      <c r="U29" s="240" t="s">
        <v>506</v>
      </c>
      <c r="V29" s="240" t="s">
        <v>1129</v>
      </c>
      <c r="AA29" s="1181" t="s">
        <v>507</v>
      </c>
      <c r="AB29" s="972" t="str">
        <f>CONCATENATE(LEFT(AA55,2)," - 3")</f>
        <v>41 - 3</v>
      </c>
      <c r="AC29" s="972" t="str">
        <f>CONCATENATE(LEFT(AB55,2)," - 2")</f>
        <v>48 - 2</v>
      </c>
      <c r="AD29" s="972" t="str">
        <f>CONCATENATE(LEFT(AC55,2)+1," - 1")</f>
        <v>55 - 1</v>
      </c>
      <c r="AE29" s="1182" t="str">
        <f>CONCATENATE(LEFT(AD55,2)," - 4")</f>
        <v>61 - 4</v>
      </c>
      <c r="AH29" s="969"/>
      <c r="AI29" s="971"/>
      <c r="AM29" s="969" t="s">
        <v>294</v>
      </c>
      <c r="AN29" s="969" t="s">
        <v>479</v>
      </c>
      <c r="AR29" t="s">
        <v>22</v>
      </c>
      <c r="AS29" s="240" t="s">
        <v>989</v>
      </c>
    </row>
    <row r="30" spans="1:68" x14ac:dyDescent="0.2">
      <c r="A30" s="137">
        <v>8</v>
      </c>
      <c r="B30" s="132">
        <f>'Design Data'!T23</f>
        <v>0</v>
      </c>
      <c r="C30" s="137">
        <v>2.36</v>
      </c>
      <c r="D30" s="137">
        <f t="shared" si="18"/>
        <v>1.4716698795820382</v>
      </c>
      <c r="E30" s="137">
        <v>5</v>
      </c>
      <c r="F30" s="137">
        <v>15</v>
      </c>
      <c r="J30" s="240" t="s">
        <v>1122</v>
      </c>
      <c r="K30" s="589" t="s">
        <v>2321</v>
      </c>
      <c r="N30" s="589" t="s">
        <v>508</v>
      </c>
      <c r="O30" s="589" t="s">
        <v>509</v>
      </c>
      <c r="P30" s="589" t="s">
        <v>510</v>
      </c>
      <c r="Q30" s="589" t="s">
        <v>511</v>
      </c>
      <c r="R30" s="589" t="s">
        <v>512</v>
      </c>
      <c r="S30" s="240" t="s">
        <v>1122</v>
      </c>
      <c r="T30" s="240" t="s">
        <v>1122</v>
      </c>
      <c r="U30" s="240" t="s">
        <v>1122</v>
      </c>
      <c r="V30" s="240" t="s">
        <v>1122</v>
      </c>
      <c r="AA30" s="1183" t="str">
        <f>CONCATENATE(LEFT(AA29,2)+1," - 1")</f>
        <v>35 - 1</v>
      </c>
      <c r="AB30" s="972" t="str">
        <f>CONCATENATE(LEFT(AB29,2)," - 4")</f>
        <v>41 - 4</v>
      </c>
      <c r="AC30" s="972" t="str">
        <f>CONCATENATE(LEFT(AC29,2)," - 3")</f>
        <v>48 - 3</v>
      </c>
      <c r="AD30" s="972" t="str">
        <f>CONCATENATE(LEFT(AD29,2)," - 2")</f>
        <v>55 - 2</v>
      </c>
      <c r="AE30" s="1182" t="str">
        <f>CONCATENATE(LEFT(AE29,2)+1," - 1")</f>
        <v>62 - 1</v>
      </c>
      <c r="AH30" s="971"/>
      <c r="AI30" s="971"/>
      <c r="AM30" s="969" t="s">
        <v>2362</v>
      </c>
      <c r="AN30" s="971" t="s">
        <v>2363</v>
      </c>
      <c r="AR30" t="s">
        <v>23</v>
      </c>
      <c r="AS30" s="240" t="s">
        <v>990</v>
      </c>
    </row>
    <row r="31" spans="1:68" x14ac:dyDescent="0.2">
      <c r="A31" s="137">
        <v>200</v>
      </c>
      <c r="B31" s="137">
        <f>'Design Data'!T28</f>
        <v>0</v>
      </c>
      <c r="C31" s="137">
        <v>7.4999999999999997E-2</v>
      </c>
      <c r="D31" s="137">
        <f t="shared" si="18"/>
        <v>0.31172925995349998</v>
      </c>
      <c r="E31" s="137">
        <v>2</v>
      </c>
      <c r="F31" s="137">
        <v>5</v>
      </c>
      <c r="J31" s="240" t="s">
        <v>1126</v>
      </c>
      <c r="K31" s="240" t="s">
        <v>1240</v>
      </c>
      <c r="N31" s="589" t="s">
        <v>513</v>
      </c>
      <c r="O31" s="589" t="s">
        <v>514</v>
      </c>
      <c r="P31" s="589" t="s">
        <v>515</v>
      </c>
      <c r="Q31" s="589" t="s">
        <v>516</v>
      </c>
      <c r="R31" s="589" t="s">
        <v>517</v>
      </c>
      <c r="S31" s="240" t="s">
        <v>1120</v>
      </c>
      <c r="T31" s="240" t="s">
        <v>1120</v>
      </c>
      <c r="U31" s="240" t="s">
        <v>1115</v>
      </c>
      <c r="V31" s="240" t="s">
        <v>518</v>
      </c>
      <c r="AA31" s="1183" t="str">
        <f>CONCATENATE(LEFT(AA30,2)," - 2")</f>
        <v>35 - 2</v>
      </c>
      <c r="AB31" s="972" t="str">
        <f>CONCATENATE(LEFT(AB30,2)+1," - 1")</f>
        <v>42 - 1</v>
      </c>
      <c r="AC31" s="972" t="str">
        <f>CONCATENATE(LEFT(AC30,2)," - 4")</f>
        <v>48 - 4</v>
      </c>
      <c r="AD31" s="972" t="str">
        <f>CONCATENATE(LEFT(AD30,2)," - 3")</f>
        <v>55 - 3</v>
      </c>
      <c r="AE31" s="1182" t="str">
        <f>CONCATENATE(LEFT(AE30,2)," - 2")</f>
        <v>62 - 2</v>
      </c>
      <c r="AM31" s="969" t="s">
        <v>2650</v>
      </c>
      <c r="AN31" s="969" t="s">
        <v>2651</v>
      </c>
      <c r="AR31" t="s">
        <v>1057</v>
      </c>
      <c r="AS31" s="240" t="s">
        <v>2300</v>
      </c>
    </row>
    <row r="32" spans="1:68" x14ac:dyDescent="0.2">
      <c r="A32" s="137"/>
      <c r="B32" s="137">
        <v>0</v>
      </c>
      <c r="C32" s="137">
        <v>0</v>
      </c>
      <c r="D32" s="137">
        <f t="shared" si="18"/>
        <v>0</v>
      </c>
      <c r="E32" s="137">
        <v>0</v>
      </c>
      <c r="F32" s="137">
        <v>0</v>
      </c>
      <c r="N32" s="589" t="s">
        <v>519</v>
      </c>
      <c r="O32" s="589" t="s">
        <v>520</v>
      </c>
      <c r="P32" s="589" t="s">
        <v>521</v>
      </c>
      <c r="Q32" s="589" t="s">
        <v>522</v>
      </c>
      <c r="R32" s="589" t="s">
        <v>523</v>
      </c>
      <c r="S32" s="240" t="s">
        <v>1115</v>
      </c>
      <c r="T32" s="240" t="s">
        <v>1115</v>
      </c>
      <c r="U32" s="240" t="s">
        <v>1115</v>
      </c>
      <c r="V32" s="240" t="s">
        <v>518</v>
      </c>
      <c r="AA32" s="1183" t="str">
        <f>CONCATENATE(LEFT(AA31,2)," - 3")</f>
        <v>35 - 3</v>
      </c>
      <c r="AB32" s="972" t="str">
        <f>CONCATENATE(LEFT(AB31,2)," - 2")</f>
        <v>42 - 2</v>
      </c>
      <c r="AC32" s="972" t="str">
        <f>CONCATENATE(LEFT(AC31,2)+1," - 1")</f>
        <v>49 - 1</v>
      </c>
      <c r="AD32" s="972" t="str">
        <f>CONCATENATE(LEFT(AD31,2)," - 4")</f>
        <v>55 - 4</v>
      </c>
      <c r="AE32" s="1182" t="str">
        <f>CONCATENATE(LEFT(AE31,2)," - 3")</f>
        <v>62 - 3</v>
      </c>
      <c r="AM32" s="969" t="s">
        <v>316</v>
      </c>
      <c r="AN32" s="969" t="s">
        <v>1706</v>
      </c>
      <c r="AR32" t="s">
        <v>1056</v>
      </c>
      <c r="AS32" s="240" t="s">
        <v>2306</v>
      </c>
    </row>
    <row r="33" spans="1:45" x14ac:dyDescent="0.2">
      <c r="A33" s="137"/>
      <c r="B33" s="137"/>
      <c r="C33" s="137"/>
      <c r="D33" s="137"/>
      <c r="E33" s="137"/>
      <c r="F33" s="137"/>
      <c r="J33" s="240" t="s">
        <v>1115</v>
      </c>
      <c r="K33" s="589" t="s">
        <v>1239</v>
      </c>
      <c r="N33" s="589" t="s">
        <v>524</v>
      </c>
      <c r="O33" s="589" t="s">
        <v>525</v>
      </c>
      <c r="P33" s="589" t="s">
        <v>526</v>
      </c>
      <c r="Q33" s="589" t="s">
        <v>527</v>
      </c>
      <c r="R33" s="589" t="s">
        <v>528</v>
      </c>
      <c r="AA33" s="1183" t="str">
        <f>CONCATENATE(LEFT(AA32,2)," - 4")</f>
        <v>35 - 4</v>
      </c>
      <c r="AB33" s="972" t="str">
        <f>CONCATENATE(LEFT(AB32,2)," - 3")</f>
        <v>42 - 3</v>
      </c>
      <c r="AC33" s="972" t="str">
        <f>CONCATENATE(LEFT(AC32,2)," - 2")</f>
        <v>49 - 2</v>
      </c>
      <c r="AD33" s="972" t="str">
        <f>CONCATENATE(LEFT(AD32,2)+1," - 1")</f>
        <v>56 - 1</v>
      </c>
      <c r="AE33" s="1182" t="str">
        <f>CONCATENATE(LEFT(AE32,2)," - 4")</f>
        <v>62 - 4</v>
      </c>
      <c r="AM33" s="969" t="s">
        <v>352</v>
      </c>
      <c r="AN33" s="969" t="s">
        <v>2387</v>
      </c>
      <c r="AR33" t="s">
        <v>1058</v>
      </c>
      <c r="AS33" s="240" t="s">
        <v>2309</v>
      </c>
    </row>
    <row r="34" spans="1:45" x14ac:dyDescent="0.2">
      <c r="A34" s="137" t="s">
        <v>1218</v>
      </c>
      <c r="B34" s="137" t="s">
        <v>1219</v>
      </c>
      <c r="C34" s="137"/>
      <c r="D34" s="137"/>
      <c r="E34" s="137"/>
      <c r="F34" s="137"/>
      <c r="J34" s="240" t="s">
        <v>1117</v>
      </c>
      <c r="K34" s="589" t="s">
        <v>1239</v>
      </c>
      <c r="N34" s="972" t="s">
        <v>529</v>
      </c>
      <c r="O34" s="589" t="s">
        <v>530</v>
      </c>
      <c r="P34" s="589" t="s">
        <v>531</v>
      </c>
      <c r="Q34" s="589" t="s">
        <v>532</v>
      </c>
      <c r="R34" s="589" t="s">
        <v>533</v>
      </c>
      <c r="T34" s="589"/>
      <c r="AA34" s="1183" t="str">
        <f>CONCATENATE(LEFT(AA33,2)+1," - 1")</f>
        <v>36 - 1</v>
      </c>
      <c r="AB34" s="972" t="str">
        <f>CONCATENATE(LEFT(AB33,2)," - 4")</f>
        <v>42 - 4</v>
      </c>
      <c r="AC34" s="972" t="str">
        <f>CONCATENATE(LEFT(AC33,2)," - 3")</f>
        <v>49 - 3</v>
      </c>
      <c r="AD34" s="972" t="str">
        <f>CONCATENATE(LEFT(AD33,2)," - 2")</f>
        <v>56 - 2</v>
      </c>
      <c r="AE34" s="1182" t="str">
        <f>CONCATENATE(LEFT(AE33,2)+1," - 1")</f>
        <v>63 - 1</v>
      </c>
      <c r="AM34" s="969" t="s">
        <v>353</v>
      </c>
      <c r="AN34" s="969" t="s">
        <v>2386</v>
      </c>
      <c r="AR34" t="s">
        <v>1059</v>
      </c>
      <c r="AS34" s="240" t="s">
        <v>2318</v>
      </c>
    </row>
    <row r="35" spans="1:45" x14ac:dyDescent="0.2">
      <c r="A35" s="137">
        <v>2</v>
      </c>
      <c r="B35" s="137">
        <v>50</v>
      </c>
      <c r="C35" s="137"/>
      <c r="D35" s="137"/>
      <c r="E35" s="137"/>
      <c r="F35" s="137"/>
      <c r="J35" s="240" t="s">
        <v>1122</v>
      </c>
      <c r="K35" s="589" t="s">
        <v>2321</v>
      </c>
      <c r="N35" s="589" t="s">
        <v>538</v>
      </c>
      <c r="O35" s="589" t="s">
        <v>539</v>
      </c>
      <c r="P35" s="589" t="s">
        <v>540</v>
      </c>
      <c r="Q35" s="589" t="s">
        <v>541</v>
      </c>
      <c r="R35" s="589" t="s">
        <v>542</v>
      </c>
      <c r="AA35" s="1183" t="str">
        <f>CONCATENATE(LEFT(AA34,2)," - 2")</f>
        <v>36 - 2</v>
      </c>
      <c r="AB35" s="972" t="str">
        <f>CONCATENATE(LEFT(AB34,2)+1," - 1")</f>
        <v>43 - 1</v>
      </c>
      <c r="AC35" s="972" t="str">
        <f>CONCATENATE(LEFT(AC34,2)," - 4")</f>
        <v>49 - 4</v>
      </c>
      <c r="AD35" s="972" t="str">
        <f>CONCATENATE(LEFT(AD34,2)," - 3")</f>
        <v>56 - 3</v>
      </c>
      <c r="AE35" s="1182" t="str">
        <f>CONCATENATE(LEFT(AE34,2)," - 2")</f>
        <v>63 - 2</v>
      </c>
      <c r="AM35" s="969" t="s">
        <v>1028</v>
      </c>
      <c r="AN35" s="969" t="s">
        <v>1027</v>
      </c>
      <c r="AR35" t="s">
        <v>1060</v>
      </c>
      <c r="AS35" s="240" t="s">
        <v>989</v>
      </c>
    </row>
    <row r="36" spans="1:45" x14ac:dyDescent="0.2">
      <c r="A36" s="137">
        <v>1.5</v>
      </c>
      <c r="B36" s="137">
        <v>37.5</v>
      </c>
      <c r="C36" s="137"/>
      <c r="D36" s="137"/>
      <c r="E36" s="137"/>
      <c r="F36" s="137"/>
      <c r="J36" s="240" t="s">
        <v>945</v>
      </c>
      <c r="K36" s="240" t="s">
        <v>946</v>
      </c>
      <c r="N36" s="589" t="s">
        <v>543</v>
      </c>
      <c r="O36" s="589" t="s">
        <v>544</v>
      </c>
      <c r="P36" s="589" t="s">
        <v>545</v>
      </c>
      <c r="Q36" s="589" t="s">
        <v>546</v>
      </c>
      <c r="R36" s="589" t="s">
        <v>547</v>
      </c>
      <c r="AA36" s="1183" t="str">
        <f>CONCATENATE(LEFT(AA35,2)," - 3")</f>
        <v>36 - 3</v>
      </c>
      <c r="AB36" s="972" t="str">
        <f>CONCATENATE(LEFT(AB35,2)," - 2")</f>
        <v>43 - 2</v>
      </c>
      <c r="AC36" s="972" t="str">
        <f>CONCATENATE(LEFT(AC35,2)+1," - 1")</f>
        <v>50 - 1</v>
      </c>
      <c r="AD36" s="972" t="str">
        <f>CONCATENATE(LEFT(AD35,2)," - 4")</f>
        <v>56 - 4</v>
      </c>
      <c r="AE36" s="1182" t="str">
        <f>CONCATENATE(LEFT(AE35,2)," - 3")</f>
        <v>63 - 3</v>
      </c>
      <c r="AM36" s="969" t="s">
        <v>318</v>
      </c>
      <c r="AN36" s="969" t="s">
        <v>2346</v>
      </c>
      <c r="AR36" t="s">
        <v>1054</v>
      </c>
      <c r="AS36" s="240" t="s">
        <v>2298</v>
      </c>
    </row>
    <row r="37" spans="1:45" x14ac:dyDescent="0.2">
      <c r="A37" s="137">
        <v>1</v>
      </c>
      <c r="B37" s="137">
        <v>25</v>
      </c>
      <c r="C37" s="137"/>
      <c r="D37" s="137"/>
      <c r="E37" s="137"/>
      <c r="F37" s="137"/>
      <c r="N37" s="972" t="s">
        <v>548</v>
      </c>
      <c r="O37" s="589" t="s">
        <v>549</v>
      </c>
      <c r="P37" s="589" t="s">
        <v>550</v>
      </c>
      <c r="Q37" s="589" t="s">
        <v>551</v>
      </c>
      <c r="R37" s="589" t="s">
        <v>552</v>
      </c>
      <c r="T37" s="240" t="s">
        <v>1008</v>
      </c>
      <c r="AA37" s="1183" t="str">
        <f>CONCATENATE(LEFT(AA36,2)," - 4")</f>
        <v>36 - 4</v>
      </c>
      <c r="AB37" s="972" t="str">
        <f>CONCATENATE(LEFT(AB36,2)," - 3")</f>
        <v>43 - 3</v>
      </c>
      <c r="AC37" s="972" t="str">
        <f>CONCATENATE(LEFT(AC36,2)," - 2")</f>
        <v>50 - 2</v>
      </c>
      <c r="AD37" s="972" t="str">
        <f>CONCATENATE(LEFT(AD36,2)+1," - 1")</f>
        <v>57 - 1</v>
      </c>
      <c r="AE37" s="1182" t="str">
        <f>CONCATENATE(LEFT(AE36,2)," - 4")</f>
        <v>63 - 4</v>
      </c>
      <c r="AI37" s="240" t="s">
        <v>1803</v>
      </c>
      <c r="AJ37" s="240" t="s">
        <v>1115</v>
      </c>
      <c r="AM37" s="969" t="s">
        <v>2708</v>
      </c>
      <c r="AN37" s="969" t="s">
        <v>2709</v>
      </c>
      <c r="AR37" t="s">
        <v>1055</v>
      </c>
      <c r="AS37" s="240" t="s">
        <v>2300</v>
      </c>
    </row>
    <row r="38" spans="1:45" x14ac:dyDescent="0.2">
      <c r="A38" s="137">
        <v>0.75</v>
      </c>
      <c r="B38" s="137">
        <v>19</v>
      </c>
      <c r="C38" s="137"/>
      <c r="D38" s="137"/>
      <c r="E38" s="137"/>
      <c r="F38" s="137"/>
      <c r="J38" s="240" t="s">
        <v>2469</v>
      </c>
      <c r="K38" s="240" t="b">
        <v>0</v>
      </c>
      <c r="N38" s="589" t="s">
        <v>553</v>
      </c>
      <c r="O38" s="589" t="s">
        <v>554</v>
      </c>
      <c r="P38" s="589" t="s">
        <v>555</v>
      </c>
      <c r="Q38" s="589" t="s">
        <v>556</v>
      </c>
      <c r="R38" s="589" t="s">
        <v>557</v>
      </c>
      <c r="T38" s="240" t="s">
        <v>2314</v>
      </c>
      <c r="AA38" s="1183" t="str">
        <f>CONCATENATE(LEFT(AA37,2)+1," - 1")</f>
        <v>37 - 1</v>
      </c>
      <c r="AB38" s="972" t="str">
        <f>CONCATENATE(LEFT(AB37,2)," - 4")</f>
        <v>43 - 4</v>
      </c>
      <c r="AC38" s="972" t="str">
        <f>CONCATENATE(LEFT(AC37,2)," - 3")</f>
        <v>50 - 3</v>
      </c>
      <c r="AD38" s="972" t="str">
        <f>CONCATENATE(LEFT(AD37,2)," - 2")</f>
        <v>57 - 2</v>
      </c>
      <c r="AE38" s="1182" t="str">
        <f>CONCATENATE(LEFT(AE37,2)+1," - 1")</f>
        <v>64 - 1</v>
      </c>
      <c r="AM38" s="969" t="s">
        <v>317</v>
      </c>
      <c r="AN38" s="969" t="s">
        <v>2404</v>
      </c>
      <c r="AR38" t="s">
        <v>2320</v>
      </c>
      <c r="AS38" s="240" t="s">
        <v>2306</v>
      </c>
    </row>
    <row r="39" spans="1:45" x14ac:dyDescent="0.2">
      <c r="A39" s="137">
        <v>0.5</v>
      </c>
      <c r="B39" s="137">
        <v>12.5</v>
      </c>
      <c r="C39" s="137"/>
      <c r="D39" s="137"/>
      <c r="E39" s="137"/>
      <c r="F39" s="137"/>
      <c r="J39" s="240" t="s">
        <v>1115</v>
      </c>
      <c r="K39" s="589" t="s">
        <v>2470</v>
      </c>
      <c r="N39" s="589" t="s">
        <v>558</v>
      </c>
      <c r="O39" s="589" t="s">
        <v>559</v>
      </c>
      <c r="P39" s="589" t="s">
        <v>560</v>
      </c>
      <c r="Q39" s="589" t="s">
        <v>561</v>
      </c>
      <c r="R39" s="589" t="s">
        <v>562</v>
      </c>
      <c r="T39" s="240" t="s">
        <v>2315</v>
      </c>
      <c r="AA39" s="1183" t="str">
        <f>CONCATENATE(LEFT(AA38,2)," - 2")</f>
        <v>37 - 2</v>
      </c>
      <c r="AB39" s="972" t="str">
        <f>CONCATENATE(LEFT(AB38,2)+1," - 1")</f>
        <v>44 - 1</v>
      </c>
      <c r="AC39" s="972" t="str">
        <f>CONCATENATE(LEFT(AC38,2)," - 4")</f>
        <v>50 - 4</v>
      </c>
      <c r="AD39" s="972" t="str">
        <f>CONCATENATE(LEFT(AD38,2)," - 3")</f>
        <v>57 - 3</v>
      </c>
      <c r="AE39" s="1182" t="str">
        <f>CONCATENATE(LEFT(AE38,2)," - 2")</f>
        <v>64 - 2</v>
      </c>
      <c r="AM39" s="969" t="s">
        <v>303</v>
      </c>
      <c r="AN39" s="969" t="s">
        <v>1426</v>
      </c>
      <c r="AR39" t="s">
        <v>2323</v>
      </c>
      <c r="AS39" s="240" t="s">
        <v>2309</v>
      </c>
    </row>
    <row r="40" spans="1:45" x14ac:dyDescent="0.2">
      <c r="A40" s="137">
        <v>0.38</v>
      </c>
      <c r="B40" s="137">
        <v>9.5</v>
      </c>
      <c r="J40" s="240" t="s">
        <v>1122</v>
      </c>
      <c r="K40" s="589" t="s">
        <v>2471</v>
      </c>
      <c r="N40" s="589" t="s">
        <v>563</v>
      </c>
      <c r="O40" s="589" t="s">
        <v>564</v>
      </c>
      <c r="P40" s="589" t="s">
        <v>565</v>
      </c>
      <c r="Q40" s="589" t="s">
        <v>566</v>
      </c>
      <c r="R40" s="589" t="s">
        <v>567</v>
      </c>
      <c r="T40" s="997" t="s">
        <v>2316</v>
      </c>
      <c r="AA40" s="1183" t="str">
        <f>CONCATENATE(LEFT(AA39,2)," - 3")</f>
        <v>37 - 3</v>
      </c>
      <c r="AB40" s="972" t="str">
        <f>CONCATENATE(LEFT(AB39,2)," - 2")</f>
        <v>44 - 2</v>
      </c>
      <c r="AC40" s="972" t="str">
        <f>CONCATENATE(LEFT(AC39,2)+1," - 1")</f>
        <v>51 - 1</v>
      </c>
      <c r="AD40" s="972" t="str">
        <f>CONCATENATE(LEFT(AD39,2)," - 4")</f>
        <v>57 - 4</v>
      </c>
      <c r="AE40" s="1182" t="str">
        <f>CONCATENATE(LEFT(AE39,2)," - 3")</f>
        <v>64 - 3</v>
      </c>
      <c r="AM40" s="969" t="s">
        <v>319</v>
      </c>
      <c r="AN40" s="969" t="s">
        <v>2348</v>
      </c>
      <c r="AR40" t="s">
        <v>2324</v>
      </c>
      <c r="AS40" s="240" t="s">
        <v>2318</v>
      </c>
    </row>
    <row r="41" spans="1:45" x14ac:dyDescent="0.2">
      <c r="N41" s="589" t="s">
        <v>830</v>
      </c>
      <c r="O41" s="589" t="s">
        <v>831</v>
      </c>
      <c r="P41" s="589" t="s">
        <v>832</v>
      </c>
      <c r="Q41" s="589" t="s">
        <v>833</v>
      </c>
      <c r="R41" s="589" t="s">
        <v>834</v>
      </c>
      <c r="T41" s="997" t="s">
        <v>2317</v>
      </c>
      <c r="AA41" s="1183" t="str">
        <f>CONCATENATE(LEFT(AA40,2)," - 4")</f>
        <v>37 - 4</v>
      </c>
      <c r="AB41" s="972" t="str">
        <f>CONCATENATE(LEFT(AB40,2)," - 3")</f>
        <v>44 - 3</v>
      </c>
      <c r="AC41" s="972" t="str">
        <f>CONCATENATE(LEFT(AC40,2)," - 2")</f>
        <v>51 - 2</v>
      </c>
      <c r="AD41" s="972" t="str">
        <f>CONCATENATE(LEFT(AD40,2)+1," - 1")</f>
        <v>58 - 1</v>
      </c>
      <c r="AE41" s="1182" t="str">
        <f>CONCATENATE(LEFT(AE40,2)," - 4")</f>
        <v>64 - 4</v>
      </c>
      <c r="AM41" s="969" t="s">
        <v>304</v>
      </c>
      <c r="AN41" s="969" t="s">
        <v>1427</v>
      </c>
      <c r="AR41" t="s">
        <v>2325</v>
      </c>
      <c r="AS41" s="240" t="s">
        <v>2288</v>
      </c>
    </row>
    <row r="42" spans="1:45" x14ac:dyDescent="0.2">
      <c r="N42" s="589" t="s">
        <v>835</v>
      </c>
      <c r="O42" s="589" t="s">
        <v>836</v>
      </c>
      <c r="P42" s="589" t="s">
        <v>837</v>
      </c>
      <c r="Q42" s="589" t="s">
        <v>838</v>
      </c>
      <c r="R42" s="589" t="s">
        <v>839</v>
      </c>
      <c r="T42" s="1131" t="s">
        <v>1506</v>
      </c>
      <c r="AA42" s="1183" t="str">
        <f>CONCATENATE(LEFT(AA41,2)+1," - 1")</f>
        <v>38 - 1</v>
      </c>
      <c r="AB42" s="972" t="str">
        <f>CONCATENATE(LEFT(AB41,2)," - 4")</f>
        <v>44 - 4</v>
      </c>
      <c r="AC42" s="972" t="str">
        <f>CONCATENATE(LEFT(AC41,2)," - 3")</f>
        <v>51 - 3</v>
      </c>
      <c r="AD42" s="972" t="str">
        <f>CONCATENATE(LEFT(AD41,2)," - 2")</f>
        <v>58 - 2</v>
      </c>
      <c r="AE42" s="1182" t="str">
        <f>CONCATENATE(LEFT(AE41,2)+1," - 1")</f>
        <v>65 - 1</v>
      </c>
      <c r="AM42" s="969" t="s">
        <v>2364</v>
      </c>
      <c r="AN42" s="969" t="s">
        <v>2365</v>
      </c>
      <c r="AR42" t="s">
        <v>2361</v>
      </c>
      <c r="AS42" s="240" t="s">
        <v>2284</v>
      </c>
    </row>
    <row r="43" spans="1:45" x14ac:dyDescent="0.2">
      <c r="N43" s="589" t="s">
        <v>840</v>
      </c>
      <c r="O43" s="589" t="s">
        <v>841</v>
      </c>
      <c r="P43" s="589" t="s">
        <v>842</v>
      </c>
      <c r="Q43" s="589" t="s">
        <v>843</v>
      </c>
      <c r="R43" s="589" t="s">
        <v>844</v>
      </c>
      <c r="T43" s="589" t="str">
        <f>IF(AND('Chart Data'!S55="Recycle",'Chart Data'!Y1=6,'Chart Data'!T55&lt;=20),T38,IF(AND('Chart Data'!S55="Recycle",'Chart Data'!Y1=6,'Chart Data'!T55&lt;=30),T39,IF(AND('Chart Data'!S55="Recycle",'Chart Data'!Y1=6,'Chart Data'!T55&gt;30),T40,T44)))</f>
        <v>(as specified in Bid Item)</v>
      </c>
      <c r="AA43" s="1183" t="str">
        <f>CONCATENATE(LEFT(AA42,2)," - 2")</f>
        <v>38 - 2</v>
      </c>
      <c r="AB43" s="972" t="str">
        <f>CONCATENATE(LEFT(AB42,2)+1," - 1")</f>
        <v>45 - 1</v>
      </c>
      <c r="AC43" s="972" t="str">
        <f>CONCATENATE(LEFT(AC42,2)," - 4")</f>
        <v>51 - 4</v>
      </c>
      <c r="AD43" s="972" t="str">
        <f>CONCATENATE(LEFT(AD42,2)," - 3")</f>
        <v>58 - 3</v>
      </c>
      <c r="AE43" s="1182" t="str">
        <f>CONCATENATE(LEFT(AE42,2)," - 2")</f>
        <v>65 - 2</v>
      </c>
      <c r="AI43" s="240" t="s">
        <v>2465</v>
      </c>
      <c r="AM43" s="969" t="s">
        <v>307</v>
      </c>
      <c r="AN43" s="969" t="s">
        <v>1428</v>
      </c>
      <c r="AR43" t="s">
        <v>0</v>
      </c>
      <c r="AS43" s="240" t="s">
        <v>2283</v>
      </c>
    </row>
    <row r="44" spans="1:45" x14ac:dyDescent="0.2">
      <c r="N44" s="589" t="s">
        <v>845</v>
      </c>
      <c r="O44" s="589" t="s">
        <v>846</v>
      </c>
      <c r="P44" s="589" t="s">
        <v>847</v>
      </c>
      <c r="Q44" s="589" t="s">
        <v>848</v>
      </c>
      <c r="R44" s="589" t="s">
        <v>849</v>
      </c>
      <c r="T44" s="589" t="str">
        <f>IF(AND('Chart Data'!S55="Recycle",'Chart Data'!Y1=3,'Chart Data'!T55&lt;=30),T39,IF(AND('Chart Data'!S55="Recycle",'Chart Data'!Y1=3,'Chart Data'!T55&gt;30),T40,"(as specified in Bid Item)"))</f>
        <v>(as specified in Bid Item)</v>
      </c>
      <c r="AA44" s="1183" t="str">
        <f>CONCATENATE(LEFT(AA43,2)," - 3")</f>
        <v>38 - 3</v>
      </c>
      <c r="AB44" s="972" t="str">
        <f>CONCATENATE(LEFT(AB43,2)," - 2")</f>
        <v>45 - 2</v>
      </c>
      <c r="AC44" s="972" t="str">
        <f>CONCATENATE(LEFT(AC43,2)+1," - 1")</f>
        <v>52 - 1</v>
      </c>
      <c r="AD44" s="972" t="str">
        <f>CONCATENATE(LEFT(AD43,2)," - 4")</f>
        <v>58 - 4</v>
      </c>
      <c r="AE44" s="1182" t="str">
        <f>CONCATENATE(LEFT(AE43,2)," - 3")</f>
        <v>65 - 3</v>
      </c>
      <c r="AI44" s="240" t="s">
        <v>2466</v>
      </c>
      <c r="AM44" s="969" t="s">
        <v>320</v>
      </c>
      <c r="AN44" s="969" t="s">
        <v>2340</v>
      </c>
      <c r="AR44" t="s">
        <v>2360</v>
      </c>
      <c r="AS44" s="240" t="s">
        <v>2286</v>
      </c>
    </row>
    <row r="45" spans="1:45" x14ac:dyDescent="0.2">
      <c r="N45" s="589" t="s">
        <v>850</v>
      </c>
      <c r="O45" s="589" t="s">
        <v>851</v>
      </c>
      <c r="P45" s="589" t="s">
        <v>852</v>
      </c>
      <c r="Q45" s="589" t="s">
        <v>853</v>
      </c>
      <c r="R45" s="589" t="s">
        <v>854</v>
      </c>
      <c r="AA45" s="1183" t="str">
        <f>CONCATENATE(LEFT(AA44,2)," - 4")</f>
        <v>38 - 4</v>
      </c>
      <c r="AB45" s="972" t="str">
        <f>CONCATENATE(LEFT(AB44,2)," - 3")</f>
        <v>45 - 3</v>
      </c>
      <c r="AC45" s="972" t="str">
        <f>CONCATENATE(LEFT(AC44,2)," - 2")</f>
        <v>52 - 2</v>
      </c>
      <c r="AD45" s="972" t="str">
        <f>CONCATENATE(LEFT(AD44,2)+1," - 1")</f>
        <v>59 - 1</v>
      </c>
      <c r="AE45" s="1182" t="str">
        <f>CONCATENATE(LEFT(AE44,2)," - 4")</f>
        <v>65 - 4</v>
      </c>
      <c r="AI45" s="240" t="s">
        <v>1456</v>
      </c>
      <c r="AM45" s="969" t="s">
        <v>321</v>
      </c>
      <c r="AN45" s="969" t="s">
        <v>2333</v>
      </c>
      <c r="AR45" t="s">
        <v>2359</v>
      </c>
      <c r="AS45" s="240" t="s">
        <v>2285</v>
      </c>
    </row>
    <row r="46" spans="1:45" x14ac:dyDescent="0.2">
      <c r="N46" s="589" t="s">
        <v>855</v>
      </c>
      <c r="O46" s="589" t="s">
        <v>856</v>
      </c>
      <c r="P46" s="589" t="s">
        <v>857</v>
      </c>
      <c r="Q46" s="589" t="s">
        <v>858</v>
      </c>
      <c r="R46" s="589" t="s">
        <v>859</v>
      </c>
      <c r="AA46" s="1183" t="str">
        <f>CONCATENATE(LEFT(AA45,2)+1," - 1")</f>
        <v>39 - 1</v>
      </c>
      <c r="AB46" s="972" t="str">
        <f>CONCATENATE(LEFT(AB45,2)," - 4")</f>
        <v>45 - 4</v>
      </c>
      <c r="AC46" s="972" t="str">
        <f>CONCATENATE(LEFT(AC45,2)," - 3")</f>
        <v>52 - 3</v>
      </c>
      <c r="AD46" s="972" t="str">
        <f>CONCATENATE(LEFT(AD45,2)," - 2")</f>
        <v>59 - 2</v>
      </c>
      <c r="AE46" s="1182" t="str">
        <f>CONCATENATE(LEFT(AE45,2)+1," - 1")</f>
        <v>66 - 1</v>
      </c>
      <c r="AI46" s="240" t="s">
        <v>1457</v>
      </c>
      <c r="AM46" s="969" t="s">
        <v>322</v>
      </c>
      <c r="AN46" s="969" t="s">
        <v>2344</v>
      </c>
      <c r="AR46" t="s">
        <v>1095</v>
      </c>
      <c r="AS46" s="240" t="s">
        <v>2294</v>
      </c>
    </row>
    <row r="47" spans="1:45" x14ac:dyDescent="0.2">
      <c r="L47" s="240" t="str">
        <f>IF(W14="","",IF(W14="Bid Item Not In Drop-Down List",W23,VLOOKUP(W14,A50:L264,12,FALSE)))</f>
        <v/>
      </c>
      <c r="N47" s="589" t="s">
        <v>860</v>
      </c>
      <c r="O47" s="589" t="s">
        <v>861</v>
      </c>
      <c r="P47" s="589" t="s">
        <v>862</v>
      </c>
      <c r="Q47" s="589" t="s">
        <v>863</v>
      </c>
      <c r="R47" s="589" t="s">
        <v>864</v>
      </c>
      <c r="AA47" s="1183" t="str">
        <f>CONCATENATE(LEFT(AA46,2)," - 2")</f>
        <v>39 - 2</v>
      </c>
      <c r="AB47" s="972" t="str">
        <f>CONCATENATE(LEFT(AB46,2)+1," - 1")</f>
        <v>46 - 1</v>
      </c>
      <c r="AC47" s="972" t="str">
        <f>CONCATENATE(LEFT(AC46,2)," - 4")</f>
        <v>52 - 4</v>
      </c>
      <c r="AD47" s="972" t="str">
        <f>CONCATENATE(LEFT(AD46,2)," - 3")</f>
        <v>59 - 3</v>
      </c>
      <c r="AE47" s="1182" t="str">
        <f>CONCATENATE(LEFT(AE46,2)," - 2")</f>
        <v>66 - 2</v>
      </c>
      <c r="AI47" s="240" t="s">
        <v>1458</v>
      </c>
      <c r="AM47" s="969" t="s">
        <v>323</v>
      </c>
      <c r="AN47" s="969" t="s">
        <v>2349</v>
      </c>
      <c r="AR47" t="s">
        <v>1096</v>
      </c>
      <c r="AS47" s="240" t="s">
        <v>2296</v>
      </c>
    </row>
    <row r="48" spans="1:45" x14ac:dyDescent="0.2">
      <c r="E48" s="1127" t="str">
        <f>MID(F48,3,2)&amp;RIGHT(F48,2)</f>
        <v/>
      </c>
      <c r="F48" s="240" t="str">
        <f>IF(W14="","",IF(W14="Bid Item Not In Drop-Down List",W24,VLOOKUP(W14,A50:J264,6,FALSE)))</f>
        <v/>
      </c>
      <c r="G48" s="240" t="str">
        <f>IF(W14="","",VLOOKUP(W14,A50:J264,7,FALSE))</f>
        <v/>
      </c>
      <c r="H48" s="240" t="str">
        <f>IF(W14="","",IF(W14="Bid Item Not In Drop-Down List",X21,VLOOKUP(W14,A50:J264,8,FALSE)))</f>
        <v/>
      </c>
      <c r="I48" s="240" t="str">
        <f>IF(W14="","",VLOOKUP(W14,A50:J264,9,FALSE))</f>
        <v/>
      </c>
      <c r="J48" s="240" t="str">
        <f>IF(W14="Bid Item Not In Drop-Down List",W22,IF(W14="","",VLOOKUP(W14,A50:J264,10,FALSE)))</f>
        <v/>
      </c>
      <c r="K48" s="240" t="str">
        <f>IF(W14="Bid Item Not In Drop-Down List",LEFT(W25,1),IF(W14="","",VLOOKUP(W14,A50:K264,11,FALSE)))</f>
        <v/>
      </c>
      <c r="L48" s="240" t="str">
        <f>IF(L47="","","X")</f>
        <v/>
      </c>
      <c r="M48" s="240" t="str">
        <f>IF(W14="","",VLOOKUP(W14,A50:M264,13,FALSE))</f>
        <v/>
      </c>
      <c r="N48" s="589" t="s">
        <v>865</v>
      </c>
      <c r="O48" s="589" t="s">
        <v>866</v>
      </c>
      <c r="P48" s="589" t="s">
        <v>867</v>
      </c>
      <c r="Q48" s="589" t="s">
        <v>868</v>
      </c>
      <c r="R48" s="589" t="s">
        <v>869</v>
      </c>
      <c r="AA48" s="1183" t="str">
        <f>CONCATENATE(LEFT(AA47,2)," - 3")</f>
        <v>39 - 3</v>
      </c>
      <c r="AB48" s="972" t="str">
        <f>CONCATENATE(LEFT(AB47,2)," - 2")</f>
        <v>46 - 2</v>
      </c>
      <c r="AC48" s="972" t="str">
        <f>CONCATENATE(LEFT(AC47,2)+1," - 1")</f>
        <v>53 - 1</v>
      </c>
      <c r="AD48" s="972" t="str">
        <f>CONCATENATE(LEFT(AD47,2)," - 4")</f>
        <v>59 - 4</v>
      </c>
      <c r="AE48" s="1182" t="str">
        <f>CONCATENATE(LEFT(AE47,2)," - 3")</f>
        <v>66 - 3</v>
      </c>
      <c r="AI48" s="240" t="s">
        <v>1459</v>
      </c>
      <c r="AM48" s="969" t="s">
        <v>480</v>
      </c>
      <c r="AN48" s="969" t="s">
        <v>481</v>
      </c>
      <c r="AR48" t="s">
        <v>1097</v>
      </c>
      <c r="AS48" s="240" t="s">
        <v>2295</v>
      </c>
    </row>
    <row r="49" spans="1:45" x14ac:dyDescent="0.2">
      <c r="A49" s="973" t="s">
        <v>504</v>
      </c>
      <c r="E49" s="974" t="s">
        <v>493</v>
      </c>
      <c r="F49" s="240" t="s">
        <v>1211</v>
      </c>
      <c r="G49" s="240" t="s">
        <v>1212</v>
      </c>
      <c r="H49" s="240" t="s">
        <v>1213</v>
      </c>
      <c r="I49" s="240" t="s">
        <v>1214</v>
      </c>
      <c r="J49" s="240" t="s">
        <v>1215</v>
      </c>
      <c r="K49" s="240" t="s">
        <v>1226</v>
      </c>
      <c r="L49" s="240" t="s">
        <v>1229</v>
      </c>
      <c r="M49" s="240" t="s">
        <v>1297</v>
      </c>
      <c r="N49" s="589" t="s">
        <v>870</v>
      </c>
      <c r="O49" s="589" t="s">
        <v>871</v>
      </c>
      <c r="P49" s="589" t="s">
        <v>872</v>
      </c>
      <c r="Q49" s="589" t="s">
        <v>873</v>
      </c>
      <c r="R49" s="589" t="s">
        <v>874</v>
      </c>
      <c r="S49" s="590" t="str">
        <f>IF(LEFT('Design Data'!H23,3)="240",'Design Data'!H23,"")</f>
        <v/>
      </c>
      <c r="T49" s="590" t="str">
        <f>IF(S49="","",'Design Data'!M23)</f>
        <v/>
      </c>
      <c r="U49" s="240">
        <f t="shared" ref="U49:U54" si="19">IF(S49=24035,1,0)</f>
        <v>0</v>
      </c>
      <c r="V49" s="240">
        <f t="shared" ref="V49:V54" si="20">IF(OR(S49=24025,S49=24030,S49=24033),1,0)</f>
        <v>0</v>
      </c>
      <c r="AA49" s="1183" t="str">
        <f>CONCATENATE(LEFT(AA48,2)," - 4")</f>
        <v>39 - 4</v>
      </c>
      <c r="AB49" s="972" t="str">
        <f>CONCATENATE(LEFT(AB48,2)," - 3")</f>
        <v>46 - 3</v>
      </c>
      <c r="AC49" s="972" t="str">
        <f>CONCATENATE(LEFT(AC48,2)," - 2")</f>
        <v>53 - 2</v>
      </c>
      <c r="AD49" s="972" t="str">
        <f>CONCATENATE(LEFT(AD48,2)+1," - 1")</f>
        <v>60 - 1</v>
      </c>
      <c r="AE49" s="1182" t="str">
        <f>CONCATENATE(LEFT(AE48,2)," - 4")</f>
        <v>66 - 4</v>
      </c>
      <c r="AM49" s="969" t="s">
        <v>324</v>
      </c>
      <c r="AN49" s="969" t="s">
        <v>2338</v>
      </c>
      <c r="AR49" t="s">
        <v>1098</v>
      </c>
      <c r="AS49" s="240" t="s">
        <v>2298</v>
      </c>
    </row>
    <row r="50" spans="1:45" x14ac:dyDescent="0.2">
      <c r="E50" s="974"/>
      <c r="N50" s="589" t="s">
        <v>875</v>
      </c>
      <c r="O50" s="589" t="s">
        <v>876</v>
      </c>
      <c r="P50" s="589" t="s">
        <v>877</v>
      </c>
      <c r="Q50" s="589" t="s">
        <v>878</v>
      </c>
      <c r="R50" s="589" t="s">
        <v>879</v>
      </c>
      <c r="S50" s="590" t="str">
        <f>IF(LEFT('Design Data'!H24,3)="240",'Design Data'!H24,"")</f>
        <v/>
      </c>
      <c r="T50" s="590" t="str">
        <f>IF(S50="","",'Design Data'!M24)</f>
        <v/>
      </c>
      <c r="U50" s="240">
        <f t="shared" si="19"/>
        <v>0</v>
      </c>
      <c r="V50" s="240">
        <f t="shared" si="20"/>
        <v>0</v>
      </c>
      <c r="AA50" s="1183" t="str">
        <f>CONCATENATE(LEFT(AA49,2)+1," - 1")</f>
        <v>40 - 1</v>
      </c>
      <c r="AB50" s="972" t="str">
        <f>CONCATENATE(LEFT(AB49,2)," - 4")</f>
        <v>46 - 4</v>
      </c>
      <c r="AC50" s="972" t="str">
        <f>CONCATENATE(LEFT(AC49,2)," - 3")</f>
        <v>53 - 3</v>
      </c>
      <c r="AD50" s="972" t="str">
        <f>CONCATENATE(LEFT(AD49,2)," - 2")</f>
        <v>60 - 2</v>
      </c>
      <c r="AE50" s="1182" t="str">
        <f>CONCATENATE(LEFT(AE49,2)+1," - 1")</f>
        <v>67 - 1</v>
      </c>
      <c r="AM50" s="969" t="s">
        <v>297</v>
      </c>
      <c r="AN50" s="969" t="s">
        <v>2655</v>
      </c>
      <c r="AR50" t="s">
        <v>1099</v>
      </c>
      <c r="AS50" s="240" t="s">
        <v>2297</v>
      </c>
    </row>
    <row r="51" spans="1:45" x14ac:dyDescent="0.2">
      <c r="A51" s="240" t="s">
        <v>905</v>
      </c>
      <c r="E51" s="998" t="s">
        <v>1168</v>
      </c>
      <c r="F51" s="240" t="s">
        <v>1115</v>
      </c>
      <c r="G51" s="240" t="s">
        <v>1130</v>
      </c>
      <c r="H51" s="240">
        <v>20025</v>
      </c>
      <c r="I51" s="240">
        <v>1.5</v>
      </c>
      <c r="J51" s="240" t="s">
        <v>1216</v>
      </c>
      <c r="K51" s="240" t="s">
        <v>1227</v>
      </c>
      <c r="M51" s="240" t="s">
        <v>1298</v>
      </c>
      <c r="N51" s="589" t="s">
        <v>880</v>
      </c>
      <c r="O51" s="589" t="s">
        <v>881</v>
      </c>
      <c r="P51" s="589" t="s">
        <v>882</v>
      </c>
      <c r="Q51" s="589" t="s">
        <v>883</v>
      </c>
      <c r="R51" s="589" t="s">
        <v>884</v>
      </c>
      <c r="S51" s="590" t="str">
        <f>IF(LEFT('Design Data'!H25,3)="240",'Design Data'!H25,"")</f>
        <v/>
      </c>
      <c r="T51" s="590" t="str">
        <f>IF(S51="","",'Design Data'!M25)</f>
        <v/>
      </c>
      <c r="U51" s="240">
        <f t="shared" si="19"/>
        <v>0</v>
      </c>
      <c r="V51" s="240">
        <f t="shared" si="20"/>
        <v>0</v>
      </c>
      <c r="AA51" s="1183" t="str">
        <f>CONCATENATE(LEFT(AA50,2)," - 2")</f>
        <v>40 - 2</v>
      </c>
      <c r="AB51" s="972" t="str">
        <f>CONCATENATE(LEFT(AB50,2)+1," - 1")</f>
        <v>47 - 1</v>
      </c>
      <c r="AC51" s="972" t="str">
        <f>CONCATENATE(LEFT(AC50,2)," - 4")</f>
        <v>53 - 4</v>
      </c>
      <c r="AD51" s="972" t="str">
        <f>CONCATENATE(LEFT(AD50,2)," - 3")</f>
        <v>60 - 3</v>
      </c>
      <c r="AE51" s="1182" t="str">
        <f>CONCATENATE(LEFT(AE50,2)," - 2")</f>
        <v>67 - 2</v>
      </c>
      <c r="AM51" s="969" t="s">
        <v>364</v>
      </c>
      <c r="AN51" s="969" t="s">
        <v>2656</v>
      </c>
      <c r="AR51" t="s">
        <v>1100</v>
      </c>
      <c r="AS51" s="240" t="s">
        <v>2299</v>
      </c>
    </row>
    <row r="52" spans="1:45" x14ac:dyDescent="0.2">
      <c r="A52" s="240" t="s">
        <v>1131</v>
      </c>
      <c r="E52" s="998" t="s">
        <v>1168</v>
      </c>
      <c r="F52" s="240" t="str">
        <f>RIGHT(A52,7)</f>
        <v>PG64-22</v>
      </c>
      <c r="G52" s="240" t="s">
        <v>1130</v>
      </c>
      <c r="H52" s="240">
        <v>20250</v>
      </c>
      <c r="I52" s="240">
        <v>0.5</v>
      </c>
      <c r="J52" s="240">
        <v>0.38</v>
      </c>
      <c r="K52" s="240" t="s">
        <v>1227</v>
      </c>
      <c r="M52" s="240" t="s">
        <v>1299</v>
      </c>
      <c r="N52" s="589" t="s">
        <v>885</v>
      </c>
      <c r="O52" s="589" t="s">
        <v>886</v>
      </c>
      <c r="P52" s="589" t="s">
        <v>887</v>
      </c>
      <c r="Q52" s="589" t="s">
        <v>888</v>
      </c>
      <c r="R52" s="589" t="s">
        <v>889</v>
      </c>
      <c r="S52" s="590" t="str">
        <f>IF(LEFT('Design Data'!H26,3)="240",'Design Data'!H26,"")</f>
        <v/>
      </c>
      <c r="T52" s="590" t="str">
        <f>IF(S52="","",'Design Data'!M26)</f>
        <v/>
      </c>
      <c r="U52" s="240">
        <f t="shared" si="19"/>
        <v>0</v>
      </c>
      <c r="V52" s="240">
        <f t="shared" si="20"/>
        <v>0</v>
      </c>
      <c r="AA52" s="1183" t="str">
        <f>CONCATENATE(LEFT(AA51,2)," - 3")</f>
        <v>40 - 3</v>
      </c>
      <c r="AB52" s="972" t="str">
        <f>CONCATENATE(LEFT(AB51,2)," - 2")</f>
        <v>47 - 2</v>
      </c>
      <c r="AC52" s="972" t="str">
        <f>CONCATENATE(LEFT(AC51,2)+1," - 1")</f>
        <v>54 - 1</v>
      </c>
      <c r="AD52" s="972" t="str">
        <f>CONCATENATE(LEFT(AD51,2)," - 4")</f>
        <v>60 - 4</v>
      </c>
      <c r="AE52" s="1182" t="str">
        <f>CONCATENATE(LEFT(AE51,2)," - 3")</f>
        <v>67 - 3</v>
      </c>
      <c r="AM52" s="969" t="s">
        <v>325</v>
      </c>
      <c r="AN52" s="969" t="s">
        <v>482</v>
      </c>
      <c r="AR52" t="s">
        <v>24</v>
      </c>
      <c r="AS52" s="240" t="s">
        <v>2300</v>
      </c>
    </row>
    <row r="53" spans="1:45" x14ac:dyDescent="0.2">
      <c r="A53" s="240" t="s">
        <v>1132</v>
      </c>
      <c r="E53" s="998" t="s">
        <v>1168</v>
      </c>
      <c r="F53" s="240" t="str">
        <f>RIGHT(A53,7)</f>
        <v>PG64-22</v>
      </c>
      <c r="G53" s="240" t="s">
        <v>1130</v>
      </c>
      <c r="H53" s="240">
        <v>20275</v>
      </c>
      <c r="I53" s="240">
        <v>0.75</v>
      </c>
      <c r="J53" s="240">
        <v>0.5</v>
      </c>
      <c r="K53" s="240" t="s">
        <v>1227</v>
      </c>
      <c r="M53" s="240" t="s">
        <v>1300</v>
      </c>
      <c r="N53" s="589" t="s">
        <v>890</v>
      </c>
      <c r="O53" s="589" t="s">
        <v>891</v>
      </c>
      <c r="P53" s="589" t="s">
        <v>892</v>
      </c>
      <c r="Q53" s="589" t="s">
        <v>893</v>
      </c>
      <c r="R53" s="589" t="s">
        <v>894</v>
      </c>
      <c r="S53" s="590" t="str">
        <f>IF(LEFT('Design Data'!H27,3)="240",'Design Data'!H27,"")</f>
        <v/>
      </c>
      <c r="T53" s="590" t="str">
        <f>IF(S53="","",'Design Data'!M27)</f>
        <v/>
      </c>
      <c r="U53" s="240">
        <f t="shared" si="19"/>
        <v>0</v>
      </c>
      <c r="V53" s="240">
        <f t="shared" si="20"/>
        <v>0</v>
      </c>
      <c r="AA53" s="1183" t="str">
        <f>CONCATENATE(LEFT(AA52,2)," - 4")</f>
        <v>40 - 4</v>
      </c>
      <c r="AB53" s="972" t="str">
        <f>CONCATENATE(LEFT(AB52,2)," - 3")</f>
        <v>47 - 3</v>
      </c>
      <c r="AC53" s="972" t="str">
        <f>CONCATENATE(LEFT(AC52,2)," - 2")</f>
        <v>54 - 2</v>
      </c>
      <c r="AD53" s="972" t="str">
        <f>CONCATENATE(LEFT(AD52,2)+1," - 1")</f>
        <v>61 - 1</v>
      </c>
      <c r="AE53" s="1182" t="str">
        <f>CONCATENATE(LEFT(AE52,2)," - 4")</f>
        <v>67 - 4</v>
      </c>
      <c r="AM53" s="969" t="s">
        <v>2446</v>
      </c>
      <c r="AN53" s="969" t="s">
        <v>2447</v>
      </c>
      <c r="AR53" t="s">
        <v>25</v>
      </c>
      <c r="AS53" s="240" t="s">
        <v>2301</v>
      </c>
    </row>
    <row r="54" spans="1:45" x14ac:dyDescent="0.2">
      <c r="A54" s="240" t="s">
        <v>1133</v>
      </c>
      <c r="E54" s="998" t="s">
        <v>1168</v>
      </c>
      <c r="F54" s="240" t="str">
        <f>RIGHT(A54,7)</f>
        <v>PG64-22</v>
      </c>
      <c r="G54" s="240" t="s">
        <v>1130</v>
      </c>
      <c r="H54" s="240">
        <v>20300</v>
      </c>
      <c r="I54" s="240">
        <v>1</v>
      </c>
      <c r="J54" s="240">
        <v>0.75</v>
      </c>
      <c r="K54" s="240" t="s">
        <v>1227</v>
      </c>
      <c r="M54" s="240" t="s">
        <v>1301</v>
      </c>
      <c r="N54" s="589" t="s">
        <v>895</v>
      </c>
      <c r="O54" s="589" t="s">
        <v>896</v>
      </c>
      <c r="P54" s="589" t="s">
        <v>897</v>
      </c>
      <c r="Q54" s="589" t="s">
        <v>898</v>
      </c>
      <c r="R54" s="589" t="s">
        <v>899</v>
      </c>
      <c r="S54" s="590" t="str">
        <f>IF(LEFT('Design Data'!H28,3)="240",'Design Data'!H28,"")</f>
        <v/>
      </c>
      <c r="T54" s="590" t="str">
        <f>IF(S54="","",'Design Data'!M28)</f>
        <v/>
      </c>
      <c r="U54" s="240">
        <f t="shared" si="19"/>
        <v>0</v>
      </c>
      <c r="V54" s="240">
        <f t="shared" si="20"/>
        <v>0</v>
      </c>
      <c r="AA54" s="1183" t="str">
        <f>CONCATENATE(LEFT(AA53,2)+1," - 1")</f>
        <v>41 - 1</v>
      </c>
      <c r="AB54" s="972" t="str">
        <f>CONCATENATE(LEFT(AB53,2)," - 4")</f>
        <v>47 - 4</v>
      </c>
      <c r="AC54" s="972" t="str">
        <f>CONCATENATE(LEFT(AC53,2)," - 3")</f>
        <v>54 - 3</v>
      </c>
      <c r="AD54" s="972" t="str">
        <f>CONCATENATE(LEFT(AD53,2)," - 2")</f>
        <v>61 - 2</v>
      </c>
      <c r="AE54" s="1182" t="str">
        <f>CONCATENATE(LEFT(AE53,2)+1," - 1")</f>
        <v>68 - 1</v>
      </c>
      <c r="AM54" s="969" t="s">
        <v>483</v>
      </c>
      <c r="AN54" s="969" t="s">
        <v>484</v>
      </c>
      <c r="AR54" t="s">
        <v>1101</v>
      </c>
      <c r="AS54" s="240" t="s">
        <v>2302</v>
      </c>
    </row>
    <row r="55" spans="1:45" ht="13.5" thickBot="1" x14ac:dyDescent="0.25">
      <c r="A55" s="240" t="s">
        <v>1134</v>
      </c>
      <c r="E55" s="998" t="s">
        <v>1168</v>
      </c>
      <c r="F55" s="240" t="str">
        <f>RIGHT(A55,7)</f>
        <v>PG64-22</v>
      </c>
      <c r="G55" s="240" t="s">
        <v>1130</v>
      </c>
      <c r="H55" s="240">
        <v>20325</v>
      </c>
      <c r="I55" s="240">
        <v>1.5</v>
      </c>
      <c r="J55" s="240">
        <v>1</v>
      </c>
      <c r="K55" s="240" t="s">
        <v>1227</v>
      </c>
      <c r="M55" s="240" t="s">
        <v>1302</v>
      </c>
      <c r="N55" s="589" t="s">
        <v>900</v>
      </c>
      <c r="O55" s="589" t="s">
        <v>901</v>
      </c>
      <c r="P55" s="589" t="s">
        <v>902</v>
      </c>
      <c r="Q55" s="589" t="s">
        <v>903</v>
      </c>
      <c r="R55" s="589" t="s">
        <v>904</v>
      </c>
      <c r="S55" s="996" t="str">
        <f>IF(AND(S49="",S50="",S51="",S52="",S53="",S54=""),"","Recycle")</f>
        <v/>
      </c>
      <c r="T55" s="590">
        <f>SUM(T49:T54)</f>
        <v>0</v>
      </c>
      <c r="U55" s="240">
        <f>SUM(U49:U54)</f>
        <v>0</v>
      </c>
      <c r="V55" s="240">
        <f>SUM(V49:V54)</f>
        <v>0</v>
      </c>
      <c r="W55" s="240">
        <f>SUM(U55:V55)</f>
        <v>0</v>
      </c>
      <c r="AA55" s="1184" t="str">
        <f>CONCATENATE(LEFT(AA54,2)," - 2")</f>
        <v>41 - 2</v>
      </c>
      <c r="AB55" s="1185" t="str">
        <f>CONCATENATE(LEFT(AB54,2)+1," - 1")</f>
        <v>48 - 1</v>
      </c>
      <c r="AC55" s="1185" t="str">
        <f>CONCATENATE(LEFT(AC54,2)," - 4")</f>
        <v>54 - 4</v>
      </c>
      <c r="AD55" s="1185" t="str">
        <f>CONCATENATE(LEFT(AD54,2)," - 3")</f>
        <v>61 - 3</v>
      </c>
      <c r="AE55" s="1186" t="str">
        <f>CONCATENATE(LEFT(AE54,2)," - 2")</f>
        <v>68 - 2</v>
      </c>
      <c r="AM55" s="969" t="s">
        <v>326</v>
      </c>
      <c r="AN55" s="969" t="s">
        <v>485</v>
      </c>
      <c r="AR55" t="s">
        <v>26</v>
      </c>
      <c r="AS55" s="240" t="s">
        <v>2303</v>
      </c>
    </row>
    <row r="56" spans="1:45" ht="14.25" thickTop="1" thickBot="1" x14ac:dyDescent="0.25">
      <c r="A56" s="240" t="s">
        <v>1135</v>
      </c>
      <c r="E56" s="998" t="s">
        <v>1168</v>
      </c>
      <c r="F56" s="240" t="str">
        <f>RIGHT(A56,7)</f>
        <v>PG64-22</v>
      </c>
      <c r="G56" s="240" t="s">
        <v>1130</v>
      </c>
      <c r="H56" s="240">
        <v>20350</v>
      </c>
      <c r="I56" s="240">
        <v>2</v>
      </c>
      <c r="J56" s="240">
        <v>1.5</v>
      </c>
      <c r="K56" s="240" t="s">
        <v>1227</v>
      </c>
      <c r="M56" s="240" t="s">
        <v>1303</v>
      </c>
      <c r="P56" s="240" t="s">
        <v>74</v>
      </c>
      <c r="Q56" s="240" t="s">
        <v>74</v>
      </c>
      <c r="R56" s="240" t="s">
        <v>74</v>
      </c>
      <c r="AM56" s="969" t="s">
        <v>327</v>
      </c>
      <c r="AN56" s="969" t="s">
        <v>371</v>
      </c>
      <c r="AR56" t="s">
        <v>27</v>
      </c>
      <c r="AS56" s="240" t="s">
        <v>2304</v>
      </c>
    </row>
    <row r="57" spans="1:45" ht="13.5" thickTop="1" x14ac:dyDescent="0.2">
      <c r="A57" s="240" t="s">
        <v>1136</v>
      </c>
      <c r="E57" s="998" t="s">
        <v>1168</v>
      </c>
      <c r="F57" s="240" t="str">
        <f t="shared" ref="F57:F72" si="21">RIGHT(A57,7)</f>
        <v>PG64-22</v>
      </c>
      <c r="G57" s="240" t="s">
        <v>1130</v>
      </c>
      <c r="H57" s="240">
        <v>20375</v>
      </c>
      <c r="I57" s="240">
        <v>0.5</v>
      </c>
      <c r="J57" s="240">
        <v>0.38</v>
      </c>
      <c r="K57" s="240" t="s">
        <v>1227</v>
      </c>
      <c r="M57" s="240" t="s">
        <v>1304</v>
      </c>
      <c r="R57" s="240" t="s">
        <v>74</v>
      </c>
      <c r="AA57" s="1176">
        <f>IF($K$48="E",AE27+1000,AE27+900)</f>
        <v>243900</v>
      </c>
      <c r="AB57" s="1177">
        <f>IF($K$48="E",AA83+1000,AA83+900)</f>
        <v>268200</v>
      </c>
      <c r="AC57" s="1177">
        <f>IF($K$48="E",AB83+1000,AB83+900)</f>
        <v>292500</v>
      </c>
      <c r="AD57" s="1177">
        <f>IF($K$48="E",AC83+1000,AC83+900)</f>
        <v>316800</v>
      </c>
      <c r="AE57" s="1178">
        <f>IF($K$48="E",AD83+1000,AD83+900)</f>
        <v>341100</v>
      </c>
      <c r="AM57" s="969" t="s">
        <v>328</v>
      </c>
      <c r="AN57" s="969" t="s">
        <v>372</v>
      </c>
      <c r="AR57" t="s">
        <v>1102</v>
      </c>
      <c r="AS57" s="240" t="s">
        <v>2305</v>
      </c>
    </row>
    <row r="58" spans="1:45" x14ac:dyDescent="0.2">
      <c r="A58" s="240" t="s">
        <v>1137</v>
      </c>
      <c r="E58" s="998" t="s">
        <v>1168</v>
      </c>
      <c r="F58" s="240" t="str">
        <f t="shared" si="21"/>
        <v>PG64-22</v>
      </c>
      <c r="G58" s="240" t="s">
        <v>1130</v>
      </c>
      <c r="H58" s="240">
        <v>20400</v>
      </c>
      <c r="I58" s="240">
        <v>0.75</v>
      </c>
      <c r="J58" s="240">
        <v>0.5</v>
      </c>
      <c r="K58" s="240" t="s">
        <v>1227</v>
      </c>
      <c r="M58" s="240" t="s">
        <v>1305</v>
      </c>
      <c r="AA58" s="1179">
        <f t="shared" ref="AA58:AE73" si="22">IF($K$48="E",AA57+1000,AA57+900)</f>
        <v>244800</v>
      </c>
      <c r="AB58" s="240">
        <f t="shared" si="22"/>
        <v>269100</v>
      </c>
      <c r="AC58" s="240">
        <f t="shared" si="22"/>
        <v>293400</v>
      </c>
      <c r="AD58" s="240">
        <f t="shared" si="22"/>
        <v>317700</v>
      </c>
      <c r="AE58" s="1180">
        <f t="shared" si="22"/>
        <v>342000</v>
      </c>
      <c r="AM58" s="969" t="s">
        <v>329</v>
      </c>
      <c r="AN58" s="969" t="s">
        <v>1079</v>
      </c>
      <c r="AR58" t="s">
        <v>28</v>
      </c>
      <c r="AS58" s="240" t="s">
        <v>2306</v>
      </c>
    </row>
    <row r="59" spans="1:45" x14ac:dyDescent="0.2">
      <c r="A59" s="240" t="s">
        <v>1138</v>
      </c>
      <c r="E59" s="998" t="s">
        <v>1168</v>
      </c>
      <c r="F59" s="240" t="str">
        <f t="shared" si="21"/>
        <v>PG64-22</v>
      </c>
      <c r="G59" s="240" t="s">
        <v>1130</v>
      </c>
      <c r="H59" s="240">
        <v>20425</v>
      </c>
      <c r="I59" s="240">
        <v>1</v>
      </c>
      <c r="J59" s="240">
        <v>0.75</v>
      </c>
      <c r="K59" s="240" t="s">
        <v>1227</v>
      </c>
      <c r="M59" s="240" t="s">
        <v>1306</v>
      </c>
      <c r="AA59" s="1179">
        <f>IF($K$48="E",AA58+1000,AA58+900)</f>
        <v>245700</v>
      </c>
      <c r="AB59" s="240">
        <f t="shared" si="22"/>
        <v>270000</v>
      </c>
      <c r="AC59" s="240">
        <f t="shared" si="22"/>
        <v>294300</v>
      </c>
      <c r="AD59" s="240">
        <f t="shared" si="22"/>
        <v>318600</v>
      </c>
      <c r="AE59" s="1180">
        <f t="shared" si="22"/>
        <v>342900</v>
      </c>
      <c r="AM59" s="969" t="s">
        <v>1430</v>
      </c>
      <c r="AN59" s="969" t="s">
        <v>1431</v>
      </c>
      <c r="AR59" t="s">
        <v>29</v>
      </c>
      <c r="AS59" s="240" t="s">
        <v>2307</v>
      </c>
    </row>
    <row r="60" spans="1:45" x14ac:dyDescent="0.2">
      <c r="A60" s="240" t="s">
        <v>1139</v>
      </c>
      <c r="E60" s="998" t="s">
        <v>1168</v>
      </c>
      <c r="F60" s="240" t="str">
        <f t="shared" si="21"/>
        <v>PG64-22</v>
      </c>
      <c r="G60" s="240" t="s">
        <v>1130</v>
      </c>
      <c r="H60" s="240">
        <v>20450</v>
      </c>
      <c r="I60" s="240">
        <v>1.5</v>
      </c>
      <c r="J60" s="240">
        <v>1</v>
      </c>
      <c r="K60" s="240" t="s">
        <v>1227</v>
      </c>
      <c r="M60" s="240" t="s">
        <v>1307</v>
      </c>
      <c r="AA60" s="1179">
        <f t="shared" si="22"/>
        <v>246600</v>
      </c>
      <c r="AB60" s="240">
        <f t="shared" si="22"/>
        <v>270900</v>
      </c>
      <c r="AC60" s="240">
        <f t="shared" si="22"/>
        <v>295200</v>
      </c>
      <c r="AD60" s="240">
        <f t="shared" si="22"/>
        <v>319500</v>
      </c>
      <c r="AE60" s="1180">
        <f t="shared" si="22"/>
        <v>343800</v>
      </c>
      <c r="AM60" s="969" t="s">
        <v>2713</v>
      </c>
      <c r="AN60" s="969" t="s">
        <v>2712</v>
      </c>
      <c r="AR60" t="s">
        <v>1103</v>
      </c>
      <c r="AS60" s="240" t="s">
        <v>2308</v>
      </c>
    </row>
    <row r="61" spans="1:45" x14ac:dyDescent="0.2">
      <c r="A61" s="240" t="s">
        <v>1140</v>
      </c>
      <c r="E61" s="998" t="s">
        <v>1168</v>
      </c>
      <c r="F61" s="240" t="str">
        <f t="shared" si="21"/>
        <v>PG64-22</v>
      </c>
      <c r="G61" s="240" t="s">
        <v>1130</v>
      </c>
      <c r="H61" s="240">
        <v>20475</v>
      </c>
      <c r="I61" s="240">
        <v>2</v>
      </c>
      <c r="J61" s="240">
        <v>1.5</v>
      </c>
      <c r="K61" s="240" t="s">
        <v>1227</v>
      </c>
      <c r="M61" s="240" t="s">
        <v>1308</v>
      </c>
      <c r="AA61" s="1179">
        <f t="shared" si="22"/>
        <v>247500</v>
      </c>
      <c r="AB61" s="240">
        <f t="shared" si="22"/>
        <v>271800</v>
      </c>
      <c r="AC61" s="240">
        <f t="shared" si="22"/>
        <v>296100</v>
      </c>
      <c r="AD61" s="240">
        <f t="shared" si="22"/>
        <v>320400</v>
      </c>
      <c r="AE61" s="1180">
        <f t="shared" si="22"/>
        <v>344700</v>
      </c>
      <c r="AM61" s="1219" t="s">
        <v>301</v>
      </c>
      <c r="AN61" s="1219" t="s">
        <v>2407</v>
      </c>
      <c r="AR61" t="s">
        <v>30</v>
      </c>
      <c r="AS61" s="240" t="s">
        <v>2309</v>
      </c>
    </row>
    <row r="62" spans="1:45" x14ac:dyDescent="0.2">
      <c r="A62" s="240" t="s">
        <v>1146</v>
      </c>
      <c r="E62" s="983" t="s">
        <v>1167</v>
      </c>
      <c r="F62" s="240" t="str">
        <f t="shared" si="21"/>
        <v>PG76-22</v>
      </c>
      <c r="G62" s="240" t="s">
        <v>1130</v>
      </c>
      <c r="H62" s="240">
        <v>20375</v>
      </c>
      <c r="I62" s="240">
        <v>0.5</v>
      </c>
      <c r="J62" s="240">
        <v>0.38</v>
      </c>
      <c r="K62" s="240" t="s">
        <v>1227</v>
      </c>
      <c r="M62" s="240" t="s">
        <v>1309</v>
      </c>
      <c r="O62" s="240" t="s">
        <v>389</v>
      </c>
      <c r="P62" s="240" t="s">
        <v>1817</v>
      </c>
      <c r="Q62" s="240" t="s">
        <v>1215</v>
      </c>
      <c r="R62" s="240" t="s">
        <v>1186</v>
      </c>
      <c r="S62" s="240" t="s">
        <v>1188</v>
      </c>
      <c r="T62" s="240" t="s">
        <v>1255</v>
      </c>
      <c r="AA62" s="1179">
        <f t="shared" si="22"/>
        <v>248400</v>
      </c>
      <c r="AB62" s="240">
        <f t="shared" si="22"/>
        <v>272700</v>
      </c>
      <c r="AC62" s="240">
        <f t="shared" si="22"/>
        <v>297000</v>
      </c>
      <c r="AD62" s="240">
        <f t="shared" si="22"/>
        <v>321300</v>
      </c>
      <c r="AE62" s="1180">
        <f t="shared" si="22"/>
        <v>345600</v>
      </c>
      <c r="AM62" s="1219" t="s">
        <v>302</v>
      </c>
      <c r="AN62" s="1219" t="s">
        <v>2408</v>
      </c>
      <c r="AR62" t="s">
        <v>31</v>
      </c>
      <c r="AS62" s="240" t="s">
        <v>2310</v>
      </c>
    </row>
    <row r="63" spans="1:45" x14ac:dyDescent="0.2">
      <c r="A63" s="240" t="s">
        <v>1147</v>
      </c>
      <c r="E63" s="983" t="s">
        <v>1167</v>
      </c>
      <c r="F63" s="240" t="str">
        <f t="shared" si="21"/>
        <v>PG76-22</v>
      </c>
      <c r="G63" s="240" t="s">
        <v>1130</v>
      </c>
      <c r="H63" s="240">
        <v>20400</v>
      </c>
      <c r="I63" s="240">
        <v>0.75</v>
      </c>
      <c r="J63" s="240">
        <v>0.5</v>
      </c>
      <c r="K63" s="240" t="s">
        <v>1227</v>
      </c>
      <c r="M63" s="240" t="s">
        <v>1310</v>
      </c>
      <c r="AA63" s="1179">
        <f t="shared" si="22"/>
        <v>249300</v>
      </c>
      <c r="AB63" s="240">
        <f t="shared" si="22"/>
        <v>273600</v>
      </c>
      <c r="AC63" s="240">
        <f t="shared" si="22"/>
        <v>297900</v>
      </c>
      <c r="AD63" s="240">
        <f t="shared" si="22"/>
        <v>322200</v>
      </c>
      <c r="AE63" s="1180">
        <f t="shared" si="22"/>
        <v>346500</v>
      </c>
      <c r="AM63" s="1219" t="s">
        <v>305</v>
      </c>
      <c r="AN63" s="1219" t="s">
        <v>2409</v>
      </c>
      <c r="AR63" t="s">
        <v>1104</v>
      </c>
      <c r="AS63" s="240" t="s">
        <v>2311</v>
      </c>
    </row>
    <row r="64" spans="1:45" x14ac:dyDescent="0.2">
      <c r="A64" s="240" t="s">
        <v>1148</v>
      </c>
      <c r="E64" s="983" t="s">
        <v>1167</v>
      </c>
      <c r="F64" s="240" t="str">
        <f t="shared" si="21"/>
        <v>PG76-22</v>
      </c>
      <c r="G64" s="240" t="s">
        <v>1130</v>
      </c>
      <c r="H64" s="240">
        <v>20425</v>
      </c>
      <c r="I64" s="240">
        <v>1</v>
      </c>
      <c r="J64" s="240">
        <v>0.75</v>
      </c>
      <c r="K64" s="240" t="s">
        <v>1227</v>
      </c>
      <c r="M64" s="240" t="s">
        <v>1311</v>
      </c>
      <c r="O64" s="240" t="s">
        <v>1180</v>
      </c>
      <c r="P64" s="240" t="s">
        <v>1177</v>
      </c>
      <c r="Q64" s="985" t="s">
        <v>1023</v>
      </c>
      <c r="R64" s="240" t="s">
        <v>166</v>
      </c>
      <c r="S64" s="240" t="s">
        <v>1116</v>
      </c>
      <c r="T64" s="240" t="s">
        <v>1319</v>
      </c>
      <c r="AA64" s="1179">
        <f t="shared" si="22"/>
        <v>250200</v>
      </c>
      <c r="AB64" s="240">
        <f t="shared" si="22"/>
        <v>274500</v>
      </c>
      <c r="AC64" s="240">
        <f t="shared" si="22"/>
        <v>298800</v>
      </c>
      <c r="AD64" s="240">
        <f t="shared" si="22"/>
        <v>323100</v>
      </c>
      <c r="AE64" s="1180">
        <f t="shared" si="22"/>
        <v>347400</v>
      </c>
      <c r="AM64" s="1219" t="s">
        <v>306</v>
      </c>
      <c r="AN64" s="1219" t="s">
        <v>2410</v>
      </c>
      <c r="AR64" t="s">
        <v>32</v>
      </c>
      <c r="AS64" s="240" t="s">
        <v>2318</v>
      </c>
    </row>
    <row r="65" spans="1:45" x14ac:dyDescent="0.2">
      <c r="A65" s="240" t="s">
        <v>1149</v>
      </c>
      <c r="E65" s="983" t="s">
        <v>1167</v>
      </c>
      <c r="F65" s="240" t="str">
        <f t="shared" si="21"/>
        <v>PG76-22</v>
      </c>
      <c r="G65" s="240" t="s">
        <v>1130</v>
      </c>
      <c r="H65" s="240">
        <v>20450</v>
      </c>
      <c r="I65" s="240">
        <v>1.5</v>
      </c>
      <c r="J65" s="240">
        <v>1</v>
      </c>
      <c r="K65" s="240" t="s">
        <v>1227</v>
      </c>
      <c r="M65" s="240" t="s">
        <v>1314</v>
      </c>
      <c r="O65" s="240" t="s">
        <v>1181</v>
      </c>
      <c r="P65" s="240" t="s">
        <v>1178</v>
      </c>
      <c r="Q65" s="985" t="s">
        <v>1024</v>
      </c>
      <c r="R65" s="240" t="s">
        <v>167</v>
      </c>
      <c r="S65" s="240" t="s">
        <v>1117</v>
      </c>
      <c r="T65" s="240" t="s">
        <v>1320</v>
      </c>
      <c r="AA65" s="1179">
        <f t="shared" si="22"/>
        <v>251100</v>
      </c>
      <c r="AB65" s="240">
        <f t="shared" si="22"/>
        <v>275400</v>
      </c>
      <c r="AC65" s="240">
        <f t="shared" si="22"/>
        <v>299700</v>
      </c>
      <c r="AD65" s="240">
        <f t="shared" si="22"/>
        <v>324000</v>
      </c>
      <c r="AE65" s="1180">
        <f t="shared" si="22"/>
        <v>348300</v>
      </c>
      <c r="AM65" s="1219" t="s">
        <v>308</v>
      </c>
      <c r="AN65" s="1219" t="s">
        <v>2411</v>
      </c>
      <c r="AR65" t="s">
        <v>33</v>
      </c>
      <c r="AS65" s="240" t="s">
        <v>2319</v>
      </c>
    </row>
    <row r="66" spans="1:45" x14ac:dyDescent="0.2">
      <c r="A66" s="240" t="s">
        <v>1150</v>
      </c>
      <c r="E66" s="983" t="s">
        <v>1167</v>
      </c>
      <c r="F66" s="240" t="str">
        <f t="shared" si="21"/>
        <v>PG76-22</v>
      </c>
      <c r="G66" s="240" t="s">
        <v>1130</v>
      </c>
      <c r="H66" s="240">
        <v>20475</v>
      </c>
      <c r="I66" s="240">
        <v>2</v>
      </c>
      <c r="J66" s="240">
        <v>1.5</v>
      </c>
      <c r="K66" s="240" t="s">
        <v>1227</v>
      </c>
      <c r="M66" s="240" t="s">
        <v>1315</v>
      </c>
      <c r="O66" s="240" t="s">
        <v>1182</v>
      </c>
      <c r="P66" s="240" t="s">
        <v>1179</v>
      </c>
      <c r="Q66" s="985" t="s">
        <v>1184</v>
      </c>
      <c r="R66" s="240" t="s">
        <v>1187</v>
      </c>
      <c r="S66" s="240" t="s">
        <v>1115</v>
      </c>
      <c r="AA66" s="1179">
        <f t="shared" si="22"/>
        <v>252000</v>
      </c>
      <c r="AB66" s="240">
        <f t="shared" si="22"/>
        <v>276300</v>
      </c>
      <c r="AC66" s="240">
        <f t="shared" si="22"/>
        <v>300600</v>
      </c>
      <c r="AD66" s="240">
        <f t="shared" si="22"/>
        <v>324900</v>
      </c>
      <c r="AE66" s="1180">
        <f t="shared" si="22"/>
        <v>349200</v>
      </c>
      <c r="AM66" s="1219" t="s">
        <v>309</v>
      </c>
      <c r="AN66" s="1219" t="s">
        <v>2412</v>
      </c>
      <c r="AR66" t="s">
        <v>2358</v>
      </c>
      <c r="AS66" s="240" t="s">
        <v>2287</v>
      </c>
    </row>
    <row r="67" spans="1:45" x14ac:dyDescent="0.2">
      <c r="A67" s="240" t="s">
        <v>1151</v>
      </c>
      <c r="E67" s="983" t="s">
        <v>1167</v>
      </c>
      <c r="F67" s="240" t="str">
        <f t="shared" si="21"/>
        <v>PG76-22</v>
      </c>
      <c r="G67" s="240" t="s">
        <v>1130</v>
      </c>
      <c r="H67" s="240">
        <v>20250</v>
      </c>
      <c r="I67" s="240">
        <v>0.5</v>
      </c>
      <c r="J67" s="240">
        <v>0.38</v>
      </c>
      <c r="K67" s="240" t="s">
        <v>1227</v>
      </c>
      <c r="M67" s="240" t="s">
        <v>1316</v>
      </c>
      <c r="O67" s="240" t="s">
        <v>1183</v>
      </c>
      <c r="Q67" s="985" t="s">
        <v>1025</v>
      </c>
      <c r="S67" s="240" t="s">
        <v>1118</v>
      </c>
      <c r="AA67" s="1179">
        <f t="shared" si="22"/>
        <v>252900</v>
      </c>
      <c r="AB67" s="240">
        <f t="shared" si="22"/>
        <v>277200</v>
      </c>
      <c r="AC67" s="240">
        <f t="shared" si="22"/>
        <v>301500</v>
      </c>
      <c r="AD67" s="240">
        <f t="shared" si="22"/>
        <v>325800</v>
      </c>
      <c r="AE67" s="1180">
        <f t="shared" si="22"/>
        <v>350100</v>
      </c>
      <c r="AM67" s="1219" t="s">
        <v>2558</v>
      </c>
      <c r="AN67" s="1219" t="s">
        <v>2559</v>
      </c>
      <c r="AR67" t="s">
        <v>1105</v>
      </c>
      <c r="AS67" s="240" t="s">
        <v>986</v>
      </c>
    </row>
    <row r="68" spans="1:45" x14ac:dyDescent="0.2">
      <c r="A68" s="240" t="s">
        <v>1152</v>
      </c>
      <c r="E68" s="983" t="s">
        <v>1167</v>
      </c>
      <c r="F68" s="240" t="str">
        <f t="shared" si="21"/>
        <v>PG76-22</v>
      </c>
      <c r="G68" s="240" t="s">
        <v>1130</v>
      </c>
      <c r="H68" s="240">
        <v>20275</v>
      </c>
      <c r="I68" s="240">
        <v>0.75</v>
      </c>
      <c r="J68" s="240">
        <v>0.5</v>
      </c>
      <c r="K68" s="240" t="s">
        <v>1227</v>
      </c>
      <c r="M68" s="240" t="s">
        <v>1317</v>
      </c>
      <c r="Q68" s="985" t="s">
        <v>1185</v>
      </c>
      <c r="S68" s="240" t="s">
        <v>1119</v>
      </c>
      <c r="AA68" s="1179">
        <f t="shared" si="22"/>
        <v>253800</v>
      </c>
      <c r="AB68" s="240">
        <f t="shared" si="22"/>
        <v>278100</v>
      </c>
      <c r="AC68" s="240">
        <f t="shared" si="22"/>
        <v>302400</v>
      </c>
      <c r="AD68" s="240">
        <f t="shared" si="22"/>
        <v>326700</v>
      </c>
      <c r="AE68" s="1180">
        <f t="shared" si="22"/>
        <v>351000</v>
      </c>
      <c r="AM68" s="1219" t="s">
        <v>1429</v>
      </c>
      <c r="AN68" s="1219" t="s">
        <v>2413</v>
      </c>
      <c r="AR68" t="s">
        <v>34</v>
      </c>
      <c r="AS68" s="240" t="s">
        <v>987</v>
      </c>
    </row>
    <row r="69" spans="1:45" x14ac:dyDescent="0.2">
      <c r="A69" s="240" t="s">
        <v>1153</v>
      </c>
      <c r="E69" s="983" t="s">
        <v>1167</v>
      </c>
      <c r="F69" s="240" t="str">
        <f t="shared" si="21"/>
        <v>PG76-22</v>
      </c>
      <c r="G69" s="240" t="s">
        <v>1130</v>
      </c>
      <c r="H69" s="240">
        <v>20300</v>
      </c>
      <c r="I69" s="240">
        <v>1</v>
      </c>
      <c r="J69" s="240">
        <v>0.75</v>
      </c>
      <c r="K69" s="240" t="s">
        <v>1227</v>
      </c>
      <c r="M69" s="240" t="s">
        <v>1318</v>
      </c>
      <c r="Q69" s="985"/>
      <c r="S69" s="240" t="s">
        <v>1120</v>
      </c>
      <c r="AA69" s="1179">
        <f t="shared" si="22"/>
        <v>254700</v>
      </c>
      <c r="AB69" s="240">
        <f t="shared" si="22"/>
        <v>279000</v>
      </c>
      <c r="AC69" s="240">
        <f t="shared" si="22"/>
        <v>303300</v>
      </c>
      <c r="AD69" s="240">
        <f t="shared" si="22"/>
        <v>327600</v>
      </c>
      <c r="AE69" s="1180">
        <f t="shared" si="22"/>
        <v>351900</v>
      </c>
      <c r="AM69" s="969" t="s">
        <v>354</v>
      </c>
      <c r="AN69" s="969" t="s">
        <v>2468</v>
      </c>
      <c r="AR69" t="s">
        <v>35</v>
      </c>
      <c r="AS69" s="240" t="s">
        <v>988</v>
      </c>
    </row>
    <row r="70" spans="1:45" x14ac:dyDescent="0.2">
      <c r="A70" s="240" t="s">
        <v>1154</v>
      </c>
      <c r="E70" s="983" t="s">
        <v>1167</v>
      </c>
      <c r="F70" s="240" t="str">
        <f t="shared" si="21"/>
        <v>PG76-22</v>
      </c>
      <c r="G70" s="240" t="s">
        <v>1130</v>
      </c>
      <c r="H70" s="240">
        <v>20325</v>
      </c>
      <c r="I70" s="240">
        <v>1.5</v>
      </c>
      <c r="J70" s="240">
        <v>1</v>
      </c>
      <c r="K70" s="240" t="s">
        <v>1227</v>
      </c>
      <c r="M70" s="240" t="s">
        <v>1321</v>
      </c>
      <c r="S70" s="240" t="s">
        <v>1121</v>
      </c>
      <c r="AA70" s="1179">
        <f t="shared" si="22"/>
        <v>255600</v>
      </c>
      <c r="AB70" s="240">
        <f t="shared" si="22"/>
        <v>279900</v>
      </c>
      <c r="AC70" s="240">
        <f t="shared" si="22"/>
        <v>304200</v>
      </c>
      <c r="AD70" s="240">
        <f t="shared" si="22"/>
        <v>328500</v>
      </c>
      <c r="AE70" s="1180">
        <f t="shared" si="22"/>
        <v>352800</v>
      </c>
      <c r="AM70" s="969" t="s">
        <v>295</v>
      </c>
      <c r="AN70" s="969" t="s">
        <v>1469</v>
      </c>
      <c r="AR70" t="s">
        <v>2357</v>
      </c>
      <c r="AS70" s="240" t="s">
        <v>991</v>
      </c>
    </row>
    <row r="71" spans="1:45" x14ac:dyDescent="0.2">
      <c r="A71" s="240" t="s">
        <v>1155</v>
      </c>
      <c r="E71" s="983" t="s">
        <v>1167</v>
      </c>
      <c r="F71" s="240" t="str">
        <f t="shared" si="21"/>
        <v>PG76-22</v>
      </c>
      <c r="G71" s="240" t="s">
        <v>1130</v>
      </c>
      <c r="H71" s="240">
        <v>20350</v>
      </c>
      <c r="I71" s="240">
        <v>2</v>
      </c>
      <c r="J71" s="240">
        <v>1.5</v>
      </c>
      <c r="K71" s="240" t="s">
        <v>1227</v>
      </c>
      <c r="M71" s="240" t="s">
        <v>1322</v>
      </c>
      <c r="S71" s="240" t="s">
        <v>1122</v>
      </c>
      <c r="AA71" s="1179">
        <f t="shared" si="22"/>
        <v>256500</v>
      </c>
      <c r="AB71" s="240">
        <f t="shared" si="22"/>
        <v>280800</v>
      </c>
      <c r="AC71" s="240">
        <f t="shared" si="22"/>
        <v>305100</v>
      </c>
      <c r="AD71" s="240">
        <f t="shared" si="22"/>
        <v>329400</v>
      </c>
      <c r="AE71" s="1180">
        <f t="shared" si="22"/>
        <v>353700</v>
      </c>
      <c r="AM71" s="969" t="s">
        <v>296</v>
      </c>
      <c r="AN71" s="969" t="s">
        <v>1470</v>
      </c>
      <c r="AR71" t="s">
        <v>2356</v>
      </c>
      <c r="AS71" s="240" t="s">
        <v>2293</v>
      </c>
    </row>
    <row r="72" spans="1:45" x14ac:dyDescent="0.2">
      <c r="A72" s="240" t="s">
        <v>907</v>
      </c>
      <c r="E72" s="998" t="s">
        <v>1168</v>
      </c>
      <c r="F72" s="240" t="str">
        <f t="shared" si="21"/>
        <v>PG64-22</v>
      </c>
      <c r="G72" s="240">
        <v>2</v>
      </c>
      <c r="H72" s="606">
        <v>20625</v>
      </c>
      <c r="I72" s="240">
        <v>2</v>
      </c>
      <c r="J72" s="240">
        <v>1.5</v>
      </c>
      <c r="K72" s="240" t="s">
        <v>1227</v>
      </c>
      <c r="M72" s="240" t="s">
        <v>1323</v>
      </c>
      <c r="S72" s="240" t="s">
        <v>1123</v>
      </c>
      <c r="AA72" s="1179">
        <f t="shared" si="22"/>
        <v>257400</v>
      </c>
      <c r="AB72" s="240">
        <f t="shared" si="22"/>
        <v>281700</v>
      </c>
      <c r="AC72" s="240">
        <f t="shared" si="22"/>
        <v>306000</v>
      </c>
      <c r="AD72" s="240">
        <f t="shared" si="22"/>
        <v>330300</v>
      </c>
      <c r="AE72" s="1180">
        <f t="shared" si="22"/>
        <v>354600</v>
      </c>
      <c r="AM72" s="969" t="s">
        <v>331</v>
      </c>
      <c r="AN72" s="969" t="s">
        <v>2366</v>
      </c>
      <c r="AR72" t="s">
        <v>2355</v>
      </c>
      <c r="AS72" s="240" t="s">
        <v>2292</v>
      </c>
    </row>
    <row r="73" spans="1:45" x14ac:dyDescent="0.2">
      <c r="A73" s="240" t="s">
        <v>908</v>
      </c>
      <c r="E73" s="998" t="s">
        <v>1168</v>
      </c>
      <c r="F73" s="240" t="str">
        <f t="shared" ref="F73:F88" si="23">RIGHT(A73,7)</f>
        <v>PG64-22</v>
      </c>
      <c r="G73" s="240">
        <v>3</v>
      </c>
      <c r="H73" s="606">
        <v>20625</v>
      </c>
      <c r="I73" s="240">
        <v>2</v>
      </c>
      <c r="J73" s="240">
        <v>1.5</v>
      </c>
      <c r="K73" s="240" t="s">
        <v>1227</v>
      </c>
      <c r="M73" s="240" t="s">
        <v>1324</v>
      </c>
      <c r="S73" s="240" t="s">
        <v>1124</v>
      </c>
      <c r="AA73" s="1179">
        <f t="shared" si="22"/>
        <v>258300</v>
      </c>
      <c r="AB73" s="240">
        <f t="shared" si="22"/>
        <v>282600</v>
      </c>
      <c r="AC73" s="240">
        <f t="shared" si="22"/>
        <v>306900</v>
      </c>
      <c r="AD73" s="240">
        <f t="shared" si="22"/>
        <v>331200</v>
      </c>
      <c r="AE73" s="1180">
        <f t="shared" si="22"/>
        <v>355500</v>
      </c>
      <c r="AM73" s="969" t="s">
        <v>332</v>
      </c>
      <c r="AN73" s="969" t="s">
        <v>1080</v>
      </c>
      <c r="AR73" t="s">
        <v>2354</v>
      </c>
      <c r="AS73" s="240" t="s">
        <v>2290</v>
      </c>
    </row>
    <row r="74" spans="1:45" x14ac:dyDescent="0.2">
      <c r="A74" s="240" t="s">
        <v>909</v>
      </c>
      <c r="E74" s="983" t="s">
        <v>1167</v>
      </c>
      <c r="F74" s="240" t="str">
        <f t="shared" si="23"/>
        <v>PG76-22</v>
      </c>
      <c r="G74" s="240">
        <v>3</v>
      </c>
      <c r="H74" s="606">
        <v>20625</v>
      </c>
      <c r="I74" s="240">
        <v>2</v>
      </c>
      <c r="J74" s="240">
        <v>1.5</v>
      </c>
      <c r="K74" s="240" t="s">
        <v>1227</v>
      </c>
      <c r="M74" s="240" t="s">
        <v>1325</v>
      </c>
      <c r="S74" s="240" t="s">
        <v>1125</v>
      </c>
      <c r="AA74" s="1179">
        <f t="shared" ref="AA74:AE83" si="24">IF($K$48="E",AA73+1000,AA73+900)</f>
        <v>259200</v>
      </c>
      <c r="AB74" s="240">
        <f t="shared" si="24"/>
        <v>283500</v>
      </c>
      <c r="AC74" s="240">
        <f t="shared" si="24"/>
        <v>307800</v>
      </c>
      <c r="AD74" s="240">
        <f t="shared" si="24"/>
        <v>332100</v>
      </c>
      <c r="AE74" s="1180">
        <f t="shared" si="24"/>
        <v>356400</v>
      </c>
      <c r="AM74" s="969" t="s">
        <v>1471</v>
      </c>
      <c r="AN74" s="969" t="s">
        <v>1472</v>
      </c>
      <c r="AR74" t="s">
        <v>2352</v>
      </c>
      <c r="AS74" s="240" t="s">
        <v>2289</v>
      </c>
    </row>
    <row r="75" spans="1:45" x14ac:dyDescent="0.2">
      <c r="A75" s="240" t="s">
        <v>910</v>
      </c>
      <c r="E75" s="998" t="s">
        <v>1168</v>
      </c>
      <c r="F75" s="240" t="str">
        <f t="shared" si="23"/>
        <v>PG64-22</v>
      </c>
      <c r="G75" s="240">
        <v>4</v>
      </c>
      <c r="H75" s="606">
        <v>20625</v>
      </c>
      <c r="I75" s="240">
        <v>2</v>
      </c>
      <c r="J75" s="240">
        <v>1.5</v>
      </c>
      <c r="K75" s="240" t="s">
        <v>1227</v>
      </c>
      <c r="M75" s="240" t="s">
        <v>1326</v>
      </c>
      <c r="S75" s="240" t="s">
        <v>1126</v>
      </c>
      <c r="AA75" s="1179">
        <f>IF($K$48="E",AA74+1000,AA74+900)</f>
        <v>260100</v>
      </c>
      <c r="AB75" s="240">
        <f t="shared" si="24"/>
        <v>284400</v>
      </c>
      <c r="AC75" s="240">
        <f t="shared" si="24"/>
        <v>308700</v>
      </c>
      <c r="AD75" s="240">
        <f t="shared" si="24"/>
        <v>333000</v>
      </c>
      <c r="AE75" s="1180">
        <f t="shared" si="24"/>
        <v>357300</v>
      </c>
      <c r="AM75" s="969" t="s">
        <v>333</v>
      </c>
      <c r="AN75" s="969" t="s">
        <v>1093</v>
      </c>
      <c r="AR75" s="994" t="s">
        <v>1049</v>
      </c>
      <c r="AS75" s="984" t="s">
        <v>989</v>
      </c>
    </row>
    <row r="76" spans="1:45" x14ac:dyDescent="0.2">
      <c r="A76" s="240" t="s">
        <v>911</v>
      </c>
      <c r="E76" s="983" t="s">
        <v>1167</v>
      </c>
      <c r="F76" s="240" t="str">
        <f t="shared" si="23"/>
        <v>PG76-22</v>
      </c>
      <c r="G76" s="240">
        <v>4</v>
      </c>
      <c r="H76" s="606">
        <v>20625</v>
      </c>
      <c r="I76" s="240">
        <v>2</v>
      </c>
      <c r="J76" s="240">
        <v>1.5</v>
      </c>
      <c r="K76" s="240" t="s">
        <v>1227</v>
      </c>
      <c r="M76" s="240" t="s">
        <v>1327</v>
      </c>
      <c r="AA76" s="1179">
        <f t="shared" si="24"/>
        <v>261000</v>
      </c>
      <c r="AB76" s="240">
        <f t="shared" si="24"/>
        <v>285300</v>
      </c>
      <c r="AC76" s="240">
        <f t="shared" si="24"/>
        <v>309600</v>
      </c>
      <c r="AD76" s="240">
        <f t="shared" si="24"/>
        <v>333900</v>
      </c>
      <c r="AE76" s="1180">
        <f t="shared" si="24"/>
        <v>358200</v>
      </c>
      <c r="AM76" s="969" t="s">
        <v>334</v>
      </c>
      <c r="AN76" s="969" t="s">
        <v>1090</v>
      </c>
      <c r="AR76" s="994" t="s">
        <v>1048</v>
      </c>
      <c r="AS76" s="984" t="s">
        <v>989</v>
      </c>
    </row>
    <row r="77" spans="1:45" x14ac:dyDescent="0.2">
      <c r="A77" s="240" t="s">
        <v>918</v>
      </c>
      <c r="E77" s="998" t="s">
        <v>1168</v>
      </c>
      <c r="F77" s="240" t="str">
        <f t="shared" si="23"/>
        <v>PG64-22</v>
      </c>
      <c r="G77" s="240">
        <v>2</v>
      </c>
      <c r="H77" s="606">
        <v>20600</v>
      </c>
      <c r="I77" s="240">
        <v>1.5</v>
      </c>
      <c r="J77" s="240">
        <v>1</v>
      </c>
      <c r="K77" s="240" t="s">
        <v>1227</v>
      </c>
      <c r="M77" s="240" t="s">
        <v>1328</v>
      </c>
      <c r="AA77" s="1179">
        <f t="shared" si="24"/>
        <v>261900</v>
      </c>
      <c r="AB77" s="240">
        <f t="shared" si="24"/>
        <v>286200</v>
      </c>
      <c r="AC77" s="240">
        <f t="shared" si="24"/>
        <v>310500</v>
      </c>
      <c r="AD77" s="240">
        <f t="shared" si="24"/>
        <v>334800</v>
      </c>
      <c r="AE77" s="1180">
        <f t="shared" si="24"/>
        <v>359100</v>
      </c>
      <c r="AM77" s="969" t="s">
        <v>335</v>
      </c>
      <c r="AN77" s="969" t="s">
        <v>1083</v>
      </c>
      <c r="AR77" s="994" t="s">
        <v>1050</v>
      </c>
      <c r="AS77" s="984" t="s">
        <v>990</v>
      </c>
    </row>
    <row r="78" spans="1:45" x14ac:dyDescent="0.2">
      <c r="A78" s="240" t="s">
        <v>920</v>
      </c>
      <c r="E78" s="998" t="s">
        <v>1168</v>
      </c>
      <c r="F78" s="240" t="str">
        <f t="shared" si="23"/>
        <v>PG64-22</v>
      </c>
      <c r="G78" s="240">
        <v>3</v>
      </c>
      <c r="H78" s="606">
        <v>20600</v>
      </c>
      <c r="I78" s="240">
        <v>1.5</v>
      </c>
      <c r="J78" s="240">
        <v>1</v>
      </c>
      <c r="K78" s="240" t="s">
        <v>1227</v>
      </c>
      <c r="M78" s="240" t="s">
        <v>1329</v>
      </c>
      <c r="AA78" s="1179">
        <f t="shared" si="24"/>
        <v>262800</v>
      </c>
      <c r="AB78" s="240">
        <f t="shared" si="24"/>
        <v>287100</v>
      </c>
      <c r="AC78" s="240">
        <f t="shared" si="24"/>
        <v>311400</v>
      </c>
      <c r="AD78" s="240">
        <f t="shared" si="24"/>
        <v>335700</v>
      </c>
      <c r="AE78" s="1180">
        <f t="shared" si="24"/>
        <v>360000</v>
      </c>
      <c r="AM78" s="969" t="s">
        <v>336</v>
      </c>
      <c r="AN78" s="969" t="s">
        <v>2329</v>
      </c>
      <c r="AR78" s="994" t="s">
        <v>1051</v>
      </c>
      <c r="AS78" s="984" t="s">
        <v>990</v>
      </c>
    </row>
    <row r="79" spans="1:45" x14ac:dyDescent="0.2">
      <c r="A79" s="240" t="s">
        <v>921</v>
      </c>
      <c r="E79" s="983" t="s">
        <v>1167</v>
      </c>
      <c r="F79" s="240" t="str">
        <f t="shared" si="23"/>
        <v>PG76-22</v>
      </c>
      <c r="G79" s="240">
        <v>3</v>
      </c>
      <c r="H79" s="606">
        <v>20600</v>
      </c>
      <c r="I79" s="240">
        <v>1.5</v>
      </c>
      <c r="J79" s="240">
        <v>1</v>
      </c>
      <c r="K79" s="240" t="s">
        <v>1227</v>
      </c>
      <c r="M79" s="240" t="s">
        <v>1330</v>
      </c>
      <c r="AA79" s="1179">
        <f t="shared" si="24"/>
        <v>263700</v>
      </c>
      <c r="AB79" s="240">
        <f t="shared" si="24"/>
        <v>288000</v>
      </c>
      <c r="AC79" s="240">
        <f t="shared" si="24"/>
        <v>312300</v>
      </c>
      <c r="AD79" s="240">
        <f t="shared" si="24"/>
        <v>336600</v>
      </c>
      <c r="AE79" s="1180">
        <f t="shared" si="24"/>
        <v>360900</v>
      </c>
      <c r="AM79" s="969" t="s">
        <v>337</v>
      </c>
      <c r="AN79" s="969" t="s">
        <v>1084</v>
      </c>
      <c r="AR79" t="s">
        <v>1106</v>
      </c>
      <c r="AS79" s="240" t="s">
        <v>2291</v>
      </c>
    </row>
    <row r="80" spans="1:45" x14ac:dyDescent="0.2">
      <c r="A80" s="240" t="s">
        <v>922</v>
      </c>
      <c r="E80" s="998" t="s">
        <v>1168</v>
      </c>
      <c r="F80" s="240" t="str">
        <f t="shared" si="23"/>
        <v>PG64-22</v>
      </c>
      <c r="G80" s="240">
        <v>4</v>
      </c>
      <c r="H80" s="606">
        <v>20600</v>
      </c>
      <c r="I80" s="240">
        <v>1.5</v>
      </c>
      <c r="J80" s="240">
        <v>1</v>
      </c>
      <c r="K80" s="240" t="s">
        <v>1227</v>
      </c>
      <c r="M80" s="240" t="s">
        <v>1331</v>
      </c>
      <c r="AA80" s="1179">
        <f t="shared" si="24"/>
        <v>264600</v>
      </c>
      <c r="AB80" s="240">
        <f t="shared" si="24"/>
        <v>288900</v>
      </c>
      <c r="AC80" s="240">
        <f t="shared" si="24"/>
        <v>313200</v>
      </c>
      <c r="AD80" s="240">
        <f t="shared" si="24"/>
        <v>337500</v>
      </c>
      <c r="AE80" s="1180">
        <f t="shared" si="24"/>
        <v>361800</v>
      </c>
      <c r="AM80" s="969" t="s">
        <v>338</v>
      </c>
      <c r="AN80" s="969" t="s">
        <v>1087</v>
      </c>
      <c r="AR80" t="s">
        <v>2326</v>
      </c>
      <c r="AS80" s="240" t="s">
        <v>989</v>
      </c>
    </row>
    <row r="81" spans="1:47" x14ac:dyDescent="0.2">
      <c r="A81" s="240" t="s">
        <v>923</v>
      </c>
      <c r="E81" s="983" t="s">
        <v>1167</v>
      </c>
      <c r="F81" s="240" t="str">
        <f t="shared" si="23"/>
        <v>PG76-22</v>
      </c>
      <c r="G81" s="240">
        <v>4</v>
      </c>
      <c r="H81" s="606">
        <v>20600</v>
      </c>
      <c r="I81" s="240">
        <v>1.5</v>
      </c>
      <c r="J81" s="240">
        <v>1</v>
      </c>
      <c r="K81" s="240" t="s">
        <v>1227</v>
      </c>
      <c r="M81" s="240" t="s">
        <v>1332</v>
      </c>
      <c r="AA81" s="1179">
        <f t="shared" si="24"/>
        <v>265500</v>
      </c>
      <c r="AB81" s="240">
        <f t="shared" si="24"/>
        <v>289800</v>
      </c>
      <c r="AC81" s="240">
        <f t="shared" si="24"/>
        <v>314100</v>
      </c>
      <c r="AD81" s="240">
        <f t="shared" si="24"/>
        <v>338400</v>
      </c>
      <c r="AE81" s="1180">
        <f t="shared" si="24"/>
        <v>362700</v>
      </c>
      <c r="AM81" s="969" t="s">
        <v>339</v>
      </c>
      <c r="AN81" s="969" t="s">
        <v>2337</v>
      </c>
      <c r="AR81" s="994" t="s">
        <v>1436</v>
      </c>
      <c r="AS81" s="995">
        <v>24045</v>
      </c>
    </row>
    <row r="82" spans="1:47" x14ac:dyDescent="0.2">
      <c r="A82" s="240" t="s">
        <v>924</v>
      </c>
      <c r="E82" s="998" t="s">
        <v>1168</v>
      </c>
      <c r="F82" s="240" t="str">
        <f t="shared" si="23"/>
        <v>PG64-22</v>
      </c>
      <c r="G82" s="240">
        <v>2</v>
      </c>
      <c r="H82" s="606">
        <v>20575</v>
      </c>
      <c r="I82" s="240">
        <v>1</v>
      </c>
      <c r="J82" s="240">
        <v>0.75</v>
      </c>
      <c r="K82" s="240" t="s">
        <v>1227</v>
      </c>
      <c r="M82" s="240" t="s">
        <v>1333</v>
      </c>
      <c r="AA82" s="1179">
        <f t="shared" si="24"/>
        <v>266400</v>
      </c>
      <c r="AB82" s="240">
        <f t="shared" si="24"/>
        <v>290700</v>
      </c>
      <c r="AC82" s="240">
        <f t="shared" si="24"/>
        <v>315000</v>
      </c>
      <c r="AD82" s="240">
        <f t="shared" si="24"/>
        <v>339300</v>
      </c>
      <c r="AE82" s="1180">
        <f t="shared" si="24"/>
        <v>363600</v>
      </c>
      <c r="AM82" s="969" t="s">
        <v>340</v>
      </c>
      <c r="AN82" s="969" t="s">
        <v>1088</v>
      </c>
      <c r="AR82" s="994" t="s">
        <v>1433</v>
      </c>
      <c r="AS82" s="984" t="s">
        <v>992</v>
      </c>
    </row>
    <row r="83" spans="1:47" x14ac:dyDescent="0.2">
      <c r="A83" s="240" t="s">
        <v>925</v>
      </c>
      <c r="E83" s="998" t="s">
        <v>1168</v>
      </c>
      <c r="F83" s="240" t="str">
        <f t="shared" si="23"/>
        <v>PG64-22</v>
      </c>
      <c r="G83" s="240">
        <v>3</v>
      </c>
      <c r="H83" s="606">
        <v>20575</v>
      </c>
      <c r="I83" s="240">
        <v>1</v>
      </c>
      <c r="J83" s="240">
        <v>0.75</v>
      </c>
      <c r="K83" s="240" t="s">
        <v>1227</v>
      </c>
      <c r="M83" s="240" t="s">
        <v>1334</v>
      </c>
      <c r="AA83" s="1179">
        <f t="shared" si="24"/>
        <v>267300</v>
      </c>
      <c r="AB83" s="240">
        <f t="shared" si="24"/>
        <v>291600</v>
      </c>
      <c r="AC83" s="240">
        <f t="shared" si="24"/>
        <v>315900</v>
      </c>
      <c r="AD83" s="240">
        <f t="shared" si="24"/>
        <v>340200</v>
      </c>
      <c r="AE83" s="1180">
        <f t="shared" si="24"/>
        <v>364500</v>
      </c>
      <c r="AM83" s="969" t="s">
        <v>341</v>
      </c>
      <c r="AN83" s="969" t="s">
        <v>2330</v>
      </c>
      <c r="AR83" s="994" t="s">
        <v>1435</v>
      </c>
      <c r="AS83" s="995">
        <v>24030</v>
      </c>
    </row>
    <row r="84" spans="1:47" x14ac:dyDescent="0.2">
      <c r="A84" s="240" t="s">
        <v>926</v>
      </c>
      <c r="E84" s="983" t="s">
        <v>1167</v>
      </c>
      <c r="F84" s="240" t="str">
        <f t="shared" si="23"/>
        <v>PG76-22</v>
      </c>
      <c r="G84" s="240">
        <v>3</v>
      </c>
      <c r="H84" s="606">
        <v>20575</v>
      </c>
      <c r="I84" s="240">
        <v>1</v>
      </c>
      <c r="J84" s="240">
        <v>0.75</v>
      </c>
      <c r="K84" s="240" t="s">
        <v>1227</v>
      </c>
      <c r="M84" s="240" t="s">
        <v>1335</v>
      </c>
      <c r="AA84" s="1179"/>
      <c r="AE84" s="1180"/>
      <c r="AM84" s="969" t="s">
        <v>342</v>
      </c>
      <c r="AN84" s="969" t="s">
        <v>2341</v>
      </c>
      <c r="AR84" s="994" t="s">
        <v>1434</v>
      </c>
      <c r="AS84" s="995">
        <v>24033</v>
      </c>
    </row>
    <row r="85" spans="1:47" x14ac:dyDescent="0.2">
      <c r="A85" s="240" t="s">
        <v>927</v>
      </c>
      <c r="E85" s="998" t="s">
        <v>1168</v>
      </c>
      <c r="F85" s="240" t="str">
        <f t="shared" si="23"/>
        <v>PG64-22</v>
      </c>
      <c r="G85" s="240">
        <v>4</v>
      </c>
      <c r="H85" s="606">
        <v>20575</v>
      </c>
      <c r="I85" s="240">
        <v>1</v>
      </c>
      <c r="J85" s="240">
        <v>0.75</v>
      </c>
      <c r="K85" s="240" t="s">
        <v>1227</v>
      </c>
      <c r="M85" s="240" t="s">
        <v>1336</v>
      </c>
      <c r="AA85" s="1179" t="s">
        <v>2383</v>
      </c>
      <c r="AB85" s="972" t="str">
        <f>CONCATENATE(LEFT(AA111,2)," - 2")</f>
        <v>75 - 2</v>
      </c>
      <c r="AC85" s="972" t="str">
        <f>CONCATENATE(LEFT(AB111,2)+1," - 1")</f>
        <v>83 - 1</v>
      </c>
      <c r="AD85" s="972" t="str">
        <f>CONCATENATE(LEFT(AC111,2)," - 4")</f>
        <v>89 - 4</v>
      </c>
      <c r="AE85" s="1182" t="str">
        <f>CONCATENATE(LEFT(AD111,2)," - 3")</f>
        <v>96 - 3</v>
      </c>
      <c r="AM85" s="969" t="s">
        <v>343</v>
      </c>
      <c r="AN85" s="969" t="s">
        <v>2343</v>
      </c>
      <c r="AR85" s="1230" t="s">
        <v>2481</v>
      </c>
      <c r="AS85" s="240" t="s">
        <v>2309</v>
      </c>
    </row>
    <row r="86" spans="1:47" x14ac:dyDescent="0.2">
      <c r="A86" s="240" t="s">
        <v>928</v>
      </c>
      <c r="E86" s="983" t="s">
        <v>1167</v>
      </c>
      <c r="F86" s="240" t="str">
        <f t="shared" si="23"/>
        <v>PG76-22</v>
      </c>
      <c r="G86" s="240">
        <v>4</v>
      </c>
      <c r="H86" s="606">
        <v>20575</v>
      </c>
      <c r="I86" s="240">
        <v>1</v>
      </c>
      <c r="J86" s="240">
        <v>0.75</v>
      </c>
      <c r="K86" s="240" t="s">
        <v>1227</v>
      </c>
      <c r="M86" s="240" t="s">
        <v>1337</v>
      </c>
      <c r="AA86" s="1183" t="str">
        <f>CONCATENATE(LEFT(AA85,2)," - 4")</f>
        <v>68 - 4</v>
      </c>
      <c r="AB86" s="972" t="str">
        <f>CONCATENATE(LEFT(AB85,2)," - 3")</f>
        <v>75 - 3</v>
      </c>
      <c r="AC86" s="972" t="str">
        <f>CONCATENATE(LEFT(AC85,2)," - 2")</f>
        <v>83 - 2</v>
      </c>
      <c r="AD86" s="972" t="str">
        <f>CONCATENATE(LEFT(AD85,2)+1," - 1")</f>
        <v>90 - 1</v>
      </c>
      <c r="AE86" s="1182" t="str">
        <f>CONCATENATE(LEFT(AE85,2)," - 4")</f>
        <v>96 - 4</v>
      </c>
      <c r="AM86" s="969" t="s">
        <v>2707</v>
      </c>
      <c r="AN86" s="969" t="s">
        <v>2706</v>
      </c>
      <c r="AR86" s="1230" t="s">
        <v>2482</v>
      </c>
      <c r="AS86" s="240" t="s">
        <v>2318</v>
      </c>
    </row>
    <row r="87" spans="1:47" x14ac:dyDescent="0.2">
      <c r="A87" s="240" t="s">
        <v>1195</v>
      </c>
      <c r="E87" s="998" t="s">
        <v>1168</v>
      </c>
      <c r="F87" s="240" t="str">
        <f t="shared" si="23"/>
        <v>PG64-22</v>
      </c>
      <c r="G87" s="240" t="s">
        <v>1130</v>
      </c>
      <c r="H87" s="606">
        <v>20500</v>
      </c>
      <c r="I87" s="240">
        <v>0.5</v>
      </c>
      <c r="J87" s="240">
        <v>0.38</v>
      </c>
      <c r="K87" s="240" t="s">
        <v>1227</v>
      </c>
      <c r="M87" s="240" t="s">
        <v>1338</v>
      </c>
      <c r="AA87" s="1183" t="str">
        <f>CONCATENATE(LEFT(AA86,2)+1," - 1")</f>
        <v>69 - 1</v>
      </c>
      <c r="AB87" s="972" t="str">
        <f>CONCATENATE(LEFT(AB86,2)+1," - 4")</f>
        <v>76 - 4</v>
      </c>
      <c r="AC87" s="972" t="str">
        <f>CONCATENATE(LEFT(AC86,2)," - 3")</f>
        <v>83 - 3</v>
      </c>
      <c r="AD87" s="972" t="str">
        <f>CONCATENATE(LEFT(AD86,2)," - 2")</f>
        <v>90 - 2</v>
      </c>
      <c r="AE87" s="1182" t="str">
        <f>CONCATENATE(LEFT(AE86,2)+1," - 1")</f>
        <v>97 - 1</v>
      </c>
      <c r="AM87" s="969" t="s">
        <v>1473</v>
      </c>
      <c r="AN87" s="969" t="s">
        <v>1109</v>
      </c>
      <c r="AR87" s="1230" t="s">
        <v>2483</v>
      </c>
      <c r="AS87" s="240" t="s">
        <v>2290</v>
      </c>
    </row>
    <row r="88" spans="1:47" x14ac:dyDescent="0.2">
      <c r="A88" s="240" t="s">
        <v>1196</v>
      </c>
      <c r="E88" s="983" t="s">
        <v>1167</v>
      </c>
      <c r="F88" s="240" t="str">
        <f t="shared" si="23"/>
        <v>PG76-22</v>
      </c>
      <c r="G88" s="240" t="s">
        <v>1130</v>
      </c>
      <c r="H88" s="606">
        <v>20500</v>
      </c>
      <c r="I88" s="240">
        <v>0.5</v>
      </c>
      <c r="J88" s="240">
        <v>0.38</v>
      </c>
      <c r="K88" s="240" t="s">
        <v>1227</v>
      </c>
      <c r="M88" s="240" t="s">
        <v>1339</v>
      </c>
      <c r="O88" s="240" t="s">
        <v>1415</v>
      </c>
      <c r="P88" s="240">
        <f>COUNTA('Polish-Resistant Data'!B21:B33)</f>
        <v>0</v>
      </c>
      <c r="AA88" s="1183" t="str">
        <f>CONCATENATE(LEFT(AA87,2)," - 2")</f>
        <v>69 - 2</v>
      </c>
      <c r="AB88" s="972" t="str">
        <f>CONCATENATE(LEFT(AB87,2)+1," - 1")</f>
        <v>77 - 1</v>
      </c>
      <c r="AC88" s="972" t="str">
        <f>CONCATENATE(LEFT(AC87,2)," - 4")</f>
        <v>83 - 4</v>
      </c>
      <c r="AD88" s="972" t="str">
        <f>CONCATENATE(LEFT(AD87,2)," - 3")</f>
        <v>90 - 3</v>
      </c>
      <c r="AE88" s="1182" t="str">
        <f>CONCATENATE(LEFT(AE87,2)," - 2")</f>
        <v>97 - 2</v>
      </c>
      <c r="AM88" s="969" t="s">
        <v>344</v>
      </c>
      <c r="AN88" s="969" t="s">
        <v>2342</v>
      </c>
      <c r="AR88" s="1230" t="s">
        <v>2484</v>
      </c>
      <c r="AS88" s="240" t="s">
        <v>2289</v>
      </c>
      <c r="AU88"/>
    </row>
    <row r="89" spans="1:47" x14ac:dyDescent="0.2">
      <c r="A89" s="240" t="s">
        <v>1197</v>
      </c>
      <c r="E89" s="998" t="s">
        <v>1168</v>
      </c>
      <c r="F89" s="240" t="str">
        <f t="shared" ref="F89:F102" si="25">RIGHT(A89,7)</f>
        <v>PG64-22</v>
      </c>
      <c r="G89" s="240" t="s">
        <v>1130</v>
      </c>
      <c r="H89" s="606">
        <v>20550</v>
      </c>
      <c r="I89" s="240">
        <v>0.75</v>
      </c>
      <c r="J89" s="240">
        <v>0.5</v>
      </c>
      <c r="K89" s="240" t="s">
        <v>1227</v>
      </c>
      <c r="M89" s="240" t="s">
        <v>1340</v>
      </c>
      <c r="O89" s="240" t="s">
        <v>1416</v>
      </c>
      <c r="P89" s="240">
        <f>COUNTA('Polish-Resistant Data'!C21:C33)</f>
        <v>0</v>
      </c>
      <c r="AA89" s="1183" t="str">
        <f>CONCATENATE(LEFT(AA88,2)," - 3")</f>
        <v>69 - 3</v>
      </c>
      <c r="AB89" s="972" t="str">
        <f>CONCATENATE(LEFT(AB88,2)," - 2")</f>
        <v>77 - 2</v>
      </c>
      <c r="AC89" s="972" t="str">
        <f>CONCATENATE(LEFT(AC88,2)+1," - 1")</f>
        <v>84 - 1</v>
      </c>
      <c r="AD89" s="972" t="str">
        <f>CONCATENATE(LEFT(AD88,2)," - 4")</f>
        <v>90 - 4</v>
      </c>
      <c r="AE89" s="1182" t="str">
        <f>CONCATENATE(LEFT(AE88,2)," - 3")</f>
        <v>97 - 3</v>
      </c>
      <c r="AM89" s="969" t="s">
        <v>345</v>
      </c>
      <c r="AN89" s="969" t="s">
        <v>2350</v>
      </c>
      <c r="AR89" t="s">
        <v>1107</v>
      </c>
      <c r="AS89" s="240" t="s">
        <v>2287</v>
      </c>
      <c r="AU89"/>
    </row>
    <row r="90" spans="1:47" x14ac:dyDescent="0.2">
      <c r="A90" s="240" t="s">
        <v>1198</v>
      </c>
      <c r="E90" s="983" t="s">
        <v>1167</v>
      </c>
      <c r="F90" s="240" t="str">
        <f t="shared" si="25"/>
        <v>PG76-22</v>
      </c>
      <c r="G90" s="240" t="s">
        <v>1130</v>
      </c>
      <c r="H90" s="606">
        <v>20550</v>
      </c>
      <c r="I90" s="240">
        <v>0.75</v>
      </c>
      <c r="J90" s="240">
        <v>0.5</v>
      </c>
      <c r="K90" s="240" t="s">
        <v>1227</v>
      </c>
      <c r="M90" s="240" t="s">
        <v>1341</v>
      </c>
      <c r="O90" s="240" t="s">
        <v>1417</v>
      </c>
      <c r="P90" s="240">
        <f>COUNTA('Polish-Resistant Data'!D21:D33)</f>
        <v>0</v>
      </c>
      <c r="AA90" s="1183" t="str">
        <f>CONCATENATE(LEFT(AA89,2)," - 4")</f>
        <v>69 - 4</v>
      </c>
      <c r="AB90" s="972" t="str">
        <f>CONCATENATE(LEFT(AB89,2)," - 3")</f>
        <v>77 - 3</v>
      </c>
      <c r="AC90" s="972" t="str">
        <f>CONCATENATE(LEFT(AC89,2)," - 2")</f>
        <v>84 - 2</v>
      </c>
      <c r="AD90" s="972" t="str">
        <f>CONCATENATE(LEFT(AD89,2)+1," - 1")</f>
        <v>91 - 1</v>
      </c>
      <c r="AE90" s="1182" t="str">
        <f>CONCATENATE(LEFT(AE89,2)," - 4")</f>
        <v>97 - 4</v>
      </c>
      <c r="AM90" s="969" t="s">
        <v>1032</v>
      </c>
      <c r="AN90" s="969" t="s">
        <v>2345</v>
      </c>
      <c r="AR90" s="315" t="s">
        <v>2455</v>
      </c>
      <c r="AS90" s="240" t="s">
        <v>2306</v>
      </c>
      <c r="AU90"/>
    </row>
    <row r="91" spans="1:47" x14ac:dyDescent="0.2">
      <c r="A91" s="240" t="s">
        <v>1199</v>
      </c>
      <c r="E91" s="998" t="s">
        <v>1168</v>
      </c>
      <c r="F91" s="240" t="str">
        <f t="shared" si="25"/>
        <v>PG64-22</v>
      </c>
      <c r="G91" s="240" t="s">
        <v>1130</v>
      </c>
      <c r="H91" s="606">
        <v>20575</v>
      </c>
      <c r="I91" s="240">
        <v>1</v>
      </c>
      <c r="J91" s="240">
        <v>0.75</v>
      </c>
      <c r="K91" s="240" t="s">
        <v>1227</v>
      </c>
      <c r="M91" s="240" t="s">
        <v>1342</v>
      </c>
      <c r="O91" s="240" t="s">
        <v>1418</v>
      </c>
      <c r="P91" s="240">
        <f>COUNTA('Polish-Resistant Data'!E21:E33)</f>
        <v>0</v>
      </c>
      <c r="AA91" s="1183" t="str">
        <f>CONCATENATE(LEFT(AA90,2)+1," - 1")</f>
        <v>70 - 1</v>
      </c>
      <c r="AB91" s="972" t="str">
        <f>CONCATENATE(LEFT(AB90,2)," - 4")</f>
        <v>77 - 4</v>
      </c>
      <c r="AC91" s="972" t="str">
        <f>CONCATENATE(LEFT(AC90,2)," - 3")</f>
        <v>84 - 3</v>
      </c>
      <c r="AD91" s="972" t="str">
        <f>CONCATENATE(LEFT(AD90,2)," - 2")</f>
        <v>91 - 2</v>
      </c>
      <c r="AE91" s="1182" t="str">
        <f>CONCATENATE(LEFT(AE90,2)+1," - 1")</f>
        <v>98 - 1</v>
      </c>
      <c r="AM91" s="969" t="s">
        <v>346</v>
      </c>
      <c r="AN91" s="969" t="s">
        <v>1110</v>
      </c>
      <c r="AR91" s="315" t="s">
        <v>2456</v>
      </c>
      <c r="AS91" s="240" t="s">
        <v>2309</v>
      </c>
      <c r="AU91"/>
    </row>
    <row r="92" spans="1:47" x14ac:dyDescent="0.2">
      <c r="A92" s="240" t="s">
        <v>1200</v>
      </c>
      <c r="E92" s="983" t="s">
        <v>1167</v>
      </c>
      <c r="F92" s="240" t="str">
        <f t="shared" si="25"/>
        <v>PG76-22</v>
      </c>
      <c r="G92" s="240" t="s">
        <v>1130</v>
      </c>
      <c r="H92" s="606">
        <v>20575</v>
      </c>
      <c r="I92" s="240">
        <v>1</v>
      </c>
      <c r="J92" s="240">
        <v>0.75</v>
      </c>
      <c r="K92" s="240" t="s">
        <v>1227</v>
      </c>
      <c r="M92" s="240" t="s">
        <v>1343</v>
      </c>
      <c r="O92" s="240" t="s">
        <v>1419</v>
      </c>
      <c r="P92" s="240">
        <f>COUNTA('Polish-Resistant Data'!F21:F33)</f>
        <v>0</v>
      </c>
      <c r="AA92" s="1183" t="str">
        <f>CONCATENATE(LEFT(AA91,2)," - 2")</f>
        <v>70 - 2</v>
      </c>
      <c r="AB92" s="972" t="str">
        <f>CONCATENATE(LEFT(AB91,2)+1," - 1")</f>
        <v>78 - 1</v>
      </c>
      <c r="AC92" s="972" t="str">
        <f>CONCATENATE(LEFT(AC91,2)," - 4")</f>
        <v>84 - 4</v>
      </c>
      <c r="AD92" s="972" t="str">
        <f>CONCATENATE(LEFT(AD91,2)," - 3")</f>
        <v>91 - 3</v>
      </c>
      <c r="AE92" s="1182" t="str">
        <f>CONCATENATE(LEFT(AE91,2)," - 2")</f>
        <v>98 - 2</v>
      </c>
      <c r="AM92" s="969" t="s">
        <v>347</v>
      </c>
      <c r="AN92" s="969" t="s">
        <v>1112</v>
      </c>
      <c r="AR92" s="315" t="s">
        <v>2457</v>
      </c>
      <c r="AS92" s="240" t="s">
        <v>2318</v>
      </c>
      <c r="AU92"/>
    </row>
    <row r="93" spans="1:47" x14ac:dyDescent="0.2">
      <c r="A93" s="240" t="s">
        <v>1201</v>
      </c>
      <c r="E93" s="998" t="s">
        <v>1168</v>
      </c>
      <c r="F93" s="240" t="str">
        <f t="shared" si="25"/>
        <v>PG64-22</v>
      </c>
      <c r="G93" s="240" t="s">
        <v>1130</v>
      </c>
      <c r="H93" s="606">
        <v>20600</v>
      </c>
      <c r="I93" s="240">
        <v>1.5</v>
      </c>
      <c r="J93" s="240">
        <v>1</v>
      </c>
      <c r="K93" s="240" t="s">
        <v>1227</v>
      </c>
      <c r="M93" s="240" t="s">
        <v>1344</v>
      </c>
      <c r="O93" s="240" t="s">
        <v>1420</v>
      </c>
      <c r="P93" s="240">
        <f>COUNTA('Polish-Resistant Data'!G21:G33)</f>
        <v>0</v>
      </c>
      <c r="AA93" s="1183" t="str">
        <f>CONCATENATE(LEFT(AA92,2)," - 3")</f>
        <v>70 - 3</v>
      </c>
      <c r="AB93" s="972" t="str">
        <f>CONCATENATE(LEFT(AB92,2)," - 2")</f>
        <v>78 - 2</v>
      </c>
      <c r="AC93" s="972" t="str">
        <f>CONCATENATE(LEFT(AC92,2)+1," - 1")</f>
        <v>85 - 1</v>
      </c>
      <c r="AD93" s="972" t="str">
        <f>CONCATENATE(LEFT(AD92,2)," - 4")</f>
        <v>91 - 4</v>
      </c>
      <c r="AE93" s="1182" t="str">
        <f>CONCATENATE(LEFT(AE92,2)," - 3")</f>
        <v>98 - 3</v>
      </c>
      <c r="AM93" s="969" t="s">
        <v>1474</v>
      </c>
      <c r="AN93" s="969" t="s">
        <v>1475</v>
      </c>
      <c r="AR93" s="315" t="s">
        <v>2458</v>
      </c>
      <c r="AS93" s="240" t="s">
        <v>2285</v>
      </c>
      <c r="AU93"/>
    </row>
    <row r="94" spans="1:47" x14ac:dyDescent="0.2">
      <c r="A94" s="240" t="s">
        <v>1202</v>
      </c>
      <c r="E94" s="983" t="s">
        <v>1167</v>
      </c>
      <c r="F94" s="240" t="str">
        <f t="shared" si="25"/>
        <v>PG76-22</v>
      </c>
      <c r="G94" s="240" t="s">
        <v>1130</v>
      </c>
      <c r="H94" s="606">
        <v>20600</v>
      </c>
      <c r="I94" s="240">
        <v>1.5</v>
      </c>
      <c r="J94" s="240">
        <v>1</v>
      </c>
      <c r="K94" s="240" t="s">
        <v>1227</v>
      </c>
      <c r="M94" s="240" t="s">
        <v>1345</v>
      </c>
      <c r="AA94" s="1183" t="str">
        <f>CONCATENATE(LEFT(AA93,2)," - 4")</f>
        <v>70 - 4</v>
      </c>
      <c r="AB94" s="972" t="str">
        <f>CONCATENATE(LEFT(AB93,2)," - 3")</f>
        <v>78 - 3</v>
      </c>
      <c r="AC94" s="972" t="str">
        <f>CONCATENATE(LEFT(AC93,2)," - 2")</f>
        <v>85 - 2</v>
      </c>
      <c r="AD94" s="972" t="str">
        <f>CONCATENATE(LEFT(AD93,2)+1," - 1")</f>
        <v>92 - 1</v>
      </c>
      <c r="AE94" s="1182" t="str">
        <f>CONCATENATE(LEFT(AE93,2)," - 4")</f>
        <v>98 - 4</v>
      </c>
      <c r="AM94" s="969" t="s">
        <v>1432</v>
      </c>
      <c r="AN94" s="969" t="s">
        <v>1111</v>
      </c>
      <c r="AR94" s="315" t="s">
        <v>2459</v>
      </c>
      <c r="AS94" s="240" t="s">
        <v>2290</v>
      </c>
      <c r="AU94"/>
    </row>
    <row r="95" spans="1:47" x14ac:dyDescent="0.2">
      <c r="A95" s="240" t="s">
        <v>1203</v>
      </c>
      <c r="E95" s="998" t="s">
        <v>1168</v>
      </c>
      <c r="F95" s="240" t="str">
        <f t="shared" si="25"/>
        <v>PG64-22</v>
      </c>
      <c r="G95" s="240" t="s">
        <v>1130</v>
      </c>
      <c r="H95" s="606">
        <v>20625</v>
      </c>
      <c r="I95" s="240">
        <v>2</v>
      </c>
      <c r="J95" s="240">
        <v>1.5</v>
      </c>
      <c r="K95" s="240" t="s">
        <v>1227</v>
      </c>
      <c r="M95" s="240" t="s">
        <v>1346</v>
      </c>
      <c r="AA95" s="1183" t="str">
        <f>CONCATENATE(LEFT(AA94,2)+1," - 1")</f>
        <v>71 - 1</v>
      </c>
      <c r="AB95" s="972" t="str">
        <f>CONCATENATE(LEFT(AB94,2)," - 4")</f>
        <v>78 - 4</v>
      </c>
      <c r="AC95" s="972" t="str">
        <f>CONCATENATE(LEFT(AC94,2)," - 3")</f>
        <v>85 - 3</v>
      </c>
      <c r="AD95" s="972" t="str">
        <f>CONCATENATE(LEFT(AD94,2)," - 2")</f>
        <v>92 - 2</v>
      </c>
      <c r="AE95" s="1182" t="str">
        <f>CONCATENATE(LEFT(AE94,2)+1," - 1")</f>
        <v>99 - 1</v>
      </c>
      <c r="AM95" s="969" t="s">
        <v>348</v>
      </c>
      <c r="AN95" s="969" t="s">
        <v>1113</v>
      </c>
      <c r="AR95" s="315" t="s">
        <v>2460</v>
      </c>
      <c r="AS95" s="240" t="s">
        <v>2289</v>
      </c>
      <c r="AU95"/>
    </row>
    <row r="96" spans="1:47" x14ac:dyDescent="0.2">
      <c r="A96" s="240" t="s">
        <v>1204</v>
      </c>
      <c r="E96" s="983" t="s">
        <v>1167</v>
      </c>
      <c r="F96" s="240" t="str">
        <f t="shared" si="25"/>
        <v>PG76-22</v>
      </c>
      <c r="G96" s="240" t="s">
        <v>1130</v>
      </c>
      <c r="H96" s="606">
        <v>20625</v>
      </c>
      <c r="I96" s="240">
        <v>2</v>
      </c>
      <c r="J96" s="240">
        <v>1.5</v>
      </c>
      <c r="K96" s="240" t="s">
        <v>1227</v>
      </c>
      <c r="M96" s="240" t="s">
        <v>1347</v>
      </c>
      <c r="O96" s="1057"/>
      <c r="P96" s="1057"/>
      <c r="Q96" s="1057"/>
      <c r="R96"/>
      <c r="AA96" s="1183" t="str">
        <f>CONCATENATE(LEFT(AA95,2)," - 2")</f>
        <v>71 - 2</v>
      </c>
      <c r="AB96" s="972" t="str">
        <f>CONCATENATE(LEFT(AB95,2)+1," - 1")</f>
        <v>79 - 1</v>
      </c>
      <c r="AC96" s="972" t="str">
        <f>CONCATENATE(LEFT(AC95,2)," - 4")</f>
        <v>85 - 4</v>
      </c>
      <c r="AD96" s="972" t="str">
        <f>CONCATENATE(LEFT(AD95,2)," - 3")</f>
        <v>92 - 3</v>
      </c>
      <c r="AE96" s="1182" t="str">
        <f>CONCATENATE(LEFT(AE95,2)," - 2")</f>
        <v>99 - 2</v>
      </c>
      <c r="AM96" s="969" t="s">
        <v>2400</v>
      </c>
      <c r="AN96" s="969" t="s">
        <v>2401</v>
      </c>
      <c r="AR96" s="994" t="s">
        <v>2351</v>
      </c>
      <c r="AS96" s="995">
        <v>24035</v>
      </c>
      <c r="AU96"/>
    </row>
    <row r="97" spans="1:47" x14ac:dyDescent="0.2">
      <c r="A97" s="240" t="s">
        <v>1189</v>
      </c>
      <c r="E97" s="998" t="s">
        <v>1168</v>
      </c>
      <c r="F97" s="240" t="str">
        <f t="shared" si="25"/>
        <v>PG64-22</v>
      </c>
      <c r="G97" s="240" t="s">
        <v>1130</v>
      </c>
      <c r="H97" s="606">
        <v>20575</v>
      </c>
      <c r="I97" s="240">
        <v>1</v>
      </c>
      <c r="J97" s="240">
        <v>0.75</v>
      </c>
      <c r="K97" s="240" t="s">
        <v>1227</v>
      </c>
      <c r="M97" s="240" t="s">
        <v>1348</v>
      </c>
      <c r="O97"/>
      <c r="P97" s="1057"/>
      <c r="Q97" s="1057"/>
      <c r="R97"/>
      <c r="AA97" s="1183" t="str">
        <f>CONCATENATE(LEFT(AA96,2)," - 3")</f>
        <v>71 - 3</v>
      </c>
      <c r="AB97" s="972" t="str">
        <f>CONCATENATE(LEFT(AB96,2)," - 2")</f>
        <v>79 - 2</v>
      </c>
      <c r="AC97" s="972" t="str">
        <f>CONCATENATE(LEFT(AC96,2)+1," - 1")</f>
        <v>86 - 1</v>
      </c>
      <c r="AD97" s="972" t="str">
        <f>CONCATENATE(LEFT(AD96,2)," - 4")</f>
        <v>92 - 4</v>
      </c>
      <c r="AE97" s="1182" t="str">
        <f>CONCATENATE(LEFT(AE96,2)," - 3")</f>
        <v>99 - 3</v>
      </c>
      <c r="AM97" s="969" t="s">
        <v>2661</v>
      </c>
      <c r="AN97" s="969" t="s">
        <v>2662</v>
      </c>
      <c r="AR97" s="994" t="s">
        <v>1043</v>
      </c>
      <c r="AS97" s="984" t="s">
        <v>2300</v>
      </c>
      <c r="AU97"/>
    </row>
    <row r="98" spans="1:47" x14ac:dyDescent="0.2">
      <c r="A98" s="240" t="s">
        <v>1190</v>
      </c>
      <c r="E98" s="983" t="s">
        <v>1167</v>
      </c>
      <c r="F98" s="240" t="str">
        <f t="shared" si="25"/>
        <v>PG76-22</v>
      </c>
      <c r="G98" s="240" t="s">
        <v>1130</v>
      </c>
      <c r="H98" s="606">
        <v>20575</v>
      </c>
      <c r="I98" s="240">
        <v>1</v>
      </c>
      <c r="J98" s="240">
        <v>0.75</v>
      </c>
      <c r="K98" s="240" t="s">
        <v>1227</v>
      </c>
      <c r="M98" s="240" t="s">
        <v>1349</v>
      </c>
      <c r="O98"/>
      <c r="P98" s="1057"/>
      <c r="Q98" s="1057"/>
      <c r="R98"/>
      <c r="AA98" s="1183" t="str">
        <f>CONCATENATE(LEFT(AA97,2)," - 4")</f>
        <v>71 - 4</v>
      </c>
      <c r="AB98" s="972" t="str">
        <f>CONCATENATE(LEFT(AB97,2)," - 3")</f>
        <v>79 - 3</v>
      </c>
      <c r="AC98" s="972" t="str">
        <f>CONCATENATE(LEFT(AC97,2)," - 2")</f>
        <v>86 - 2</v>
      </c>
      <c r="AD98" s="972" t="str">
        <f>CONCATENATE(LEFT(AD97,2)+1," - 1")</f>
        <v>93 - 1</v>
      </c>
      <c r="AE98" s="1182" t="str">
        <f>CONCATENATE(LEFT(AE97,2)," - 4")</f>
        <v>99 - 4</v>
      </c>
      <c r="AM98" s="969" t="s">
        <v>349</v>
      </c>
      <c r="AN98" s="969" t="s">
        <v>1114</v>
      </c>
      <c r="AR98" s="994" t="s">
        <v>1044</v>
      </c>
      <c r="AS98" s="984" t="s">
        <v>2306</v>
      </c>
      <c r="AU98"/>
    </row>
    <row r="99" spans="1:47" x14ac:dyDescent="0.2">
      <c r="A99" s="240" t="s">
        <v>1191</v>
      </c>
      <c r="E99" s="998" t="s">
        <v>1168</v>
      </c>
      <c r="F99" s="240" t="str">
        <f t="shared" si="25"/>
        <v>PG64-22</v>
      </c>
      <c r="G99" s="240" t="s">
        <v>1130</v>
      </c>
      <c r="H99" s="606">
        <v>20600</v>
      </c>
      <c r="I99" s="240">
        <v>1.5</v>
      </c>
      <c r="J99" s="240">
        <v>1</v>
      </c>
      <c r="K99" s="240" t="s">
        <v>1227</v>
      </c>
      <c r="M99" s="240" t="s">
        <v>1350</v>
      </c>
      <c r="O99"/>
      <c r="P99" s="1057"/>
      <c r="Q99" s="1057"/>
      <c r="R99" s="1057"/>
      <c r="AA99" s="1183" t="str">
        <f>CONCATENATE(LEFT(AA98,2)+1," - 1")</f>
        <v>72 - 1</v>
      </c>
      <c r="AB99" s="972" t="str">
        <f>CONCATENATE(LEFT(AB98,2)," - 4")</f>
        <v>79 - 4</v>
      </c>
      <c r="AC99" s="972" t="str">
        <f>CONCATENATE(LEFT(AC98,2)," - 3")</f>
        <v>86 - 3</v>
      </c>
      <c r="AD99" s="972" t="str">
        <f>CONCATENATE(LEFT(AD98,2)," - 2")</f>
        <v>93 - 2</v>
      </c>
      <c r="AE99" s="1182" t="str">
        <f>CONCATENATE(LEFT(AE98,2)+1," - 1")</f>
        <v>100 - 1</v>
      </c>
      <c r="AM99" s="969" t="s">
        <v>350</v>
      </c>
      <c r="AN99" s="969" t="s">
        <v>747</v>
      </c>
      <c r="AR99" s="994" t="s">
        <v>1045</v>
      </c>
      <c r="AS99" s="984" t="s">
        <v>2309</v>
      </c>
      <c r="AU99"/>
    </row>
    <row r="100" spans="1:47" x14ac:dyDescent="0.2">
      <c r="A100" s="240" t="s">
        <v>1192</v>
      </c>
      <c r="E100" s="983" t="s">
        <v>1167</v>
      </c>
      <c r="F100" s="240" t="str">
        <f t="shared" si="25"/>
        <v>PG76-22</v>
      </c>
      <c r="G100" s="240" t="s">
        <v>1130</v>
      </c>
      <c r="H100" s="606">
        <v>20600</v>
      </c>
      <c r="I100" s="240">
        <v>1.5</v>
      </c>
      <c r="J100" s="240">
        <v>1</v>
      </c>
      <c r="K100" s="240" t="s">
        <v>1227</v>
      </c>
      <c r="M100" s="240" t="s">
        <v>1351</v>
      </c>
      <c r="O100"/>
      <c r="P100"/>
      <c r="Q100"/>
      <c r="R100"/>
      <c r="AA100" s="1183" t="str">
        <f>CONCATENATE(LEFT(AA99,2)," - 2")</f>
        <v>72 - 2</v>
      </c>
      <c r="AB100" s="972" t="str">
        <f>CONCATENATE(LEFT(AB99,2)+1," - 1")</f>
        <v>80 - 1</v>
      </c>
      <c r="AC100" s="972" t="str">
        <f>CONCATENATE(LEFT(AC99,2)," - 4")</f>
        <v>86 - 4</v>
      </c>
      <c r="AD100" s="972" t="str">
        <f>CONCATENATE(LEFT(AD99,2)," - 3")</f>
        <v>93 - 3</v>
      </c>
      <c r="AE100" s="1182" t="str">
        <f>CONCATENATE(LEFT(AE99,3)," - 2")</f>
        <v>100 - 2</v>
      </c>
      <c r="AM100" s="969" t="s">
        <v>351</v>
      </c>
      <c r="AN100" s="969" t="s">
        <v>2474</v>
      </c>
      <c r="AR100" s="994" t="s">
        <v>1046</v>
      </c>
      <c r="AS100" s="984" t="s">
        <v>2318</v>
      </c>
      <c r="AU100"/>
    </row>
    <row r="101" spans="1:47" x14ac:dyDescent="0.2">
      <c r="A101" s="240" t="s">
        <v>1193</v>
      </c>
      <c r="E101" s="998" t="s">
        <v>1168</v>
      </c>
      <c r="F101" s="240" t="str">
        <f t="shared" si="25"/>
        <v>PG64-22</v>
      </c>
      <c r="G101" s="240" t="s">
        <v>1130</v>
      </c>
      <c r="H101" s="606">
        <v>20625</v>
      </c>
      <c r="I101" s="240">
        <v>2</v>
      </c>
      <c r="J101" s="240">
        <v>1.5</v>
      </c>
      <c r="K101" s="240" t="s">
        <v>1227</v>
      </c>
      <c r="M101" s="240" t="s">
        <v>1352</v>
      </c>
      <c r="O101"/>
      <c r="P101"/>
      <c r="Q101"/>
      <c r="R101"/>
      <c r="AA101" s="1183" t="str">
        <f>CONCATENATE(LEFT(AA100,2)," - 3")</f>
        <v>72 - 3</v>
      </c>
      <c r="AB101" s="972" t="str">
        <f>CONCATENATE(LEFT(AB100,2)," - 2")</f>
        <v>80 - 2</v>
      </c>
      <c r="AC101" s="972" t="str">
        <f>CONCATENATE(LEFT(AC100,2)+1," - 1")</f>
        <v>87 - 1</v>
      </c>
      <c r="AD101" s="972" t="str">
        <f>CONCATENATE(LEFT(AD100,2)," - 4")</f>
        <v>93 - 4</v>
      </c>
      <c r="AE101" s="1182" t="str">
        <f>CONCATENATE(LEFT(AE100,3)," - 3")</f>
        <v>100 - 3</v>
      </c>
      <c r="AM101" s="969" t="s">
        <v>2472</v>
      </c>
      <c r="AN101" s="969" t="s">
        <v>2473</v>
      </c>
      <c r="AR101" s="994" t="s">
        <v>1047</v>
      </c>
      <c r="AS101" s="984" t="s">
        <v>989</v>
      </c>
      <c r="AU101"/>
    </row>
    <row r="102" spans="1:47" x14ac:dyDescent="0.2">
      <c r="A102" s="240" t="s">
        <v>1194</v>
      </c>
      <c r="E102" s="983" t="s">
        <v>1167</v>
      </c>
      <c r="F102" s="240" t="str">
        <f t="shared" si="25"/>
        <v>PG76-22</v>
      </c>
      <c r="G102" s="240" t="s">
        <v>1130</v>
      </c>
      <c r="H102" s="606">
        <v>20625</v>
      </c>
      <c r="I102" s="240">
        <v>2</v>
      </c>
      <c r="J102" s="240">
        <v>1.5</v>
      </c>
      <c r="K102" s="240" t="s">
        <v>1227</v>
      </c>
      <c r="M102" s="240" t="s">
        <v>1353</v>
      </c>
      <c r="O102" s="1057"/>
      <c r="P102" s="1057"/>
      <c r="Q102" s="1059"/>
      <c r="R102" s="1059"/>
      <c r="AA102" s="1183" t="str">
        <f>CONCATENATE(LEFT(AA101,2)," - 4")</f>
        <v>72 - 4</v>
      </c>
      <c r="AB102" s="972" t="str">
        <f>CONCATENATE(LEFT(AB101,2)," - 3")</f>
        <v>80 - 3</v>
      </c>
      <c r="AC102" s="972" t="str">
        <f>CONCATENATE(LEFT(AC101,2)," - 2")</f>
        <v>87 - 2</v>
      </c>
      <c r="AD102" s="972" t="str">
        <f>CONCATENATE(LEFT(AD101,2)+1," - 1")</f>
        <v>94 - 1</v>
      </c>
      <c r="AE102" s="1182" t="str">
        <f>CONCATENATE(LEFT(AE101,3)," - 4")</f>
        <v>100 - 4</v>
      </c>
      <c r="AM102" s="969" t="s">
        <v>355</v>
      </c>
      <c r="AN102" s="969" t="s">
        <v>1094</v>
      </c>
      <c r="AR102" t="s">
        <v>1108</v>
      </c>
      <c r="AS102" s="240" t="s">
        <v>2298</v>
      </c>
      <c r="AU102"/>
    </row>
    <row r="103" spans="1:47" x14ac:dyDescent="0.2">
      <c r="A103" s="240" t="s">
        <v>1156</v>
      </c>
      <c r="E103" s="998" t="s">
        <v>1168</v>
      </c>
      <c r="F103" s="240" t="s">
        <v>1115</v>
      </c>
      <c r="G103" s="240" t="s">
        <v>1130</v>
      </c>
      <c r="H103" s="240">
        <v>20225</v>
      </c>
      <c r="I103" s="240">
        <v>0.5</v>
      </c>
      <c r="J103" s="240">
        <v>0.38</v>
      </c>
      <c r="K103" s="240" t="s">
        <v>1227</v>
      </c>
      <c r="M103" s="240" t="s">
        <v>1354</v>
      </c>
      <c r="O103"/>
      <c r="P103" s="1057"/>
      <c r="Q103" s="1059"/>
      <c r="R103" s="1059"/>
      <c r="AA103" s="1183" t="str">
        <f>CONCATENATE(LEFT(AA102,2)+1," - 1")</f>
        <v>73 - 1</v>
      </c>
      <c r="AB103" s="972" t="str">
        <f>CONCATENATE(LEFT(AB102,2)," - 4")</f>
        <v>80 - 4</v>
      </c>
      <c r="AC103" s="972" t="str">
        <f>CONCATENATE(LEFT(AC102,2)," - 3")</f>
        <v>87 - 3</v>
      </c>
      <c r="AD103" s="972" t="str">
        <f>CONCATENATE(LEFT(AD102,2)," - 2")</f>
        <v>94 - 2</v>
      </c>
      <c r="AE103" s="1182" t="str">
        <f>CONCATENATE(LEFT(AE102,3)+1," - 1")</f>
        <v>101 - 1</v>
      </c>
      <c r="AM103" s="969" t="s">
        <v>356</v>
      </c>
      <c r="AN103" s="969" t="s">
        <v>1082</v>
      </c>
      <c r="AR103" s="994" t="s">
        <v>1482</v>
      </c>
      <c r="AS103" s="995" t="s">
        <v>2300</v>
      </c>
      <c r="AU103"/>
    </row>
    <row r="104" spans="1:47" x14ac:dyDescent="0.2">
      <c r="A104" s="240" t="s">
        <v>1157</v>
      </c>
      <c r="E104" s="998" t="s">
        <v>1168</v>
      </c>
      <c r="F104" s="240" t="s">
        <v>1115</v>
      </c>
      <c r="G104" s="240" t="s">
        <v>1130</v>
      </c>
      <c r="H104" s="240">
        <v>20225</v>
      </c>
      <c r="I104" s="240">
        <v>0.75</v>
      </c>
      <c r="J104" s="240">
        <v>0.5</v>
      </c>
      <c r="K104" s="240" t="s">
        <v>1227</v>
      </c>
      <c r="M104" s="240" t="s">
        <v>1355</v>
      </c>
      <c r="O104"/>
      <c r="P104" s="1057"/>
      <c r="Q104" s="1059"/>
      <c r="R104" s="1059"/>
      <c r="AA104" s="1183" t="str">
        <f>CONCATENATE(LEFT(AA103,2)," - 2")</f>
        <v>73 - 2</v>
      </c>
      <c r="AB104" s="972" t="str">
        <f>CONCATENATE(LEFT(AB103,2)+1," - 1")</f>
        <v>81 - 1</v>
      </c>
      <c r="AC104" s="972" t="str">
        <f>CONCATENATE(LEFT(AC103,2)," - 4")</f>
        <v>87 - 4</v>
      </c>
      <c r="AD104" s="972" t="str">
        <f>CONCATENATE(LEFT(AD103,2)," - 3")</f>
        <v>94 - 3</v>
      </c>
      <c r="AE104" s="1182" t="str">
        <f>CONCATENATE(LEFT(AE103,3)," - 2")</f>
        <v>101 - 2</v>
      </c>
      <c r="AM104" s="969" t="s">
        <v>2367</v>
      </c>
      <c r="AN104" s="969" t="s">
        <v>2368</v>
      </c>
      <c r="AR104" s="994" t="s">
        <v>1483</v>
      </c>
      <c r="AS104" s="995" t="s">
        <v>2301</v>
      </c>
      <c r="AU104"/>
    </row>
    <row r="105" spans="1:47" x14ac:dyDescent="0.2">
      <c r="A105" s="240" t="s">
        <v>1158</v>
      </c>
      <c r="E105" s="998" t="s">
        <v>1168</v>
      </c>
      <c r="F105" s="240" t="s">
        <v>1115</v>
      </c>
      <c r="G105" s="240" t="s">
        <v>1130</v>
      </c>
      <c r="H105" s="240">
        <v>20225</v>
      </c>
      <c r="I105" s="240">
        <v>1</v>
      </c>
      <c r="J105" s="240">
        <v>0.75</v>
      </c>
      <c r="K105" s="240" t="s">
        <v>1227</v>
      </c>
      <c r="M105" s="240" t="s">
        <v>1356</v>
      </c>
      <c r="O105"/>
      <c r="P105" s="1057"/>
      <c r="Q105" s="1059"/>
      <c r="R105" s="1059"/>
      <c r="AA105" s="1183" t="str">
        <f>CONCATENATE(LEFT(AA104,2)," - 3")</f>
        <v>73 - 3</v>
      </c>
      <c r="AB105" s="972" t="str">
        <f>CONCATENATE(LEFT(AB104,2)," - 2")</f>
        <v>81 - 2</v>
      </c>
      <c r="AC105" s="972" t="str">
        <f>CONCATENATE(LEFT(AC104,2)+1," - 1")</f>
        <v>88 - 1</v>
      </c>
      <c r="AD105" s="972" t="str">
        <f>CONCATENATE(LEFT(AD104,2)," - 4")</f>
        <v>94 - 4</v>
      </c>
      <c r="AE105" s="1182" t="str">
        <f>CONCATENATE(LEFT(AE104,3)," - 3")</f>
        <v>101 - 3</v>
      </c>
      <c r="AM105" s="969" t="s">
        <v>2369</v>
      </c>
      <c r="AN105" s="969" t="s">
        <v>1437</v>
      </c>
      <c r="AR105" s="994" t="s">
        <v>1484</v>
      </c>
      <c r="AS105" s="984" t="s">
        <v>2303</v>
      </c>
      <c r="AU105"/>
    </row>
    <row r="106" spans="1:47" x14ac:dyDescent="0.2">
      <c r="A106" s="240" t="s">
        <v>1159</v>
      </c>
      <c r="E106" s="998" t="s">
        <v>1168</v>
      </c>
      <c r="F106" s="240" t="s">
        <v>1115</v>
      </c>
      <c r="G106" s="240" t="s">
        <v>1130</v>
      </c>
      <c r="H106" s="240">
        <v>20225</v>
      </c>
      <c r="I106" s="240">
        <v>1.5</v>
      </c>
      <c r="J106" s="240">
        <v>1</v>
      </c>
      <c r="K106" s="240" t="s">
        <v>1227</v>
      </c>
      <c r="M106" s="240" t="s">
        <v>1357</v>
      </c>
      <c r="O106"/>
      <c r="P106"/>
      <c r="Q106"/>
      <c r="R106"/>
      <c r="AA106" s="1183" t="str">
        <f>CONCATENATE(LEFT(AA105,2)," - 4")</f>
        <v>73 - 4</v>
      </c>
      <c r="AB106" s="972" t="str">
        <f>CONCATENATE(LEFT(AB105,2)," - 3")</f>
        <v>81 - 3</v>
      </c>
      <c r="AC106" s="972" t="str">
        <f>CONCATENATE(LEFT(AC105,2)," - 2")</f>
        <v>88 - 2</v>
      </c>
      <c r="AD106" s="972" t="str">
        <f>CONCATENATE(LEFT(AD105,2)+1," - 1")</f>
        <v>95 - 1</v>
      </c>
      <c r="AE106" s="1182" t="str">
        <f>CONCATENATE(LEFT(AE105,3)," - 4")</f>
        <v>101 - 4</v>
      </c>
      <c r="AM106" s="969" t="s">
        <v>2370</v>
      </c>
      <c r="AN106" s="969" t="s">
        <v>2371</v>
      </c>
      <c r="AR106" s="994" t="s">
        <v>1485</v>
      </c>
      <c r="AS106" s="995" t="s">
        <v>2304</v>
      </c>
      <c r="AU106"/>
    </row>
    <row r="107" spans="1:47" x14ac:dyDescent="0.2">
      <c r="A107" s="240" t="s">
        <v>1160</v>
      </c>
      <c r="E107" s="998" t="s">
        <v>1168</v>
      </c>
      <c r="F107" s="240" t="s">
        <v>1115</v>
      </c>
      <c r="G107" s="240" t="s">
        <v>1130</v>
      </c>
      <c r="H107" s="240">
        <v>20225</v>
      </c>
      <c r="I107" s="240">
        <v>2</v>
      </c>
      <c r="J107" s="240">
        <v>1.5</v>
      </c>
      <c r="K107" s="240" t="s">
        <v>1227</v>
      </c>
      <c r="M107" s="240" t="s">
        <v>1358</v>
      </c>
      <c r="O107"/>
      <c r="P107"/>
      <c r="Q107"/>
      <c r="R107"/>
      <c r="AA107" s="1183" t="str">
        <f>CONCATENATE(LEFT(AA106,2)+1," - 1")</f>
        <v>74 - 1</v>
      </c>
      <c r="AB107" s="972" t="str">
        <f>CONCATENATE(LEFT(AB106,2)," - 4")</f>
        <v>81 - 4</v>
      </c>
      <c r="AC107" s="972" t="str">
        <f>CONCATENATE(LEFT(AC106,2)," - 3")</f>
        <v>88 - 3</v>
      </c>
      <c r="AD107" s="972" t="str">
        <f>CONCATENATE(LEFT(AD106,2)," - 2")</f>
        <v>95 - 2</v>
      </c>
      <c r="AE107" s="1182" t="str">
        <f>CONCATENATE(LEFT(AE106,3)+1," - 1")</f>
        <v>102 - 1</v>
      </c>
      <c r="AM107" s="969" t="s">
        <v>2372</v>
      </c>
      <c r="AN107" s="969" t="s">
        <v>2155</v>
      </c>
      <c r="AR107" s="994" t="s">
        <v>1486</v>
      </c>
      <c r="AS107" s="984" t="s">
        <v>2306</v>
      </c>
      <c r="AU107"/>
    </row>
    <row r="108" spans="1:47" x14ac:dyDescent="0.2">
      <c r="A108" s="240" t="s">
        <v>929</v>
      </c>
      <c r="E108" s="998" t="s">
        <v>1168</v>
      </c>
      <c r="F108" s="240" t="str">
        <f>RIGHT(A108,7)</f>
        <v>PG64-22</v>
      </c>
      <c r="G108" s="240" t="s">
        <v>1130</v>
      </c>
      <c r="H108" s="240">
        <v>20050</v>
      </c>
      <c r="I108" s="240">
        <v>0.5</v>
      </c>
      <c r="J108" s="240" t="s">
        <v>1223</v>
      </c>
      <c r="K108" s="240" t="s">
        <v>1227</v>
      </c>
      <c r="L108" s="240" t="s">
        <v>166</v>
      </c>
      <c r="M108" s="240" t="s">
        <v>1359</v>
      </c>
      <c r="O108" s="1057"/>
      <c r="P108" s="1057"/>
      <c r="Q108" s="1057"/>
      <c r="R108" s="1057"/>
      <c r="AA108" s="1183" t="str">
        <f>CONCATENATE(LEFT(AA107,2)," - 2")</f>
        <v>74 - 2</v>
      </c>
      <c r="AB108" s="972" t="str">
        <f>CONCATENATE(LEFT(AB107,2)+1," - 1")</f>
        <v>82 - 1</v>
      </c>
      <c r="AC108" s="972" t="str">
        <f>CONCATENATE(LEFT(AC107,2)," - 4")</f>
        <v>88 - 4</v>
      </c>
      <c r="AD108" s="972" t="str">
        <f>CONCATENATE(LEFT(AD107,2)," - 3")</f>
        <v>95 - 3</v>
      </c>
      <c r="AE108" s="1182" t="str">
        <f>CONCATENATE(LEFT(AE107,3)," - 2")</f>
        <v>102 - 2</v>
      </c>
      <c r="AM108" s="969" t="s">
        <v>2663</v>
      </c>
      <c r="AN108" s="969" t="s">
        <v>2664</v>
      </c>
      <c r="AR108" s="994" t="s">
        <v>1487</v>
      </c>
      <c r="AS108" s="995" t="s">
        <v>2307</v>
      </c>
      <c r="AU108"/>
    </row>
    <row r="109" spans="1:47" x14ac:dyDescent="0.2">
      <c r="A109" s="240" t="s">
        <v>930</v>
      </c>
      <c r="E109" s="983" t="s">
        <v>1167</v>
      </c>
      <c r="F109" s="240" t="str">
        <f>RIGHT(A109,7)</f>
        <v>PG76-22</v>
      </c>
      <c r="G109" s="240" t="s">
        <v>1130</v>
      </c>
      <c r="H109" s="240">
        <v>20050</v>
      </c>
      <c r="I109" s="240">
        <v>0.5</v>
      </c>
      <c r="J109" s="240" t="s">
        <v>1223</v>
      </c>
      <c r="K109" s="240" t="s">
        <v>1227</v>
      </c>
      <c r="L109" s="240" t="s">
        <v>166</v>
      </c>
      <c r="M109" s="240" t="s">
        <v>1360</v>
      </c>
      <c r="O109"/>
      <c r="P109" s="1057"/>
      <c r="Q109" s="1057"/>
      <c r="R109" s="1057"/>
      <c r="AA109" s="1183" t="str">
        <f>CONCATENATE(LEFT(AA108,2)," - 3")</f>
        <v>74 - 3</v>
      </c>
      <c r="AB109" s="972" t="str">
        <f>CONCATENATE(LEFT(AB108,2)," - 2")</f>
        <v>82 - 2</v>
      </c>
      <c r="AC109" s="972" t="str">
        <f>CONCATENATE(LEFT(AC108,2)+1," - 1")</f>
        <v>89 - 1</v>
      </c>
      <c r="AD109" s="972" t="str">
        <f>CONCATENATE(LEFT(AD108,2)," - 4")</f>
        <v>95 - 4</v>
      </c>
      <c r="AE109" s="1182" t="str">
        <f>CONCATENATE(LEFT(AE108,3)," - 3")</f>
        <v>102 - 3</v>
      </c>
      <c r="AM109" s="969" t="s">
        <v>357</v>
      </c>
      <c r="AN109" s="969" t="s">
        <v>1081</v>
      </c>
      <c r="AQ109" s="991"/>
      <c r="AR109" s="994" t="s">
        <v>1488</v>
      </c>
      <c r="AS109" s="984" t="s">
        <v>2309</v>
      </c>
      <c r="AU109"/>
    </row>
    <row r="110" spans="1:47" x14ac:dyDescent="0.2">
      <c r="A110" s="240" t="s">
        <v>931</v>
      </c>
      <c r="E110" s="998" t="s">
        <v>1168</v>
      </c>
      <c r="F110" s="240" t="s">
        <v>1115</v>
      </c>
      <c r="G110" s="240" t="s">
        <v>1130</v>
      </c>
      <c r="H110" s="240">
        <v>20075</v>
      </c>
      <c r="I110" s="240">
        <v>0.5</v>
      </c>
      <c r="J110" s="240" t="s">
        <v>1224</v>
      </c>
      <c r="K110" s="240" t="s">
        <v>1227</v>
      </c>
      <c r="M110" s="240" t="s">
        <v>1361</v>
      </c>
      <c r="O110"/>
      <c r="P110" s="1057"/>
      <c r="Q110" s="1057"/>
      <c r="R110" s="1057"/>
      <c r="AA110" s="1183" t="str">
        <f>CONCATENATE(LEFT(AA109,2)," - 4")</f>
        <v>74 - 4</v>
      </c>
      <c r="AB110" s="972" t="str">
        <f>CONCATENATE(LEFT(AB109,2)," - 3")</f>
        <v>82 - 3</v>
      </c>
      <c r="AC110" s="972" t="str">
        <f>CONCATENATE(LEFT(AC109,2)," - 2")</f>
        <v>89 - 2</v>
      </c>
      <c r="AD110" s="972" t="str">
        <f>CONCATENATE(LEFT(AD109,2)+1," - 1")</f>
        <v>96 - 1</v>
      </c>
      <c r="AE110" s="1182" t="str">
        <f>CONCATENATE(LEFT(AE109,3)," - 4")</f>
        <v>102 - 4</v>
      </c>
      <c r="AM110" s="969" t="s">
        <v>1476</v>
      </c>
      <c r="AN110" s="969" t="s">
        <v>1477</v>
      </c>
      <c r="AR110" s="994" t="s">
        <v>1489</v>
      </c>
      <c r="AS110" s="995" t="s">
        <v>2310</v>
      </c>
      <c r="AU110"/>
    </row>
    <row r="111" spans="1:47" ht="13.5" thickBot="1" x14ac:dyDescent="0.25">
      <c r="A111" s="240" t="s">
        <v>932</v>
      </c>
      <c r="E111" s="998" t="s">
        <v>1168</v>
      </c>
      <c r="F111" s="240" t="str">
        <f t="shared" ref="F111:F118" si="26">RIGHT(A111,7)</f>
        <v>PG64-22</v>
      </c>
      <c r="G111" s="240">
        <v>2</v>
      </c>
      <c r="H111" s="606">
        <v>20550</v>
      </c>
      <c r="I111" s="240">
        <v>0.75</v>
      </c>
      <c r="J111" s="240">
        <v>0.5</v>
      </c>
      <c r="K111" s="240" t="s">
        <v>1227</v>
      </c>
      <c r="M111" s="240" t="s">
        <v>1362</v>
      </c>
      <c r="O111"/>
      <c r="P111" s="1057"/>
      <c r="Q111" s="1057"/>
      <c r="R111" s="1057"/>
      <c r="AA111" s="1184" t="str">
        <f>CONCATENATE(LEFT(AA110,2)+1," - 1")</f>
        <v>75 - 1</v>
      </c>
      <c r="AB111" s="1185" t="str">
        <f>CONCATENATE(LEFT(AB110,2)," - 4")</f>
        <v>82 - 4</v>
      </c>
      <c r="AC111" s="1185" t="str">
        <f>CONCATENATE(LEFT(AC110,2)," - 3")</f>
        <v>89 - 3</v>
      </c>
      <c r="AD111" s="1185" t="str">
        <f>CONCATENATE(LEFT(AD110,2)," - 2")</f>
        <v>96 - 2</v>
      </c>
      <c r="AE111" s="1186" t="str">
        <f>CONCATENATE(LEFT(AE110,3)," - 1")</f>
        <v>102 - 1</v>
      </c>
      <c r="AM111" s="969" t="s">
        <v>2444</v>
      </c>
      <c r="AN111" s="969" t="s">
        <v>2445</v>
      </c>
      <c r="AR111" s="994" t="s">
        <v>1490</v>
      </c>
      <c r="AS111" s="984" t="s">
        <v>2318</v>
      </c>
      <c r="AU111"/>
    </row>
    <row r="112" spans="1:47" ht="14.25" thickTop="1" thickBot="1" x14ac:dyDescent="0.25">
      <c r="A112" s="240" t="s">
        <v>933</v>
      </c>
      <c r="E112" s="998" t="s">
        <v>1168</v>
      </c>
      <c r="F112" s="240" t="str">
        <f t="shared" si="26"/>
        <v>PG64-22</v>
      </c>
      <c r="G112" s="240">
        <v>3</v>
      </c>
      <c r="H112" s="606">
        <v>20550</v>
      </c>
      <c r="I112" s="240">
        <v>0.75</v>
      </c>
      <c r="J112" s="240">
        <v>0.5</v>
      </c>
      <c r="K112" s="240" t="s">
        <v>1227</v>
      </c>
      <c r="M112" s="240" t="s">
        <v>1363</v>
      </c>
      <c r="O112"/>
      <c r="P112"/>
      <c r="Q112"/>
      <c r="R112"/>
      <c r="AM112" s="969" t="s">
        <v>2405</v>
      </c>
      <c r="AN112" s="969" t="s">
        <v>2406</v>
      </c>
      <c r="AR112" s="994" t="s">
        <v>1491</v>
      </c>
      <c r="AS112" s="995" t="s">
        <v>2319</v>
      </c>
      <c r="AU112"/>
    </row>
    <row r="113" spans="1:47" ht="14.25" thickTop="1" thickBot="1" x14ac:dyDescent="0.25">
      <c r="A113" s="240" t="s">
        <v>934</v>
      </c>
      <c r="E113" s="983" t="s">
        <v>1167</v>
      </c>
      <c r="F113" s="240" t="str">
        <f t="shared" si="26"/>
        <v>PG76-22</v>
      </c>
      <c r="G113" s="240">
        <v>3</v>
      </c>
      <c r="H113" s="606">
        <v>20550</v>
      </c>
      <c r="I113" s="240">
        <v>0.75</v>
      </c>
      <c r="J113" s="240">
        <v>0.5</v>
      </c>
      <c r="K113" s="240" t="s">
        <v>1227</v>
      </c>
      <c r="M113" s="240" t="s">
        <v>1364</v>
      </c>
      <c r="O113"/>
      <c r="P113"/>
      <c r="Q113"/>
      <c r="R113"/>
      <c r="AA113" s="1176">
        <f>IF($K$48="E",AE83+1000,AE83+900)</f>
        <v>365400</v>
      </c>
      <c r="AB113" s="1177">
        <f>IF($K$48="E",AA139+1000,AA139+900)</f>
        <v>389700</v>
      </c>
      <c r="AC113" s="1177">
        <f>IF($K$48="E",AB139+1000,AB139+900)</f>
        <v>414000</v>
      </c>
      <c r="AD113" s="1177">
        <f>IF($K$48="E",AC139+1000,AC139+900)</f>
        <v>438300</v>
      </c>
      <c r="AE113" s="1178">
        <f>IF($K$48="E",AD139+1000,AD139+900)</f>
        <v>462600</v>
      </c>
      <c r="AM113" s="969" t="s">
        <v>359</v>
      </c>
      <c r="AN113" s="969" t="s">
        <v>486</v>
      </c>
      <c r="AR113" s="984" t="s">
        <v>1492</v>
      </c>
      <c r="AS113" s="995" t="s">
        <v>987</v>
      </c>
      <c r="AU113"/>
    </row>
    <row r="114" spans="1:47" ht="14.25" thickTop="1" thickBot="1" x14ac:dyDescent="0.25">
      <c r="A114" s="240" t="s">
        <v>935</v>
      </c>
      <c r="E114" s="998" t="s">
        <v>1168</v>
      </c>
      <c r="F114" s="240" t="str">
        <f t="shared" si="26"/>
        <v>PG64-22</v>
      </c>
      <c r="G114" s="240">
        <v>4</v>
      </c>
      <c r="H114" s="606">
        <v>20550</v>
      </c>
      <c r="I114" s="240">
        <v>0.75</v>
      </c>
      <c r="J114" s="240">
        <v>0.5</v>
      </c>
      <c r="K114" s="240" t="s">
        <v>1227</v>
      </c>
      <c r="M114" s="240" t="s">
        <v>1365</v>
      </c>
      <c r="O114" s="463"/>
      <c r="P114" s="130"/>
      <c r="Q114" s="462"/>
      <c r="R114"/>
      <c r="AA114" s="1179">
        <f t="shared" ref="AA114:AA139" si="27">IF($K$48="E",AA113+1000,AA113+900)</f>
        <v>366300</v>
      </c>
      <c r="AB114" s="240">
        <f t="shared" ref="AB114:AB139" si="28">IF($K$48="E",AB113+1000,AB113+900)</f>
        <v>390600</v>
      </c>
      <c r="AC114" s="240">
        <f t="shared" ref="AC114:AC139" si="29">IF($K$48="E",AC113+1000,AC113+900)</f>
        <v>414900</v>
      </c>
      <c r="AD114" s="240">
        <f t="shared" ref="AD114:AD139" si="30">IF($K$48="E",AD113+1000,AD113+900)</f>
        <v>439200</v>
      </c>
      <c r="AE114" s="1180">
        <f t="shared" ref="AE114:AE139" si="31">IF($K$48="E",AE113+1000,AE113+900)</f>
        <v>463500</v>
      </c>
      <c r="AM114" s="969" t="s">
        <v>361</v>
      </c>
      <c r="AN114" s="969" t="s">
        <v>487</v>
      </c>
      <c r="AR114" s="984" t="s">
        <v>1493</v>
      </c>
      <c r="AS114" s="995" t="s">
        <v>988</v>
      </c>
      <c r="AU114"/>
    </row>
    <row r="115" spans="1:47" ht="14.25" thickTop="1" thickBot="1" x14ac:dyDescent="0.25">
      <c r="A115" s="240" t="s">
        <v>937</v>
      </c>
      <c r="E115" s="983" t="s">
        <v>1167</v>
      </c>
      <c r="F115" s="240" t="str">
        <f t="shared" si="26"/>
        <v>PG76-22</v>
      </c>
      <c r="G115" s="240">
        <v>4</v>
      </c>
      <c r="H115" s="606">
        <v>20550</v>
      </c>
      <c r="I115" s="240">
        <v>0.75</v>
      </c>
      <c r="J115" s="240">
        <v>0.5</v>
      </c>
      <c r="K115" s="240" t="s">
        <v>1227</v>
      </c>
      <c r="M115" s="240" t="s">
        <v>1366</v>
      </c>
      <c r="O115" s="443"/>
      <c r="P115" s="1058"/>
      <c r="Q115" s="448"/>
      <c r="R115"/>
      <c r="AA115" s="1179">
        <f t="shared" si="27"/>
        <v>367200</v>
      </c>
      <c r="AB115" s="240">
        <f t="shared" si="28"/>
        <v>391500</v>
      </c>
      <c r="AC115" s="240">
        <f t="shared" si="29"/>
        <v>415800</v>
      </c>
      <c r="AD115" s="240">
        <f t="shared" si="30"/>
        <v>440100</v>
      </c>
      <c r="AE115" s="1180">
        <f t="shared" si="31"/>
        <v>464400</v>
      </c>
      <c r="AM115" s="969" t="s">
        <v>314</v>
      </c>
      <c r="AN115" s="969" t="s">
        <v>1466</v>
      </c>
      <c r="AR115" s="994" t="s">
        <v>1494</v>
      </c>
      <c r="AS115" s="984" t="s">
        <v>989</v>
      </c>
      <c r="AU115"/>
    </row>
    <row r="116" spans="1:47" ht="14.25" thickTop="1" thickBot="1" x14ac:dyDescent="0.25">
      <c r="A116" s="240" t="s">
        <v>938</v>
      </c>
      <c r="E116" s="998" t="s">
        <v>1168</v>
      </c>
      <c r="F116" s="240" t="str">
        <f t="shared" si="26"/>
        <v>PG64-22</v>
      </c>
      <c r="G116" s="240">
        <v>2</v>
      </c>
      <c r="H116" s="606">
        <v>20500</v>
      </c>
      <c r="I116" s="240">
        <v>0.5</v>
      </c>
      <c r="J116" s="240">
        <v>0.38</v>
      </c>
      <c r="K116" s="240" t="s">
        <v>1227</v>
      </c>
      <c r="M116" s="240" t="s">
        <v>1367</v>
      </c>
      <c r="O116" s="445"/>
      <c r="P116" s="108"/>
      <c r="Q116" s="448"/>
      <c r="R116"/>
      <c r="AA116" s="1179">
        <f t="shared" si="27"/>
        <v>368100</v>
      </c>
      <c r="AB116" s="240">
        <f t="shared" si="28"/>
        <v>392400</v>
      </c>
      <c r="AC116" s="240">
        <f t="shared" si="29"/>
        <v>416700</v>
      </c>
      <c r="AD116" s="240">
        <f t="shared" si="30"/>
        <v>441000</v>
      </c>
      <c r="AE116" s="1180">
        <f t="shared" si="31"/>
        <v>465300</v>
      </c>
      <c r="AM116" s="969" t="s">
        <v>315</v>
      </c>
      <c r="AN116" s="969" t="s">
        <v>2652</v>
      </c>
      <c r="AR116" s="994" t="s">
        <v>1495</v>
      </c>
      <c r="AS116" s="995" t="s">
        <v>990</v>
      </c>
      <c r="AU116"/>
    </row>
    <row r="117" spans="1:47" ht="14.25" thickTop="1" thickBot="1" x14ac:dyDescent="0.25">
      <c r="A117" s="240" t="s">
        <v>939</v>
      </c>
      <c r="E117" s="998" t="s">
        <v>1168</v>
      </c>
      <c r="F117" s="240" t="str">
        <f t="shared" si="26"/>
        <v>PG64-22</v>
      </c>
      <c r="G117" s="240">
        <v>2</v>
      </c>
      <c r="H117" s="606">
        <v>20500</v>
      </c>
      <c r="I117" s="240">
        <v>0.5</v>
      </c>
      <c r="J117" s="240">
        <v>0.38</v>
      </c>
      <c r="K117" s="240" t="s">
        <v>1227</v>
      </c>
      <c r="L117" s="240" t="s">
        <v>167</v>
      </c>
      <c r="M117" s="240" t="s">
        <v>1368</v>
      </c>
      <c r="O117" s="446"/>
      <c r="P117" s="447"/>
      <c r="Q117" s="448"/>
      <c r="R117"/>
      <c r="AA117" s="1179">
        <f t="shared" si="27"/>
        <v>369000</v>
      </c>
      <c r="AB117" s="240">
        <f t="shared" si="28"/>
        <v>393300</v>
      </c>
      <c r="AC117" s="240">
        <f t="shared" si="29"/>
        <v>417600</v>
      </c>
      <c r="AD117" s="240">
        <f t="shared" si="30"/>
        <v>441900</v>
      </c>
      <c r="AE117" s="1180">
        <f t="shared" si="31"/>
        <v>466200</v>
      </c>
      <c r="AM117" s="969" t="s">
        <v>2467</v>
      </c>
      <c r="AN117" s="969" t="s">
        <v>488</v>
      </c>
      <c r="AR117"/>
      <c r="AU117"/>
    </row>
    <row r="118" spans="1:47" ht="14.25" thickTop="1" thickBot="1" x14ac:dyDescent="0.25">
      <c r="A118" s="240" t="s">
        <v>940</v>
      </c>
      <c r="E118" s="998" t="s">
        <v>1168</v>
      </c>
      <c r="F118" s="240" t="str">
        <f t="shared" si="26"/>
        <v>PG64-22</v>
      </c>
      <c r="G118" s="240">
        <v>2</v>
      </c>
      <c r="H118" s="606">
        <v>20525</v>
      </c>
      <c r="I118" s="240">
        <v>0.75</v>
      </c>
      <c r="J118" s="240">
        <v>0.5</v>
      </c>
      <c r="K118" s="240" t="s">
        <v>1227</v>
      </c>
      <c r="M118" s="240" t="s">
        <v>1369</v>
      </c>
      <c r="O118" s="446"/>
      <c r="P118" s="447"/>
      <c r="Q118" s="448"/>
      <c r="R118"/>
      <c r="AA118" s="1179">
        <f t="shared" si="27"/>
        <v>369900</v>
      </c>
      <c r="AB118" s="240">
        <f t="shared" si="28"/>
        <v>394200</v>
      </c>
      <c r="AC118" s="240">
        <f t="shared" si="29"/>
        <v>418500</v>
      </c>
      <c r="AD118" s="240">
        <f t="shared" si="30"/>
        <v>442800</v>
      </c>
      <c r="AE118" s="1180">
        <f t="shared" si="31"/>
        <v>467100</v>
      </c>
      <c r="AM118" s="969" t="s">
        <v>2475</v>
      </c>
      <c r="AN118" s="969" t="s">
        <v>2476</v>
      </c>
      <c r="AR118"/>
      <c r="AU118"/>
    </row>
    <row r="119" spans="1:47" ht="13.5" thickTop="1" x14ac:dyDescent="0.2">
      <c r="A119" s="240" t="s">
        <v>1443</v>
      </c>
      <c r="E119" s="983" t="s">
        <v>1167</v>
      </c>
      <c r="F119" s="240" t="str">
        <f>RIGHT(A119,7)</f>
        <v>PG76-22</v>
      </c>
      <c r="G119" s="240">
        <v>2</v>
      </c>
      <c r="H119" s="606">
        <v>20500</v>
      </c>
      <c r="I119" s="240">
        <v>0.5</v>
      </c>
      <c r="J119" s="240">
        <v>0.38</v>
      </c>
      <c r="K119" s="240" t="s">
        <v>1227</v>
      </c>
      <c r="L119" s="240" t="s">
        <v>167</v>
      </c>
      <c r="M119" s="984" t="s">
        <v>1444</v>
      </c>
      <c r="AA119" s="1179">
        <f t="shared" si="27"/>
        <v>370800</v>
      </c>
      <c r="AB119" s="240">
        <f t="shared" si="28"/>
        <v>395100</v>
      </c>
      <c r="AC119" s="240">
        <f t="shared" si="29"/>
        <v>419400</v>
      </c>
      <c r="AD119" s="240">
        <f t="shared" si="30"/>
        <v>443700</v>
      </c>
      <c r="AE119" s="1180">
        <f t="shared" si="31"/>
        <v>468000</v>
      </c>
      <c r="AM119" s="969" t="s">
        <v>2645</v>
      </c>
      <c r="AN119" s="969" t="s">
        <v>2646</v>
      </c>
      <c r="AR119"/>
      <c r="AU119"/>
    </row>
    <row r="120" spans="1:47" x14ac:dyDescent="0.2">
      <c r="A120" s="240" t="s">
        <v>941</v>
      </c>
      <c r="E120" s="998" t="s">
        <v>1168</v>
      </c>
      <c r="F120" s="240" t="str">
        <f>RIGHT(A120,7)</f>
        <v>PG64-22</v>
      </c>
      <c r="G120" s="240">
        <v>3</v>
      </c>
      <c r="H120" s="606">
        <v>20525</v>
      </c>
      <c r="I120" s="240">
        <v>0.75</v>
      </c>
      <c r="J120" s="240">
        <v>0.5</v>
      </c>
      <c r="K120" s="240" t="s">
        <v>1227</v>
      </c>
      <c r="M120" s="240" t="s">
        <v>1370</v>
      </c>
      <c r="AA120" s="1179">
        <f t="shared" si="27"/>
        <v>371700</v>
      </c>
      <c r="AB120" s="240">
        <f t="shared" si="28"/>
        <v>396000</v>
      </c>
      <c r="AC120" s="240">
        <f t="shared" si="29"/>
        <v>420300</v>
      </c>
      <c r="AD120" s="240">
        <f t="shared" si="30"/>
        <v>444600</v>
      </c>
      <c r="AE120" s="1180">
        <f t="shared" si="31"/>
        <v>468900</v>
      </c>
      <c r="AM120" s="969" t="s">
        <v>2373</v>
      </c>
      <c r="AN120" s="969" t="s">
        <v>2647</v>
      </c>
      <c r="AR120"/>
      <c r="AU120"/>
    </row>
    <row r="121" spans="1:47" x14ac:dyDescent="0.2">
      <c r="A121" s="240" t="s">
        <v>2478</v>
      </c>
      <c r="E121" s="998" t="s">
        <v>1167</v>
      </c>
      <c r="F121" s="240" t="str">
        <f>RIGHT(A121,7)</f>
        <v>PG76-22</v>
      </c>
      <c r="G121" s="240">
        <v>3</v>
      </c>
      <c r="H121" s="606">
        <v>20525</v>
      </c>
      <c r="I121" s="240">
        <v>0.75</v>
      </c>
      <c r="J121" s="240">
        <v>0.5</v>
      </c>
      <c r="K121" s="240" t="s">
        <v>1227</v>
      </c>
      <c r="L121" s="240" t="s">
        <v>167</v>
      </c>
      <c r="M121" s="240" t="s">
        <v>2477</v>
      </c>
      <c r="AA121" s="1179">
        <f t="shared" si="27"/>
        <v>372600</v>
      </c>
      <c r="AB121" s="240">
        <f t="shared" si="28"/>
        <v>396900</v>
      </c>
      <c r="AC121" s="240">
        <f t="shared" si="29"/>
        <v>421200</v>
      </c>
      <c r="AD121" s="240">
        <f t="shared" si="30"/>
        <v>445500</v>
      </c>
      <c r="AE121" s="1180">
        <f t="shared" si="31"/>
        <v>469800</v>
      </c>
      <c r="AM121" s="969" t="s">
        <v>1030</v>
      </c>
      <c r="AN121" s="969" t="s">
        <v>1029</v>
      </c>
      <c r="AR121"/>
      <c r="AU121"/>
    </row>
    <row r="122" spans="1:47" x14ac:dyDescent="0.2">
      <c r="A122" s="240" t="s">
        <v>942</v>
      </c>
      <c r="E122" s="998" t="s">
        <v>1168</v>
      </c>
      <c r="F122" s="240" t="str">
        <f t="shared" ref="F122:F128" si="32">RIGHT(A122,7)</f>
        <v>PG64-22</v>
      </c>
      <c r="G122" s="240">
        <v>3</v>
      </c>
      <c r="H122" s="606">
        <v>20525</v>
      </c>
      <c r="I122" s="240">
        <v>0.75</v>
      </c>
      <c r="J122" s="240">
        <v>0.5</v>
      </c>
      <c r="K122" s="240" t="s">
        <v>1227</v>
      </c>
      <c r="L122" s="240" t="s">
        <v>167</v>
      </c>
      <c r="M122" s="240" t="s">
        <v>1371</v>
      </c>
      <c r="AA122" s="1179">
        <f t="shared" si="27"/>
        <v>373500</v>
      </c>
      <c r="AB122" s="240">
        <f t="shared" si="28"/>
        <v>397800</v>
      </c>
      <c r="AC122" s="240">
        <f t="shared" si="29"/>
        <v>422100</v>
      </c>
      <c r="AD122" s="240">
        <f t="shared" si="30"/>
        <v>446400</v>
      </c>
      <c r="AE122" s="1180">
        <f t="shared" si="31"/>
        <v>470700</v>
      </c>
      <c r="AM122" s="969" t="s">
        <v>362</v>
      </c>
      <c r="AN122" s="969" t="s">
        <v>489</v>
      </c>
      <c r="AR122"/>
      <c r="AU122"/>
    </row>
    <row r="123" spans="1:47" x14ac:dyDescent="0.2">
      <c r="A123" s="240" t="s">
        <v>2461</v>
      </c>
      <c r="E123" s="983" t="s">
        <v>1167</v>
      </c>
      <c r="F123" s="240" t="str">
        <f t="shared" si="32"/>
        <v>PG76-22</v>
      </c>
      <c r="G123" s="240">
        <v>3</v>
      </c>
      <c r="H123" s="606">
        <v>20525</v>
      </c>
      <c r="I123" s="240">
        <v>0.75</v>
      </c>
      <c r="J123" s="240">
        <v>0.5</v>
      </c>
      <c r="K123" s="240" t="s">
        <v>1227</v>
      </c>
      <c r="L123" s="240" t="s">
        <v>167</v>
      </c>
      <c r="M123" s="240" t="s">
        <v>2463</v>
      </c>
      <c r="AA123" s="1179">
        <f t="shared" si="27"/>
        <v>374400</v>
      </c>
      <c r="AB123" s="240">
        <f t="shared" si="28"/>
        <v>398700</v>
      </c>
      <c r="AC123" s="240">
        <f t="shared" si="29"/>
        <v>423000</v>
      </c>
      <c r="AD123" s="240">
        <f t="shared" si="30"/>
        <v>447300</v>
      </c>
      <c r="AE123" s="1180">
        <f t="shared" si="31"/>
        <v>471600</v>
      </c>
      <c r="AM123" s="969" t="s">
        <v>1464</v>
      </c>
      <c r="AN123" s="969" t="s">
        <v>1465</v>
      </c>
      <c r="AR123"/>
      <c r="AU123"/>
    </row>
    <row r="124" spans="1:47" x14ac:dyDescent="0.2">
      <c r="A124" s="240" t="s">
        <v>943</v>
      </c>
      <c r="E124" s="998" t="s">
        <v>1168</v>
      </c>
      <c r="F124" s="240" t="str">
        <f t="shared" si="32"/>
        <v>PG64-22</v>
      </c>
      <c r="G124" s="240">
        <v>4</v>
      </c>
      <c r="H124" s="606">
        <v>20525</v>
      </c>
      <c r="I124" s="240">
        <v>0.75</v>
      </c>
      <c r="J124" s="240">
        <v>0.5</v>
      </c>
      <c r="K124" s="240" t="s">
        <v>1227</v>
      </c>
      <c r="L124" s="240" t="s">
        <v>167</v>
      </c>
      <c r="M124" s="240" t="s">
        <v>1372</v>
      </c>
      <c r="AA124" s="1179">
        <f t="shared" si="27"/>
        <v>375300</v>
      </c>
      <c r="AB124" s="240">
        <f t="shared" si="28"/>
        <v>399600</v>
      </c>
      <c r="AC124" s="240">
        <f t="shared" si="29"/>
        <v>423900</v>
      </c>
      <c r="AD124" s="240">
        <f t="shared" si="30"/>
        <v>448200</v>
      </c>
      <c r="AE124" s="1180">
        <f t="shared" si="31"/>
        <v>472500</v>
      </c>
      <c r="AM124" s="969" t="s">
        <v>363</v>
      </c>
      <c r="AN124" s="969" t="s">
        <v>1463</v>
      </c>
      <c r="AR124"/>
      <c r="AU124"/>
    </row>
    <row r="125" spans="1:47" x14ac:dyDescent="0.2">
      <c r="A125" s="240" t="s">
        <v>947</v>
      </c>
      <c r="E125" s="983" t="s">
        <v>1167</v>
      </c>
      <c r="F125" s="240" t="str">
        <f t="shared" si="32"/>
        <v>PG76-22</v>
      </c>
      <c r="G125" s="240">
        <v>4</v>
      </c>
      <c r="H125" s="606">
        <v>20525</v>
      </c>
      <c r="I125" s="240">
        <v>0.75</v>
      </c>
      <c r="J125" s="240">
        <v>0.5</v>
      </c>
      <c r="K125" s="240" t="s">
        <v>1227</v>
      </c>
      <c r="L125" s="240" t="s">
        <v>167</v>
      </c>
      <c r="M125" s="240" t="s">
        <v>1373</v>
      </c>
      <c r="AA125" s="1179">
        <f t="shared" si="27"/>
        <v>376200</v>
      </c>
      <c r="AB125" s="240">
        <f t="shared" si="28"/>
        <v>400500</v>
      </c>
      <c r="AC125" s="240">
        <f t="shared" si="29"/>
        <v>424800</v>
      </c>
      <c r="AD125" s="240">
        <f t="shared" si="30"/>
        <v>449100</v>
      </c>
      <c r="AE125" s="1180">
        <f t="shared" si="31"/>
        <v>473400</v>
      </c>
      <c r="AM125" s="969" t="s">
        <v>1461</v>
      </c>
      <c r="AN125" s="969" t="s">
        <v>1462</v>
      </c>
      <c r="AR125"/>
    </row>
    <row r="126" spans="1:47" x14ac:dyDescent="0.2">
      <c r="A126" s="240" t="s">
        <v>948</v>
      </c>
      <c r="E126" s="998" t="s">
        <v>1168</v>
      </c>
      <c r="F126" s="240" t="str">
        <f t="shared" si="32"/>
        <v>PG64-22</v>
      </c>
      <c r="G126" s="240">
        <v>3</v>
      </c>
      <c r="H126" s="606">
        <v>20525</v>
      </c>
      <c r="I126" s="240">
        <v>0.75</v>
      </c>
      <c r="J126" s="240">
        <v>0.5</v>
      </c>
      <c r="K126" s="240" t="s">
        <v>1227</v>
      </c>
      <c r="L126" s="240" t="s">
        <v>166</v>
      </c>
      <c r="M126" s="240" t="s">
        <v>1374</v>
      </c>
      <c r="AA126" s="1179">
        <f t="shared" si="27"/>
        <v>377100</v>
      </c>
      <c r="AB126" s="240">
        <f t="shared" si="28"/>
        <v>401400</v>
      </c>
      <c r="AC126" s="240">
        <f t="shared" si="29"/>
        <v>425700</v>
      </c>
      <c r="AD126" s="240">
        <f t="shared" si="30"/>
        <v>450000</v>
      </c>
      <c r="AE126" s="1180">
        <f t="shared" si="31"/>
        <v>474300</v>
      </c>
      <c r="AM126" s="969" t="s">
        <v>2442</v>
      </c>
      <c r="AN126" s="969" t="s">
        <v>2443</v>
      </c>
      <c r="AR126"/>
    </row>
    <row r="127" spans="1:47" x14ac:dyDescent="0.2">
      <c r="A127" s="240" t="s">
        <v>949</v>
      </c>
      <c r="E127" s="983" t="s">
        <v>1167</v>
      </c>
      <c r="F127" s="240" t="str">
        <f t="shared" si="32"/>
        <v>PG76-22</v>
      </c>
      <c r="G127" s="240">
        <v>3</v>
      </c>
      <c r="H127" s="606">
        <v>20525</v>
      </c>
      <c r="I127" s="240">
        <v>0.75</v>
      </c>
      <c r="J127" s="240">
        <v>0.5</v>
      </c>
      <c r="K127" s="240" t="s">
        <v>1227</v>
      </c>
      <c r="L127" s="240" t="s">
        <v>166</v>
      </c>
      <c r="M127" s="240" t="s">
        <v>1375</v>
      </c>
      <c r="AA127" s="1179">
        <f t="shared" si="27"/>
        <v>378000</v>
      </c>
      <c r="AB127" s="240">
        <f t="shared" si="28"/>
        <v>402300</v>
      </c>
      <c r="AC127" s="240">
        <f t="shared" si="29"/>
        <v>426600</v>
      </c>
      <c r="AD127" s="240">
        <f t="shared" si="30"/>
        <v>450900</v>
      </c>
      <c r="AE127" s="1180">
        <f t="shared" si="31"/>
        <v>475200</v>
      </c>
      <c r="AM127" s="969" t="s">
        <v>360</v>
      </c>
      <c r="AN127" s="969" t="s">
        <v>490</v>
      </c>
      <c r="AR127"/>
    </row>
    <row r="128" spans="1:47" x14ac:dyDescent="0.2">
      <c r="A128" s="240" t="s">
        <v>950</v>
      </c>
      <c r="E128" s="998" t="s">
        <v>1168</v>
      </c>
      <c r="F128" s="240" t="str">
        <f t="shared" si="32"/>
        <v>PG64-22</v>
      </c>
      <c r="G128" s="240">
        <v>4</v>
      </c>
      <c r="H128" s="606">
        <v>20525</v>
      </c>
      <c r="I128" s="240">
        <v>0.75</v>
      </c>
      <c r="J128" s="240">
        <v>0.5</v>
      </c>
      <c r="K128" s="240" t="s">
        <v>1227</v>
      </c>
      <c r="L128" s="240" t="s">
        <v>166</v>
      </c>
      <c r="M128" s="240" t="s">
        <v>1376</v>
      </c>
      <c r="AA128" s="1179">
        <f t="shared" si="27"/>
        <v>378900</v>
      </c>
      <c r="AB128" s="240">
        <f t="shared" si="28"/>
        <v>403200</v>
      </c>
      <c r="AC128" s="240">
        <f t="shared" si="29"/>
        <v>427500</v>
      </c>
      <c r="AD128" s="240">
        <f t="shared" si="30"/>
        <v>451800</v>
      </c>
      <c r="AE128" s="1180">
        <f t="shared" si="31"/>
        <v>476100</v>
      </c>
      <c r="AM128" s="969" t="s">
        <v>365</v>
      </c>
      <c r="AN128" s="969" t="s">
        <v>1085</v>
      </c>
      <c r="AR128"/>
    </row>
    <row r="129" spans="1:44" x14ac:dyDescent="0.2">
      <c r="A129" s="240" t="s">
        <v>1496</v>
      </c>
      <c r="E129" s="998" t="s">
        <v>1168</v>
      </c>
      <c r="F129" s="240" t="s">
        <v>1115</v>
      </c>
      <c r="G129" s="240">
        <v>3</v>
      </c>
      <c r="H129" s="606">
        <v>20500</v>
      </c>
      <c r="I129" s="240">
        <v>0.5</v>
      </c>
      <c r="J129" s="240">
        <v>0.38</v>
      </c>
      <c r="K129" s="240" t="s">
        <v>1227</v>
      </c>
      <c r="L129" s="240" t="s">
        <v>166</v>
      </c>
      <c r="M129" s="984" t="s">
        <v>1501</v>
      </c>
      <c r="AA129" s="1179">
        <f t="shared" si="27"/>
        <v>379800</v>
      </c>
      <c r="AB129" s="240">
        <f t="shared" si="28"/>
        <v>404100</v>
      </c>
      <c r="AC129" s="240">
        <f t="shared" si="29"/>
        <v>428400</v>
      </c>
      <c r="AD129" s="240">
        <f t="shared" si="30"/>
        <v>452700</v>
      </c>
      <c r="AE129" s="1180">
        <f t="shared" si="31"/>
        <v>477000</v>
      </c>
      <c r="AM129" s="969" t="s">
        <v>366</v>
      </c>
      <c r="AN129" s="969" t="s">
        <v>2331</v>
      </c>
      <c r="AR129"/>
    </row>
    <row r="130" spans="1:44" x14ac:dyDescent="0.2">
      <c r="A130" s="240" t="s">
        <v>951</v>
      </c>
      <c r="E130" s="983" t="s">
        <v>1167</v>
      </c>
      <c r="F130" s="240" t="str">
        <f t="shared" ref="F130:F136" si="33">RIGHT(A130,7)</f>
        <v>PG76-22</v>
      </c>
      <c r="G130" s="240">
        <v>4</v>
      </c>
      <c r="H130" s="606">
        <v>20525</v>
      </c>
      <c r="I130" s="240">
        <v>0.75</v>
      </c>
      <c r="J130" s="240">
        <v>0.5</v>
      </c>
      <c r="K130" s="240" t="s">
        <v>1227</v>
      </c>
      <c r="L130" s="240" t="s">
        <v>166</v>
      </c>
      <c r="M130" s="240" t="s">
        <v>1377</v>
      </c>
      <c r="AA130" s="1179">
        <f t="shared" si="27"/>
        <v>380700</v>
      </c>
      <c r="AB130" s="240">
        <f t="shared" si="28"/>
        <v>405000</v>
      </c>
      <c r="AC130" s="240">
        <f t="shared" si="29"/>
        <v>429300</v>
      </c>
      <c r="AD130" s="240">
        <f t="shared" si="30"/>
        <v>453600</v>
      </c>
      <c r="AE130" s="1180">
        <f t="shared" si="31"/>
        <v>477900</v>
      </c>
      <c r="AM130" s="971" t="s">
        <v>367</v>
      </c>
      <c r="AN130" s="971" t="s">
        <v>2332</v>
      </c>
      <c r="AR130"/>
    </row>
    <row r="131" spans="1:44" x14ac:dyDescent="0.2">
      <c r="A131" s="240" t="s">
        <v>952</v>
      </c>
      <c r="E131" s="983" t="s">
        <v>1167</v>
      </c>
      <c r="F131" s="240" t="str">
        <f t="shared" si="33"/>
        <v>PG76-22</v>
      </c>
      <c r="G131" s="240">
        <v>3</v>
      </c>
      <c r="H131" s="606">
        <v>20500</v>
      </c>
      <c r="I131" s="240">
        <v>0.5</v>
      </c>
      <c r="J131" s="240">
        <v>0.38</v>
      </c>
      <c r="K131" s="240" t="s">
        <v>1227</v>
      </c>
      <c r="L131" s="240" t="s">
        <v>166</v>
      </c>
      <c r="M131" s="240" t="s">
        <v>1378</v>
      </c>
      <c r="AA131" s="1179">
        <f t="shared" si="27"/>
        <v>381600</v>
      </c>
      <c r="AB131" s="240">
        <f t="shared" si="28"/>
        <v>405900</v>
      </c>
      <c r="AC131" s="240">
        <f t="shared" si="29"/>
        <v>430200</v>
      </c>
      <c r="AD131" s="240">
        <f t="shared" si="30"/>
        <v>454500</v>
      </c>
      <c r="AE131" s="1180">
        <f t="shared" si="31"/>
        <v>478800</v>
      </c>
      <c r="AM131" s="971" t="s">
        <v>2414</v>
      </c>
      <c r="AN131" s="971" t="s">
        <v>2415</v>
      </c>
      <c r="AR131"/>
    </row>
    <row r="132" spans="1:44" x14ac:dyDescent="0.2">
      <c r="A132" s="240" t="s">
        <v>953</v>
      </c>
      <c r="E132" s="983" t="s">
        <v>1167</v>
      </c>
      <c r="F132" s="240" t="str">
        <f t="shared" si="33"/>
        <v>PG76-22</v>
      </c>
      <c r="G132" s="240">
        <v>4</v>
      </c>
      <c r="H132" s="606">
        <v>20500</v>
      </c>
      <c r="I132" s="240">
        <v>0.5</v>
      </c>
      <c r="J132" s="240">
        <v>0.38</v>
      </c>
      <c r="K132" s="240" t="s">
        <v>1227</v>
      </c>
      <c r="L132" s="240" t="s">
        <v>167</v>
      </c>
      <c r="M132" s="240" t="s">
        <v>1379</v>
      </c>
      <c r="AA132" s="1179">
        <f t="shared" si="27"/>
        <v>382500</v>
      </c>
      <c r="AB132" s="240">
        <f t="shared" si="28"/>
        <v>406800</v>
      </c>
      <c r="AC132" s="240">
        <f t="shared" si="29"/>
        <v>431100</v>
      </c>
      <c r="AD132" s="240">
        <f t="shared" si="30"/>
        <v>455400</v>
      </c>
      <c r="AE132" s="1180">
        <f t="shared" si="31"/>
        <v>479700</v>
      </c>
      <c r="AM132" s="971" t="s">
        <v>2374</v>
      </c>
      <c r="AN132" s="971" t="s">
        <v>2375</v>
      </c>
    </row>
    <row r="133" spans="1:44" x14ac:dyDescent="0.2">
      <c r="A133" s="240" t="s">
        <v>954</v>
      </c>
      <c r="E133" s="998" t="s">
        <v>1168</v>
      </c>
      <c r="F133" s="240" t="str">
        <f t="shared" si="33"/>
        <v>PG64-22</v>
      </c>
      <c r="G133" s="240">
        <v>3</v>
      </c>
      <c r="H133" s="606">
        <v>20500</v>
      </c>
      <c r="I133" s="240">
        <v>0.5</v>
      </c>
      <c r="J133" s="240">
        <v>0.38</v>
      </c>
      <c r="K133" s="240" t="s">
        <v>1227</v>
      </c>
      <c r="M133" s="240" t="s">
        <v>1380</v>
      </c>
      <c r="AA133" s="1179">
        <f t="shared" si="27"/>
        <v>383400</v>
      </c>
      <c r="AB133" s="240">
        <f t="shared" si="28"/>
        <v>407700</v>
      </c>
      <c r="AC133" s="240">
        <f t="shared" si="29"/>
        <v>432000</v>
      </c>
      <c r="AD133" s="240">
        <f t="shared" si="30"/>
        <v>456300</v>
      </c>
      <c r="AE133" s="1180">
        <f t="shared" si="31"/>
        <v>480600</v>
      </c>
      <c r="AM133" s="971" t="s">
        <v>368</v>
      </c>
      <c r="AN133" s="971" t="s">
        <v>2335</v>
      </c>
    </row>
    <row r="134" spans="1:44" x14ac:dyDescent="0.2">
      <c r="A134" s="240" t="s">
        <v>955</v>
      </c>
      <c r="E134" s="983" t="s">
        <v>1167</v>
      </c>
      <c r="F134" s="240" t="str">
        <f t="shared" si="33"/>
        <v>PG76-22</v>
      </c>
      <c r="G134" s="240">
        <v>2</v>
      </c>
      <c r="H134" s="606">
        <v>20500</v>
      </c>
      <c r="I134" s="240">
        <v>0.5</v>
      </c>
      <c r="J134" s="240">
        <v>0.38</v>
      </c>
      <c r="K134" s="240" t="s">
        <v>1227</v>
      </c>
      <c r="M134" s="240" t="s">
        <v>1381</v>
      </c>
      <c r="AA134" s="1179">
        <f t="shared" si="27"/>
        <v>384300</v>
      </c>
      <c r="AB134" s="240">
        <f t="shared" si="28"/>
        <v>408600</v>
      </c>
      <c r="AC134" s="240">
        <f t="shared" si="29"/>
        <v>432900</v>
      </c>
      <c r="AD134" s="240">
        <f t="shared" si="30"/>
        <v>457200</v>
      </c>
      <c r="AE134" s="1180">
        <f t="shared" si="31"/>
        <v>481500</v>
      </c>
      <c r="AM134" s="971" t="s">
        <v>330</v>
      </c>
      <c r="AN134" s="971" t="s">
        <v>491</v>
      </c>
    </row>
    <row r="135" spans="1:44" x14ac:dyDescent="0.2">
      <c r="A135" s="240" t="s">
        <v>956</v>
      </c>
      <c r="E135" s="983" t="s">
        <v>1167</v>
      </c>
      <c r="F135" s="240" t="str">
        <f t="shared" si="33"/>
        <v>PG76-22</v>
      </c>
      <c r="G135" s="240">
        <v>4</v>
      </c>
      <c r="H135" s="606">
        <v>20500</v>
      </c>
      <c r="I135" s="240">
        <v>0.5</v>
      </c>
      <c r="J135" s="240">
        <v>0.38</v>
      </c>
      <c r="K135" s="240" t="s">
        <v>1227</v>
      </c>
      <c r="L135" s="240" t="s">
        <v>166</v>
      </c>
      <c r="M135" s="240" t="s">
        <v>1382</v>
      </c>
      <c r="AA135" s="1179">
        <f t="shared" si="27"/>
        <v>385200</v>
      </c>
      <c r="AB135" s="240">
        <f t="shared" si="28"/>
        <v>409500</v>
      </c>
      <c r="AC135" s="240">
        <f t="shared" si="29"/>
        <v>433800</v>
      </c>
      <c r="AD135" s="240">
        <f t="shared" si="30"/>
        <v>458100</v>
      </c>
      <c r="AE135" s="1180">
        <f t="shared" si="31"/>
        <v>482400</v>
      </c>
      <c r="AM135" s="971" t="s">
        <v>369</v>
      </c>
      <c r="AN135" s="971" t="s">
        <v>2347</v>
      </c>
    </row>
    <row r="136" spans="1:44" x14ac:dyDescent="0.2">
      <c r="A136" s="240" t="s">
        <v>977</v>
      </c>
      <c r="E136" s="998" t="s">
        <v>1168</v>
      </c>
      <c r="F136" s="240" t="str">
        <f t="shared" si="33"/>
        <v>PG64-22</v>
      </c>
      <c r="G136" s="240" t="s">
        <v>1130</v>
      </c>
      <c r="H136" s="240">
        <v>20100</v>
      </c>
      <c r="I136" s="240">
        <v>0.25</v>
      </c>
      <c r="J136" s="240" t="s">
        <v>1217</v>
      </c>
      <c r="K136" s="240" t="s">
        <v>1227</v>
      </c>
      <c r="L136" s="240" t="s">
        <v>166</v>
      </c>
      <c r="M136" s="240" t="s">
        <v>1383</v>
      </c>
      <c r="AA136" s="1179">
        <f t="shared" si="27"/>
        <v>386100</v>
      </c>
      <c r="AB136" s="240">
        <f t="shared" si="28"/>
        <v>410400</v>
      </c>
      <c r="AC136" s="240">
        <f t="shared" si="29"/>
        <v>434700</v>
      </c>
      <c r="AD136" s="240">
        <f t="shared" si="30"/>
        <v>459000</v>
      </c>
      <c r="AE136" s="1180">
        <f t="shared" si="31"/>
        <v>483300</v>
      </c>
      <c r="AM136" s="971" t="s">
        <v>370</v>
      </c>
      <c r="AN136" s="971" t="s">
        <v>2334</v>
      </c>
    </row>
    <row r="137" spans="1:44" x14ac:dyDescent="0.2">
      <c r="A137" s="240" t="s">
        <v>1031</v>
      </c>
      <c r="E137" s="998" t="s">
        <v>1168</v>
      </c>
      <c r="F137" s="240" t="s">
        <v>1115</v>
      </c>
      <c r="G137" s="240">
        <v>3</v>
      </c>
      <c r="H137" s="240">
        <v>20500</v>
      </c>
      <c r="I137" s="240">
        <v>0.5</v>
      </c>
      <c r="J137" s="240">
        <v>0.38</v>
      </c>
      <c r="K137" s="240" t="s">
        <v>1227</v>
      </c>
      <c r="L137" s="240" t="s">
        <v>166</v>
      </c>
      <c r="M137" s="984" t="s">
        <v>2279</v>
      </c>
      <c r="AA137" s="1179">
        <f t="shared" si="27"/>
        <v>387000</v>
      </c>
      <c r="AB137" s="240">
        <f t="shared" si="28"/>
        <v>411300</v>
      </c>
      <c r="AC137" s="240">
        <f t="shared" si="29"/>
        <v>435600</v>
      </c>
      <c r="AD137" s="240">
        <f t="shared" si="30"/>
        <v>459900</v>
      </c>
      <c r="AE137" s="1180">
        <f t="shared" si="31"/>
        <v>484200</v>
      </c>
      <c r="AM137" s="971" t="s">
        <v>1478</v>
      </c>
      <c r="AN137" s="971" t="s">
        <v>1479</v>
      </c>
    </row>
    <row r="138" spans="1:44" x14ac:dyDescent="0.2">
      <c r="A138" s="240" t="s">
        <v>1497</v>
      </c>
      <c r="E138" s="998" t="s">
        <v>1168</v>
      </c>
      <c r="F138" s="240" t="s">
        <v>1115</v>
      </c>
      <c r="G138" s="240">
        <v>3</v>
      </c>
      <c r="H138" s="606">
        <v>20500</v>
      </c>
      <c r="I138" s="240">
        <v>0.5</v>
      </c>
      <c r="J138" s="240">
        <v>0.38</v>
      </c>
      <c r="K138" s="240" t="s">
        <v>1227</v>
      </c>
      <c r="L138" s="240" t="s">
        <v>167</v>
      </c>
      <c r="M138" s="984" t="s">
        <v>1502</v>
      </c>
      <c r="AA138" s="1179">
        <f t="shared" si="27"/>
        <v>387900</v>
      </c>
      <c r="AB138" s="240">
        <f t="shared" si="28"/>
        <v>412200</v>
      </c>
      <c r="AC138" s="240">
        <f t="shared" si="29"/>
        <v>436500</v>
      </c>
      <c r="AD138" s="240">
        <f t="shared" si="30"/>
        <v>460800</v>
      </c>
      <c r="AE138" s="1180">
        <f t="shared" si="31"/>
        <v>485100</v>
      </c>
      <c r="AM138" s="971" t="s">
        <v>2389</v>
      </c>
      <c r="AN138" s="971" t="s">
        <v>2388</v>
      </c>
    </row>
    <row r="139" spans="1:44" x14ac:dyDescent="0.2">
      <c r="A139" s="240" t="s">
        <v>1446</v>
      </c>
      <c r="E139" s="983" t="s">
        <v>1167</v>
      </c>
      <c r="F139" s="240" t="s">
        <v>1122</v>
      </c>
      <c r="G139" s="240">
        <v>3</v>
      </c>
      <c r="H139" s="606">
        <v>20500</v>
      </c>
      <c r="I139" s="240">
        <v>0.5</v>
      </c>
      <c r="J139" s="970">
        <v>0.38</v>
      </c>
      <c r="K139" s="240" t="s">
        <v>1227</v>
      </c>
      <c r="L139" s="240" t="s">
        <v>167</v>
      </c>
      <c r="M139" s="984" t="s">
        <v>1445</v>
      </c>
      <c r="AA139" s="1179">
        <f t="shared" si="27"/>
        <v>388800</v>
      </c>
      <c r="AB139" s="240">
        <f t="shared" si="28"/>
        <v>413100</v>
      </c>
      <c r="AC139" s="240">
        <f t="shared" si="29"/>
        <v>437400</v>
      </c>
      <c r="AD139" s="240">
        <f t="shared" si="30"/>
        <v>461700</v>
      </c>
      <c r="AE139" s="1180">
        <f t="shared" si="31"/>
        <v>486000</v>
      </c>
      <c r="AM139" s="971" t="s">
        <v>2667</v>
      </c>
      <c r="AN139" s="971" t="s">
        <v>2668</v>
      </c>
    </row>
    <row r="140" spans="1:44" x14ac:dyDescent="0.2">
      <c r="A140" s="240" t="s">
        <v>2353</v>
      </c>
      <c r="E140" s="998" t="s">
        <v>1168</v>
      </c>
      <c r="F140" s="240" t="s">
        <v>1115</v>
      </c>
      <c r="G140" s="240">
        <v>3</v>
      </c>
      <c r="H140" s="240">
        <v>20500</v>
      </c>
      <c r="I140" s="240">
        <v>0.5</v>
      </c>
      <c r="J140" s="240">
        <v>0.38</v>
      </c>
      <c r="K140" s="240" t="s">
        <v>1227</v>
      </c>
      <c r="L140" s="240" t="s">
        <v>167</v>
      </c>
      <c r="M140" s="984" t="s">
        <v>2280</v>
      </c>
      <c r="AA140" s="1179"/>
      <c r="AE140" s="1180"/>
      <c r="AM140" s="971" t="s">
        <v>2657</v>
      </c>
      <c r="AN140" s="971" t="s">
        <v>2658</v>
      </c>
    </row>
    <row r="141" spans="1:44" x14ac:dyDescent="0.2">
      <c r="A141" s="240" t="s">
        <v>1498</v>
      </c>
      <c r="E141" s="998" t="s">
        <v>1167</v>
      </c>
      <c r="F141" s="240" t="s">
        <v>1122</v>
      </c>
      <c r="G141" s="240">
        <v>3</v>
      </c>
      <c r="H141" s="240">
        <v>20500</v>
      </c>
      <c r="I141" s="240">
        <v>0.5</v>
      </c>
      <c r="J141" s="240">
        <v>0.38</v>
      </c>
      <c r="K141" s="240" t="s">
        <v>1227</v>
      </c>
      <c r="M141" s="984" t="s">
        <v>1503</v>
      </c>
      <c r="AA141" s="1179" t="s">
        <v>2380</v>
      </c>
      <c r="AB141" s="972" t="str">
        <f>CONCATENATE(LEFT(AA167,3)+1," - 1")</f>
        <v>109 - 1</v>
      </c>
      <c r="AC141" s="972" t="str">
        <f>CONCATENATE(LEFT(AB167,3)," - 4")</f>
        <v>115 - 4</v>
      </c>
      <c r="AD141" s="972" t="str">
        <f>CONCATENATE(LEFT(AC167,3)," - 3")</f>
        <v>122 - 3</v>
      </c>
      <c r="AE141" s="1182" t="str">
        <f>CONCATENATE(LEFT(AD167,3)," - 2")</f>
        <v>129 - 2</v>
      </c>
      <c r="AM141" s="971" t="s">
        <v>1442</v>
      </c>
      <c r="AN141" s="971" t="s">
        <v>1440</v>
      </c>
    </row>
    <row r="142" spans="1:44" x14ac:dyDescent="0.2">
      <c r="A142" s="240" t="s">
        <v>2462</v>
      </c>
      <c r="E142" s="998" t="s">
        <v>1167</v>
      </c>
      <c r="F142" s="240" t="s">
        <v>1122</v>
      </c>
      <c r="G142" s="240">
        <v>2</v>
      </c>
      <c r="H142" s="606">
        <v>20525</v>
      </c>
      <c r="I142" s="240">
        <v>0.5</v>
      </c>
      <c r="J142" s="240">
        <v>0.38</v>
      </c>
      <c r="K142" s="240" t="s">
        <v>1227</v>
      </c>
      <c r="L142" s="240" t="s">
        <v>167</v>
      </c>
      <c r="M142" s="240" t="s">
        <v>2464</v>
      </c>
      <c r="AA142" s="1183" t="str">
        <f>CONCATENATE(LEFT(AA141,3)," - 3")</f>
        <v>102 - 3</v>
      </c>
      <c r="AB142" s="972" t="str">
        <f>CONCATENATE(LEFT(AB141,3)," - 2")</f>
        <v>109 - 2</v>
      </c>
      <c r="AC142" s="972" t="str">
        <f>CONCATENATE(LEFT(AC141,3)+1," - 1")</f>
        <v>116 - 1</v>
      </c>
      <c r="AD142" s="972" t="str">
        <f>CONCATENATE(LEFT(AD141,3)," - 4")</f>
        <v>122 - 4</v>
      </c>
      <c r="AE142" s="1182" t="str">
        <f>CONCATENATE(LEFT(AE141,3)," - 3")</f>
        <v>129 - 3</v>
      </c>
    </row>
    <row r="143" spans="1:44" x14ac:dyDescent="0.2">
      <c r="A143" s="240" t="s">
        <v>957</v>
      </c>
      <c r="E143" s="998" t="s">
        <v>1168</v>
      </c>
      <c r="F143" s="240" t="s">
        <v>1115</v>
      </c>
      <c r="G143" s="240" t="s">
        <v>1130</v>
      </c>
      <c r="H143" s="240">
        <v>23025</v>
      </c>
      <c r="I143" s="240">
        <v>0.5</v>
      </c>
      <c r="J143" s="240">
        <v>0.38</v>
      </c>
      <c r="K143" s="240" t="s">
        <v>1227</v>
      </c>
      <c r="M143" s="240" t="s">
        <v>1384</v>
      </c>
      <c r="AA143" s="1183" t="str">
        <f>CONCATENATE(LEFT(AA142,3)," - 4")</f>
        <v>102 - 4</v>
      </c>
      <c r="AB143" s="972" t="str">
        <f>CONCATENATE(LEFT(AB142,3)," - 3")</f>
        <v>109 - 3</v>
      </c>
      <c r="AC143" s="972" t="str">
        <f>CONCATENATE(LEFT(AC142,3)," - 2")</f>
        <v>116 - 2</v>
      </c>
      <c r="AD143" s="972" t="str">
        <f>CONCATENATE(LEFT(AD142,3)+1," - 1")</f>
        <v>123 - 1</v>
      </c>
      <c r="AE143" s="1182" t="str">
        <f>CONCATENATE(LEFT(AE142,3)," - 4")</f>
        <v>129 - 4</v>
      </c>
    </row>
    <row r="144" spans="1:44" x14ac:dyDescent="0.2">
      <c r="A144" s="240" t="s">
        <v>958</v>
      </c>
      <c r="E144" s="998" t="s">
        <v>1168</v>
      </c>
      <c r="F144" s="240" t="s">
        <v>1115</v>
      </c>
      <c r="G144" s="240" t="s">
        <v>1130</v>
      </c>
      <c r="H144" s="240">
        <v>23050</v>
      </c>
      <c r="I144" s="240">
        <v>0.5</v>
      </c>
      <c r="J144" s="240">
        <v>0.38</v>
      </c>
      <c r="K144" s="240" t="s">
        <v>1227</v>
      </c>
      <c r="M144" s="240" t="s">
        <v>1385</v>
      </c>
      <c r="AA144" s="1183" t="str">
        <f>CONCATENATE(LEFT(AA143,3)+1," - 1")</f>
        <v>103 - 1</v>
      </c>
      <c r="AB144" s="972" t="str">
        <f>CONCATENATE(LEFT(AB143,3)," - 4")</f>
        <v>109 - 4</v>
      </c>
      <c r="AC144" s="972" t="str">
        <f>CONCATENATE(LEFT(AC143,3)," - 3")</f>
        <v>116 - 3</v>
      </c>
      <c r="AD144" s="972" t="str">
        <f>CONCATENATE(LEFT(AD143,3)," - 2")</f>
        <v>123 - 2</v>
      </c>
      <c r="AE144" s="1182" t="str">
        <f>CONCATENATE(LEFT(AE143,3)+1," - 1")</f>
        <v>130 - 1</v>
      </c>
    </row>
    <row r="145" spans="1:31" x14ac:dyDescent="0.2">
      <c r="A145" s="240" t="s">
        <v>959</v>
      </c>
      <c r="E145" s="998" t="s">
        <v>1168</v>
      </c>
      <c r="F145" s="240" t="s">
        <v>1115</v>
      </c>
      <c r="G145" s="240" t="s">
        <v>1130</v>
      </c>
      <c r="H145" s="240">
        <v>23050</v>
      </c>
      <c r="I145" s="240">
        <v>0.5</v>
      </c>
      <c r="J145" s="240">
        <v>0.38</v>
      </c>
      <c r="K145" s="240" t="s">
        <v>1227</v>
      </c>
      <c r="M145" s="240" t="s">
        <v>1386</v>
      </c>
      <c r="AA145" s="1183" t="str">
        <f>CONCATENATE(LEFT(AA144,3)," - 2")</f>
        <v>103 - 2</v>
      </c>
      <c r="AB145" s="972" t="str">
        <f>CONCATENATE(LEFT(AB144,3)+1," - 1")</f>
        <v>110 - 1</v>
      </c>
      <c r="AC145" s="972" t="str">
        <f>CONCATENATE(LEFT(AC144,3)," - 4")</f>
        <v>116 - 4</v>
      </c>
      <c r="AD145" s="972" t="str">
        <f>CONCATENATE(LEFT(AD144,3)," - 3")</f>
        <v>123 - 3</v>
      </c>
      <c r="AE145" s="1182" t="str">
        <f>CONCATENATE(LEFT(AE144,3)," - 2")</f>
        <v>130 - 2</v>
      </c>
    </row>
    <row r="146" spans="1:31" x14ac:dyDescent="0.2">
      <c r="A146" s="240" t="s">
        <v>962</v>
      </c>
      <c r="E146" s="998" t="s">
        <v>1168</v>
      </c>
      <c r="F146" s="240" t="s">
        <v>1115</v>
      </c>
      <c r="G146" s="240" t="s">
        <v>1130</v>
      </c>
      <c r="H146" s="240">
        <v>23050</v>
      </c>
      <c r="I146" s="240">
        <v>0.5</v>
      </c>
      <c r="J146" s="240">
        <v>0.38</v>
      </c>
      <c r="K146" s="240" t="s">
        <v>1227</v>
      </c>
      <c r="M146" s="240" t="s">
        <v>1387</v>
      </c>
      <c r="AA146" s="1183" t="str">
        <f>CONCATENATE(LEFT(AA145,3)," - 3")</f>
        <v>103 - 3</v>
      </c>
      <c r="AB146" s="972" t="str">
        <f>CONCATENATE(LEFT(AB145,3)," - 2")</f>
        <v>110 - 2</v>
      </c>
      <c r="AC146" s="972" t="str">
        <f>CONCATENATE(LEFT(AC145,3)+1," - 1")</f>
        <v>117 - 1</v>
      </c>
      <c r="AD146" s="972" t="str">
        <f>CONCATENATE(LEFT(AD145,3)," - 4")</f>
        <v>123 - 4</v>
      </c>
      <c r="AE146" s="1182" t="str">
        <f>CONCATENATE(LEFT(AE145,3)," - 3")</f>
        <v>130 - 3</v>
      </c>
    </row>
    <row r="147" spans="1:31" x14ac:dyDescent="0.2">
      <c r="A147" s="240" t="s">
        <v>963</v>
      </c>
      <c r="E147" s="998" t="s">
        <v>1168</v>
      </c>
      <c r="F147" s="240" t="s">
        <v>1115</v>
      </c>
      <c r="G147" s="240" t="s">
        <v>1130</v>
      </c>
      <c r="H147" s="240">
        <v>23050</v>
      </c>
      <c r="I147" s="240">
        <v>0.5</v>
      </c>
      <c r="J147" s="240">
        <v>0.38</v>
      </c>
      <c r="K147" s="240" t="s">
        <v>1227</v>
      </c>
      <c r="M147" s="240" t="s">
        <v>1388</v>
      </c>
      <c r="AA147" s="1183" t="str">
        <f>CONCATENATE(LEFT(AA146,3)," - 4")</f>
        <v>103 - 4</v>
      </c>
      <c r="AB147" s="972" t="str">
        <f>CONCATENATE(LEFT(AB146,3)," - 3")</f>
        <v>110 - 3</v>
      </c>
      <c r="AC147" s="972" t="str">
        <f>CONCATENATE(LEFT(AC146,3)," - 2")</f>
        <v>117 - 2</v>
      </c>
      <c r="AD147" s="972" t="str">
        <f>CONCATENATE(LEFT(AD146,3)+1," - 1")</f>
        <v>124 - 1</v>
      </c>
      <c r="AE147" s="1182" t="str">
        <f>CONCATENATE(LEFT(AE146,3)," - 4")</f>
        <v>130 - 4</v>
      </c>
    </row>
    <row r="148" spans="1:31" x14ac:dyDescent="0.2">
      <c r="A148" s="240" t="s">
        <v>964</v>
      </c>
      <c r="E148" s="998" t="s">
        <v>1168</v>
      </c>
      <c r="F148" s="240" t="s">
        <v>1115</v>
      </c>
      <c r="G148" s="240" t="s">
        <v>1130</v>
      </c>
      <c r="H148" s="240">
        <v>23050</v>
      </c>
      <c r="I148" s="240">
        <v>0.5</v>
      </c>
      <c r="J148" s="240">
        <v>0.38</v>
      </c>
      <c r="K148" s="240" t="s">
        <v>1227</v>
      </c>
      <c r="M148" s="240" t="s">
        <v>1389</v>
      </c>
      <c r="AA148" s="1183" t="str">
        <f>CONCATENATE(LEFT(AA147,3)+1," - 1")</f>
        <v>104 - 1</v>
      </c>
      <c r="AB148" s="972" t="str">
        <f>CONCATENATE(LEFT(AB147,3)," - 4")</f>
        <v>110 - 4</v>
      </c>
      <c r="AC148" s="972" t="str">
        <f>CONCATENATE(LEFT(AC147,3)," - 3")</f>
        <v>117 - 3</v>
      </c>
      <c r="AD148" s="972" t="str">
        <f>CONCATENATE(LEFT(AD147,3)," - 2")</f>
        <v>124 - 2</v>
      </c>
      <c r="AE148" s="1182" t="str">
        <f>CONCATENATE(LEFT(AE147,3)+1," - 1")</f>
        <v>131 - 1</v>
      </c>
    </row>
    <row r="149" spans="1:31" x14ac:dyDescent="0.2">
      <c r="A149" s="240" t="s">
        <v>965</v>
      </c>
      <c r="E149" s="998" t="s">
        <v>1168</v>
      </c>
      <c r="F149" s="240" t="s">
        <v>1115</v>
      </c>
      <c r="G149" s="240" t="s">
        <v>1130</v>
      </c>
      <c r="H149" s="240">
        <v>23050</v>
      </c>
      <c r="I149" s="240">
        <v>0.5</v>
      </c>
      <c r="J149" s="240">
        <v>0.38</v>
      </c>
      <c r="K149" s="240" t="s">
        <v>1227</v>
      </c>
      <c r="M149" s="240" t="s">
        <v>1390</v>
      </c>
      <c r="AA149" s="1183" t="str">
        <f>CONCATENATE(LEFT(AA148,3)," - 2")</f>
        <v>104 - 2</v>
      </c>
      <c r="AB149" s="972" t="str">
        <f>CONCATENATE(LEFT(AB148,3)+1," - 1")</f>
        <v>111 - 1</v>
      </c>
      <c r="AC149" s="972" t="str">
        <f>CONCATENATE(LEFT(AC148,3)," - 4")</f>
        <v>117 - 4</v>
      </c>
      <c r="AD149" s="972" t="str">
        <f>CONCATENATE(LEFT(AD148,3)," - 3")</f>
        <v>124 - 3</v>
      </c>
      <c r="AE149" s="1182" t="str">
        <f>CONCATENATE(LEFT(AE148,3)," - 2")</f>
        <v>131 - 2</v>
      </c>
    </row>
    <row r="150" spans="1:31" x14ac:dyDescent="0.2">
      <c r="A150" s="240" t="s">
        <v>966</v>
      </c>
      <c r="E150" s="998" t="s">
        <v>1168</v>
      </c>
      <c r="F150" s="240" t="s">
        <v>1115</v>
      </c>
      <c r="G150" s="240" t="s">
        <v>1130</v>
      </c>
      <c r="H150" s="240">
        <v>23050</v>
      </c>
      <c r="I150" s="240">
        <v>0.5</v>
      </c>
      <c r="J150" s="240">
        <v>0.38</v>
      </c>
      <c r="K150" s="240" t="s">
        <v>1227</v>
      </c>
      <c r="M150" s="240" t="s">
        <v>1391</v>
      </c>
      <c r="AA150" s="1183" t="str">
        <f>CONCATENATE(LEFT(AA149,3)," - 3")</f>
        <v>104 - 3</v>
      </c>
      <c r="AB150" s="972" t="str">
        <f>CONCATENATE(LEFT(AB149,3)," - 2")</f>
        <v>111 - 2</v>
      </c>
      <c r="AC150" s="972" t="str">
        <f>CONCATENATE(LEFT(AC149,3)+1," - 1")</f>
        <v>118 - 1</v>
      </c>
      <c r="AD150" s="972" t="str">
        <f>CONCATENATE(LEFT(AD149,3)," - 4")</f>
        <v>124 - 4</v>
      </c>
      <c r="AE150" s="1182" t="str">
        <f>CONCATENATE(LEFT(AE149,3)," - 3")</f>
        <v>131 - 3</v>
      </c>
    </row>
    <row r="151" spans="1:31" x14ac:dyDescent="0.2">
      <c r="A151" s="240" t="s">
        <v>967</v>
      </c>
      <c r="E151" s="998" t="s">
        <v>1168</v>
      </c>
      <c r="F151" s="240" t="s">
        <v>1115</v>
      </c>
      <c r="G151" s="240" t="s">
        <v>1130</v>
      </c>
      <c r="H151" s="240">
        <v>23050</v>
      </c>
      <c r="I151" s="240">
        <v>0.5</v>
      </c>
      <c r="J151" s="240">
        <v>0.38</v>
      </c>
      <c r="K151" s="240" t="s">
        <v>1227</v>
      </c>
      <c r="M151" s="240" t="s">
        <v>1392</v>
      </c>
      <c r="AA151" s="1183" t="str">
        <f>CONCATENATE(LEFT(AA150,3)," - 4")</f>
        <v>104 - 4</v>
      </c>
      <c r="AB151" s="972" t="str">
        <f>CONCATENATE(LEFT(AB150,3)," - 3")</f>
        <v>111 - 3</v>
      </c>
      <c r="AC151" s="972" t="str">
        <f>CONCATENATE(LEFT(AC150,3)," - 2")</f>
        <v>118 - 2</v>
      </c>
      <c r="AD151" s="972" t="str">
        <f>CONCATENATE(LEFT(AD150,3)+1," - 1")</f>
        <v>125 - 1</v>
      </c>
      <c r="AE151" s="1182" t="str">
        <f>CONCATENATE(LEFT(AE150,3)," - 4")</f>
        <v>131 - 4</v>
      </c>
    </row>
    <row r="152" spans="1:31" x14ac:dyDescent="0.2">
      <c r="A152" s="240" t="s">
        <v>968</v>
      </c>
      <c r="E152" s="998" t="s">
        <v>1168</v>
      </c>
      <c r="F152" s="240" t="s">
        <v>1115</v>
      </c>
      <c r="G152" s="240" t="s">
        <v>1130</v>
      </c>
      <c r="H152" s="240">
        <v>23050</v>
      </c>
      <c r="I152" s="240">
        <v>0.5</v>
      </c>
      <c r="J152" s="240">
        <v>0.38</v>
      </c>
      <c r="K152" s="240" t="s">
        <v>1227</v>
      </c>
      <c r="M152" s="240" t="s">
        <v>1393</v>
      </c>
      <c r="AA152" s="1183" t="str">
        <f>CONCATENATE(LEFT(AA151,3)+1," - 1")</f>
        <v>105 - 1</v>
      </c>
      <c r="AB152" s="972" t="str">
        <f>CONCATENATE(LEFT(AB151,3)," - 4")</f>
        <v>111 - 4</v>
      </c>
      <c r="AC152" s="972" t="str">
        <f>CONCATENATE(LEFT(AC151,3)," - 3")</f>
        <v>118 - 3</v>
      </c>
      <c r="AD152" s="972" t="str">
        <f>CONCATENATE(LEFT(AD151,3)," - 2")</f>
        <v>125 - 2</v>
      </c>
      <c r="AE152" s="1182" t="str">
        <f>CONCATENATE(LEFT(AE151,3)+1," - 1")</f>
        <v>132 - 1</v>
      </c>
    </row>
    <row r="153" spans="1:31" x14ac:dyDescent="0.2">
      <c r="A153" s="240" t="s">
        <v>969</v>
      </c>
      <c r="E153" s="998" t="s">
        <v>1168</v>
      </c>
      <c r="F153" s="240" t="s">
        <v>1115</v>
      </c>
      <c r="G153" s="240" t="s">
        <v>1130</v>
      </c>
      <c r="H153" s="240">
        <v>23050</v>
      </c>
      <c r="I153" s="240">
        <v>0.5</v>
      </c>
      <c r="J153" s="240">
        <v>0.38</v>
      </c>
      <c r="K153" s="240" t="s">
        <v>1227</v>
      </c>
      <c r="M153" s="240" t="s">
        <v>1394</v>
      </c>
      <c r="AA153" s="1183" t="str">
        <f>CONCATENATE(LEFT(AA152,3)," - 2")</f>
        <v>105 - 2</v>
      </c>
      <c r="AB153" s="972" t="str">
        <f>CONCATENATE(LEFT(AB152,3)+1," - 1")</f>
        <v>112 - 1</v>
      </c>
      <c r="AC153" s="972" t="str">
        <f>CONCATENATE(LEFT(AC152,3)," - 4")</f>
        <v>118 - 4</v>
      </c>
      <c r="AD153" s="972" t="str">
        <f>CONCATENATE(LEFT(AD152,3)," - 3")</f>
        <v>125 - 3</v>
      </c>
      <c r="AE153" s="1182" t="str">
        <f>CONCATENATE(LEFT(AE152,3)," - 2")</f>
        <v>132 - 2</v>
      </c>
    </row>
    <row r="154" spans="1:31" x14ac:dyDescent="0.2">
      <c r="A154" s="240" t="s">
        <v>970</v>
      </c>
      <c r="E154" s="998" t="s">
        <v>1168</v>
      </c>
      <c r="F154" s="240" t="s">
        <v>1115</v>
      </c>
      <c r="G154" s="240" t="s">
        <v>1130</v>
      </c>
      <c r="H154" s="240">
        <v>23050</v>
      </c>
      <c r="I154" s="240">
        <v>0.5</v>
      </c>
      <c r="J154" s="240">
        <v>0.38</v>
      </c>
      <c r="K154" s="240" t="s">
        <v>1227</v>
      </c>
      <c r="M154" s="240" t="s">
        <v>1395</v>
      </c>
      <c r="AA154" s="1183" t="str">
        <f>CONCATENATE(LEFT(AA153,3)," - 3")</f>
        <v>105 - 3</v>
      </c>
      <c r="AB154" s="972" t="str">
        <f>CONCATENATE(LEFT(AB153,3)," - 2")</f>
        <v>112 - 2</v>
      </c>
      <c r="AC154" s="972" t="str">
        <f>CONCATENATE(LEFT(AC153,3)+1," - 1")</f>
        <v>119 - 1</v>
      </c>
      <c r="AD154" s="972" t="str">
        <f>CONCATENATE(LEFT(AD153,3)," - 4")</f>
        <v>125 - 4</v>
      </c>
      <c r="AE154" s="1182" t="str">
        <f>CONCATENATE(LEFT(AE153,3)," - 3")</f>
        <v>132 - 3</v>
      </c>
    </row>
    <row r="155" spans="1:31" x14ac:dyDescent="0.2">
      <c r="A155" s="240" t="s">
        <v>971</v>
      </c>
      <c r="E155" s="998" t="s">
        <v>1168</v>
      </c>
      <c r="F155" s="240" t="s">
        <v>1115</v>
      </c>
      <c r="G155" s="240" t="s">
        <v>1130</v>
      </c>
      <c r="H155" s="240">
        <v>23050</v>
      </c>
      <c r="I155" s="240">
        <v>0.5</v>
      </c>
      <c r="J155" s="240">
        <v>0.38</v>
      </c>
      <c r="K155" s="240" t="s">
        <v>1227</v>
      </c>
      <c r="M155" s="240" t="s">
        <v>1536</v>
      </c>
      <c r="AA155" s="1183" t="str">
        <f>CONCATENATE(LEFT(AA154,3)," - 4")</f>
        <v>105 - 4</v>
      </c>
      <c r="AB155" s="972" t="str">
        <f>CONCATENATE(LEFT(AB154,3)," - 3")</f>
        <v>112 - 3</v>
      </c>
      <c r="AC155" s="972" t="str">
        <f>CONCATENATE(LEFT(AC154,3)," - 2")</f>
        <v>119 - 2</v>
      </c>
      <c r="AD155" s="972" t="str">
        <f>CONCATENATE(LEFT(AD154,3)+1," - 1")</f>
        <v>126 - 1</v>
      </c>
      <c r="AE155" s="1182" t="str">
        <f>CONCATENATE(LEFT(AE154,3)," - 4")</f>
        <v>132 - 4</v>
      </c>
    </row>
    <row r="156" spans="1:31" x14ac:dyDescent="0.2">
      <c r="A156" s="240" t="s">
        <v>906</v>
      </c>
      <c r="E156" s="974" t="s">
        <v>1130</v>
      </c>
      <c r="F156" s="240" t="s">
        <v>1126</v>
      </c>
      <c r="G156" s="240" t="s">
        <v>1130</v>
      </c>
      <c r="H156" s="240">
        <v>22100</v>
      </c>
      <c r="I156" s="240">
        <v>0.5</v>
      </c>
      <c r="J156" s="240">
        <v>0.38</v>
      </c>
      <c r="K156" s="240" t="s">
        <v>1227</v>
      </c>
      <c r="M156" s="240" t="s">
        <v>1537</v>
      </c>
      <c r="AA156" s="1183" t="str">
        <f>CONCATENATE(LEFT(AA155,3)+1," - 1")</f>
        <v>106 - 1</v>
      </c>
      <c r="AB156" s="972" t="str">
        <f>CONCATENATE(LEFT(AB155,3)," - 4")</f>
        <v>112 - 4</v>
      </c>
      <c r="AC156" s="972" t="str">
        <f>CONCATENATE(LEFT(AC155,3)," - 3")</f>
        <v>119 - 3</v>
      </c>
      <c r="AD156" s="972" t="str">
        <f>CONCATENATE(LEFT(AD155,3)," - 2")</f>
        <v>126 - 2</v>
      </c>
      <c r="AE156" s="1182" t="str">
        <f>CONCATENATE(LEFT(AE155,3)+1," - 1")</f>
        <v>133 - 1</v>
      </c>
    </row>
    <row r="157" spans="1:31" x14ac:dyDescent="0.2">
      <c r="A157" s="240" t="s">
        <v>1161</v>
      </c>
      <c r="E157" s="983" t="s">
        <v>1167</v>
      </c>
      <c r="F157" s="240" t="s">
        <v>1122</v>
      </c>
      <c r="G157" s="240">
        <v>2</v>
      </c>
      <c r="H157" s="240">
        <v>20575</v>
      </c>
      <c r="I157" s="240">
        <v>1</v>
      </c>
      <c r="J157" s="970">
        <v>0.75</v>
      </c>
      <c r="K157" s="240" t="s">
        <v>1227</v>
      </c>
      <c r="M157" s="984" t="s">
        <v>1174</v>
      </c>
      <c r="AA157" s="1183" t="str">
        <f>CONCATENATE(LEFT(AA156,3)," - 2")</f>
        <v>106 - 2</v>
      </c>
      <c r="AB157" s="972" t="str">
        <f>CONCATENATE(LEFT(AB156,3)+1," - 1")</f>
        <v>113 - 1</v>
      </c>
      <c r="AC157" s="972" t="str">
        <f>CONCATENATE(LEFT(AC156,3)," - 4")</f>
        <v>119 - 4</v>
      </c>
      <c r="AD157" s="972" t="str">
        <f>CONCATENATE(LEFT(AD156,3)," - 3")</f>
        <v>126 - 3</v>
      </c>
      <c r="AE157" s="1182" t="str">
        <f>CONCATENATE(LEFT(AE156,3)," - 2")</f>
        <v>133 - 2</v>
      </c>
    </row>
    <row r="158" spans="1:31" x14ac:dyDescent="0.2">
      <c r="A158" s="240" t="s">
        <v>1162</v>
      </c>
      <c r="E158" s="983" t="s">
        <v>1167</v>
      </c>
      <c r="F158" s="240" t="s">
        <v>1122</v>
      </c>
      <c r="G158" s="240">
        <v>2</v>
      </c>
      <c r="H158" s="606">
        <v>20600</v>
      </c>
      <c r="I158" s="240">
        <v>1.5</v>
      </c>
      <c r="J158" s="970">
        <v>1</v>
      </c>
      <c r="K158" s="240" t="s">
        <v>1227</v>
      </c>
      <c r="M158" s="240" t="s">
        <v>1171</v>
      </c>
      <c r="AA158" s="1183" t="str">
        <f>CONCATENATE(LEFT(AA157,3)," - 3")</f>
        <v>106 - 3</v>
      </c>
      <c r="AB158" s="972" t="str">
        <f>CONCATENATE(LEFT(AB157,3)," - 2")</f>
        <v>113 - 2</v>
      </c>
      <c r="AC158" s="972" t="str">
        <f>CONCATENATE(LEFT(AC157,3)+1," - 1")</f>
        <v>120 - 1</v>
      </c>
      <c r="AD158" s="972" t="str">
        <f>CONCATENATE(LEFT(AD157,3)," - 4")</f>
        <v>126 - 4</v>
      </c>
      <c r="AE158" s="1182" t="str">
        <f>CONCATENATE(LEFT(AE157,3)," - 3")</f>
        <v>133 - 3</v>
      </c>
    </row>
    <row r="159" spans="1:31" x14ac:dyDescent="0.2">
      <c r="A159" s="240" t="s">
        <v>1163</v>
      </c>
      <c r="E159" s="983" t="s">
        <v>1168</v>
      </c>
      <c r="F159" s="240" t="s">
        <v>1115</v>
      </c>
      <c r="G159" s="240">
        <v>2</v>
      </c>
      <c r="H159" s="606">
        <v>20500</v>
      </c>
      <c r="I159" s="240">
        <v>0.5</v>
      </c>
      <c r="J159" s="970">
        <v>0.38</v>
      </c>
      <c r="K159" s="240" t="s">
        <v>1227</v>
      </c>
      <c r="M159" s="240" t="s">
        <v>1172</v>
      </c>
      <c r="AA159" s="1183" t="str">
        <f>CONCATENATE(LEFT(AA158,3)," - 4")</f>
        <v>106 - 4</v>
      </c>
      <c r="AB159" s="972" t="str">
        <f>CONCATENATE(LEFT(AB158,3)," - 3")</f>
        <v>113 - 3</v>
      </c>
      <c r="AC159" s="972" t="str">
        <f>CONCATENATE(LEFT(AC158,3)," - 2")</f>
        <v>120 - 2</v>
      </c>
      <c r="AD159" s="972" t="str">
        <f>CONCATENATE(LEFT(AD158,3)+1," - 1")</f>
        <v>127 - 1</v>
      </c>
      <c r="AE159" s="1182" t="str">
        <f>CONCATENATE(LEFT(AE158,3)," - 4")</f>
        <v>133 - 4</v>
      </c>
    </row>
    <row r="160" spans="1:31" x14ac:dyDescent="0.2">
      <c r="A160" s="240" t="s">
        <v>2450</v>
      </c>
      <c r="E160" s="983" t="s">
        <v>1168</v>
      </c>
      <c r="F160" s="240" t="s">
        <v>1115</v>
      </c>
      <c r="G160" s="240">
        <v>3</v>
      </c>
      <c r="H160" s="240">
        <v>20490</v>
      </c>
      <c r="I160" s="240">
        <v>0.38</v>
      </c>
      <c r="J160" s="970" t="s">
        <v>1169</v>
      </c>
      <c r="K160" s="240" t="s">
        <v>1227</v>
      </c>
      <c r="L160" s="240" t="s">
        <v>166</v>
      </c>
      <c r="M160" s="1225" t="s">
        <v>2451</v>
      </c>
      <c r="AA160" s="1183" t="str">
        <f>CONCATENATE(LEFT(AA159,3)+1," - 1")</f>
        <v>107 - 1</v>
      </c>
      <c r="AB160" s="972" t="str">
        <f>CONCATENATE(LEFT(AB159,3)," - 4")</f>
        <v>113 - 4</v>
      </c>
      <c r="AC160" s="972" t="str">
        <f>CONCATENATE(LEFT(AC159,3)," - 3")</f>
        <v>120 - 3</v>
      </c>
      <c r="AD160" s="972" t="str">
        <f>CONCATENATE(LEFT(AD159,3)," - 2")</f>
        <v>127 - 2</v>
      </c>
      <c r="AE160" s="1182" t="str">
        <f>CONCATENATE(LEFT(AE159,3)+1," - 1")</f>
        <v>134 - 1</v>
      </c>
    </row>
    <row r="161" spans="1:31" x14ac:dyDescent="0.2">
      <c r="A161" s="240" t="s">
        <v>1499</v>
      </c>
      <c r="E161" s="983" t="s">
        <v>1168</v>
      </c>
      <c r="F161" s="240" t="s">
        <v>1115</v>
      </c>
      <c r="G161" s="240">
        <v>3</v>
      </c>
      <c r="H161" s="240">
        <v>20490</v>
      </c>
      <c r="I161" s="240">
        <v>0.38</v>
      </c>
      <c r="J161" s="970" t="s">
        <v>1169</v>
      </c>
      <c r="K161" s="240" t="s">
        <v>1227</v>
      </c>
      <c r="L161" s="240" t="s">
        <v>167</v>
      </c>
      <c r="M161" s="1225" t="s">
        <v>2452</v>
      </c>
      <c r="AA161" s="1183" t="str">
        <f>CONCATENATE(LEFT(AA160,3)," - 2")</f>
        <v>107 - 2</v>
      </c>
      <c r="AB161" s="972" t="str">
        <f>CONCATENATE(LEFT(AB160,3)+1," - 1")</f>
        <v>114 - 1</v>
      </c>
      <c r="AC161" s="972" t="str">
        <f>CONCATENATE(LEFT(AC160,3)," - 4")</f>
        <v>120 - 4</v>
      </c>
      <c r="AD161" s="972" t="str">
        <f>CONCATENATE(LEFT(AD160,3)," - 3")</f>
        <v>127 - 3</v>
      </c>
      <c r="AE161" s="1182" t="str">
        <f>CONCATENATE(LEFT(AE160,3)," - 2")</f>
        <v>134 - 2</v>
      </c>
    </row>
    <row r="162" spans="1:31" x14ac:dyDescent="0.2">
      <c r="A162" s="240" t="s">
        <v>2448</v>
      </c>
      <c r="E162" s="983" t="s">
        <v>1168</v>
      </c>
      <c r="F162" s="240" t="s">
        <v>1115</v>
      </c>
      <c r="G162" s="240">
        <v>3</v>
      </c>
      <c r="H162" s="240">
        <v>20490</v>
      </c>
      <c r="I162" s="240">
        <v>0.38</v>
      </c>
      <c r="J162" s="970" t="s">
        <v>1169</v>
      </c>
      <c r="K162" s="240" t="s">
        <v>1227</v>
      </c>
      <c r="M162" s="1225" t="s">
        <v>2453</v>
      </c>
      <c r="AA162" s="1183" t="str">
        <f>CONCATENATE(LEFT(AA161,3)," - 3")</f>
        <v>107 - 3</v>
      </c>
      <c r="AB162" s="972" t="str">
        <f>CONCATENATE(LEFT(AB161,3)," - 2")</f>
        <v>114 - 2</v>
      </c>
      <c r="AC162" s="972" t="str">
        <f>CONCATENATE(LEFT(AC161,3)+1," - 1")</f>
        <v>121 - 1</v>
      </c>
      <c r="AD162" s="972" t="str">
        <f>CONCATENATE(LEFT(AD161,3)," - 4")</f>
        <v>127 - 4</v>
      </c>
      <c r="AE162" s="1182" t="str">
        <f>CONCATENATE(LEFT(AE161,3)," - 3")</f>
        <v>134 - 3</v>
      </c>
    </row>
    <row r="163" spans="1:31" x14ac:dyDescent="0.2">
      <c r="A163" s="240" t="s">
        <v>2449</v>
      </c>
      <c r="E163" s="983" t="s">
        <v>1168</v>
      </c>
      <c r="F163" s="240" t="s">
        <v>1115</v>
      </c>
      <c r="G163" s="240">
        <v>2</v>
      </c>
      <c r="H163" s="240">
        <v>20490</v>
      </c>
      <c r="I163" s="240">
        <v>0.38</v>
      </c>
      <c r="J163" s="970" t="s">
        <v>1169</v>
      </c>
      <c r="K163" s="240" t="s">
        <v>1227</v>
      </c>
      <c r="L163" s="240" t="s">
        <v>167</v>
      </c>
      <c r="M163" s="1225" t="s">
        <v>2454</v>
      </c>
      <c r="AA163" s="1183" t="str">
        <f>CONCATENATE(LEFT(AA162,3)," - 4")</f>
        <v>107 - 4</v>
      </c>
      <c r="AB163" s="972" t="str">
        <f>CONCATENATE(LEFT(AB162,3)," - 3")</f>
        <v>114 - 3</v>
      </c>
      <c r="AC163" s="972" t="str">
        <f>CONCATENATE(LEFT(AC162,3)," - 2")</f>
        <v>121 - 2</v>
      </c>
      <c r="AD163" s="972" t="str">
        <f>CONCATENATE(LEFT(AD162,3)+1," - 1")</f>
        <v>128 - 1</v>
      </c>
      <c r="AE163" s="1182" t="str">
        <f>CONCATENATE(LEFT(AE162,3)," - 4")</f>
        <v>134 - 4</v>
      </c>
    </row>
    <row r="164" spans="1:31" x14ac:dyDescent="0.2">
      <c r="A164" s="240" t="s">
        <v>2653</v>
      </c>
      <c r="E164" s="983" t="s">
        <v>1168</v>
      </c>
      <c r="F164" s="240" t="s">
        <v>1115</v>
      </c>
      <c r="G164" s="240">
        <v>4</v>
      </c>
      <c r="H164" s="240">
        <v>20490</v>
      </c>
      <c r="I164" s="240">
        <v>0.38</v>
      </c>
      <c r="J164" s="970" t="s">
        <v>1169</v>
      </c>
      <c r="K164" s="240" t="s">
        <v>1227</v>
      </c>
      <c r="L164" s="240" t="s">
        <v>166</v>
      </c>
      <c r="M164" s="1225" t="s">
        <v>2654</v>
      </c>
      <c r="AA164" s="1183" t="str">
        <f>CONCATENATE(LEFT(AA163,3)+1," - 1")</f>
        <v>108 - 1</v>
      </c>
      <c r="AB164" s="972" t="str">
        <f>CONCATENATE(LEFT(AB163,3)," - 4")</f>
        <v>114 - 4</v>
      </c>
      <c r="AC164" s="972" t="str">
        <f>CONCATENATE(LEFT(AC163,3)," - 3")</f>
        <v>121 - 3</v>
      </c>
      <c r="AD164" s="972" t="str">
        <f>CONCATENATE(LEFT(AD163,3)," - 2")</f>
        <v>128 - 2</v>
      </c>
      <c r="AE164" s="1182" t="str">
        <f>CONCATENATE(LEFT(AE163,3)+1," - 1")</f>
        <v>135 - 1</v>
      </c>
    </row>
    <row r="165" spans="1:31" x14ac:dyDescent="0.2">
      <c r="A165" s="240" t="s">
        <v>1164</v>
      </c>
      <c r="E165" s="983" t="s">
        <v>1168</v>
      </c>
      <c r="F165" s="240" t="s">
        <v>1115</v>
      </c>
      <c r="G165" s="240">
        <v>2</v>
      </c>
      <c r="H165" s="240">
        <v>20490</v>
      </c>
      <c r="I165" s="240">
        <v>0.38</v>
      </c>
      <c r="J165" s="970" t="s">
        <v>1169</v>
      </c>
      <c r="K165" s="240" t="s">
        <v>1227</v>
      </c>
      <c r="M165" s="240" t="s">
        <v>1173</v>
      </c>
      <c r="AA165" s="1183" t="str">
        <f>CONCATENATE(LEFT(AA164,3)," - 2")</f>
        <v>108 - 2</v>
      </c>
      <c r="AB165" s="972" t="str">
        <f>CONCATENATE(LEFT(AB164,3)+1," - 1")</f>
        <v>115 - 1</v>
      </c>
      <c r="AC165" s="972" t="str">
        <f>CONCATENATE(LEFT(AC164,3)," - 4")</f>
        <v>121 - 4</v>
      </c>
      <c r="AD165" s="972" t="str">
        <f>CONCATENATE(LEFT(AD164,3)," - 3")</f>
        <v>128 - 3</v>
      </c>
      <c r="AE165" s="1182" t="str">
        <f>CONCATENATE(LEFT(AE164,3)," - 2")</f>
        <v>135 - 2</v>
      </c>
    </row>
    <row r="166" spans="1:31" x14ac:dyDescent="0.2">
      <c r="A166" s="240" t="s">
        <v>2277</v>
      </c>
      <c r="E166" s="998" t="s">
        <v>1168</v>
      </c>
      <c r="F166" s="240" t="s">
        <v>1115</v>
      </c>
      <c r="G166" s="240">
        <v>3</v>
      </c>
      <c r="H166" s="240">
        <v>20500</v>
      </c>
      <c r="I166" s="240">
        <v>0.5</v>
      </c>
      <c r="J166" s="240">
        <v>0.38</v>
      </c>
      <c r="K166" s="240" t="s">
        <v>1227</v>
      </c>
      <c r="L166" s="240" t="s">
        <v>166</v>
      </c>
      <c r="M166" s="984" t="s">
        <v>2278</v>
      </c>
      <c r="AA166" s="1183" t="str">
        <f>CONCATENATE(LEFT(AA165,3)," - 3")</f>
        <v>108 - 3</v>
      </c>
      <c r="AB166" s="972" t="str">
        <f>CONCATENATE(LEFT(AB165,3)," - 2")</f>
        <v>115 - 2</v>
      </c>
      <c r="AC166" s="972" t="str">
        <f>CONCATENATE(LEFT(AC165,3)+1," - 1")</f>
        <v>122 - 1</v>
      </c>
      <c r="AD166" s="972" t="str">
        <f>CONCATENATE(LEFT(AD165,3)," - 4")</f>
        <v>128 - 4</v>
      </c>
      <c r="AE166" s="1182" t="str">
        <f>CONCATENATE(LEFT(AE165,3)," - 3")</f>
        <v>135 - 3</v>
      </c>
    </row>
    <row r="167" spans="1:31" ht="13.5" thickBot="1" x14ac:dyDescent="0.25">
      <c r="A167" s="240" t="s">
        <v>1165</v>
      </c>
      <c r="E167" s="983" t="s">
        <v>1167</v>
      </c>
      <c r="F167" s="240" t="s">
        <v>1122</v>
      </c>
      <c r="G167" s="240">
        <v>3</v>
      </c>
      <c r="H167" s="606">
        <v>20500</v>
      </c>
      <c r="I167" s="240">
        <v>0.5</v>
      </c>
      <c r="J167" s="970">
        <v>0.38</v>
      </c>
      <c r="K167" s="240" t="s">
        <v>1227</v>
      </c>
      <c r="L167" s="240" t="s">
        <v>167</v>
      </c>
      <c r="M167" s="984" t="s">
        <v>1170</v>
      </c>
      <c r="AA167" s="1184" t="str">
        <f>CONCATENATE(LEFT(AA166,3)," - 4")</f>
        <v>108 - 4</v>
      </c>
      <c r="AB167" s="1185" t="str">
        <f>CONCATENATE(LEFT(AB166,3)," - 3")</f>
        <v>115 - 3</v>
      </c>
      <c r="AC167" s="1185" t="str">
        <f>CONCATENATE(LEFT(AC166,3)," - 2")</f>
        <v>122 - 2</v>
      </c>
      <c r="AD167" s="1185" t="str">
        <f>CONCATENATE(LEFT(AD166,3)+1," - 1")</f>
        <v>129 - 1</v>
      </c>
      <c r="AE167" s="1186" t="str">
        <f>CONCATENATE(LEFT(AE166,3)," - 4")</f>
        <v>135 - 4</v>
      </c>
    </row>
    <row r="168" spans="1:31" ht="14.25" thickTop="1" thickBot="1" x14ac:dyDescent="0.25">
      <c r="A168" s="240" t="s">
        <v>1033</v>
      </c>
      <c r="E168" s="998" t="s">
        <v>1168</v>
      </c>
      <c r="F168" s="240" t="s">
        <v>1115</v>
      </c>
      <c r="G168" s="240">
        <v>4</v>
      </c>
      <c r="H168" s="240">
        <v>20500</v>
      </c>
      <c r="I168" s="240">
        <v>0.5</v>
      </c>
      <c r="J168" s="240">
        <v>0.38</v>
      </c>
      <c r="K168" s="240" t="s">
        <v>1227</v>
      </c>
      <c r="L168" s="240" t="s">
        <v>166</v>
      </c>
      <c r="M168" s="984" t="s">
        <v>2281</v>
      </c>
    </row>
    <row r="169" spans="1:31" ht="13.5" thickTop="1" x14ac:dyDescent="0.2">
      <c r="A169" s="240" t="s">
        <v>1034</v>
      </c>
      <c r="E169" s="998" t="s">
        <v>1168</v>
      </c>
      <c r="F169" s="240" t="s">
        <v>1115</v>
      </c>
      <c r="G169" s="240">
        <v>4</v>
      </c>
      <c r="H169" s="240">
        <v>20500</v>
      </c>
      <c r="I169" s="240">
        <v>0.5</v>
      </c>
      <c r="J169" s="240">
        <v>0.38</v>
      </c>
      <c r="K169" s="240" t="s">
        <v>1227</v>
      </c>
      <c r="L169" s="240" t="s">
        <v>167</v>
      </c>
      <c r="M169" s="984" t="s">
        <v>2282</v>
      </c>
      <c r="AA169" s="1176">
        <f>IF($K$48="E",AE139+1000,AE139+900)</f>
        <v>486900</v>
      </c>
      <c r="AB169" s="1177">
        <f>IF($K$48="E",AA195+1000,AA195+900)</f>
        <v>511200</v>
      </c>
      <c r="AC169" s="1177">
        <f>IF($K$48="E",AB195+1000,AB195+900)</f>
        <v>535500</v>
      </c>
      <c r="AD169" s="1177">
        <f>IF($K$48="E",AC195+1000,AC195+900)</f>
        <v>559800</v>
      </c>
      <c r="AE169" s="1178">
        <f>IF($K$48="E",AD195+1000,AD195+900)</f>
        <v>584100</v>
      </c>
    </row>
    <row r="170" spans="1:31" x14ac:dyDescent="0.2">
      <c r="A170" s="240" t="s">
        <v>1166</v>
      </c>
      <c r="E170" s="983" t="s">
        <v>1168</v>
      </c>
      <c r="F170" s="240" t="s">
        <v>1115</v>
      </c>
      <c r="G170" s="240">
        <v>4</v>
      </c>
      <c r="H170" s="606">
        <v>20500</v>
      </c>
      <c r="I170" s="240">
        <v>0.5</v>
      </c>
      <c r="J170" s="970">
        <v>0.38</v>
      </c>
      <c r="K170" s="240" t="s">
        <v>1227</v>
      </c>
      <c r="M170" s="240" t="s">
        <v>1175</v>
      </c>
      <c r="AA170" s="1179">
        <f t="shared" ref="AA170:AA195" si="34">IF($K$48="E",AA169+1000,AA169+900)</f>
        <v>487800</v>
      </c>
      <c r="AB170" s="240">
        <f t="shared" ref="AB170:AB195" si="35">IF($K$48="E",AB169+1000,AB169+900)</f>
        <v>512100</v>
      </c>
      <c r="AC170" s="240">
        <f t="shared" ref="AC170:AC195" si="36">IF($K$48="E",AC169+1000,AC169+900)</f>
        <v>536400</v>
      </c>
      <c r="AD170" s="240">
        <f t="shared" ref="AD170:AD195" si="37">IF($K$48="E",AD169+1000,AD169+900)</f>
        <v>560700</v>
      </c>
      <c r="AE170" s="1180">
        <f t="shared" ref="AE170:AE195" si="38">IF($K$48="E",AE169+1000,AE169+900)</f>
        <v>585000</v>
      </c>
    </row>
    <row r="171" spans="1:31" x14ac:dyDescent="0.2">
      <c r="A171" s="240" t="s">
        <v>1447</v>
      </c>
      <c r="E171" s="983" t="s">
        <v>1168</v>
      </c>
      <c r="F171" s="240" t="s">
        <v>1115</v>
      </c>
      <c r="G171" s="240">
        <v>2</v>
      </c>
      <c r="H171" s="606">
        <v>20525</v>
      </c>
      <c r="I171" s="240">
        <v>0.75</v>
      </c>
      <c r="J171" s="240">
        <v>0.5</v>
      </c>
      <c r="K171" s="240" t="s">
        <v>1227</v>
      </c>
      <c r="L171" s="240" t="s">
        <v>166</v>
      </c>
      <c r="M171" s="984" t="s">
        <v>1448</v>
      </c>
      <c r="AA171" s="1179">
        <f t="shared" si="34"/>
        <v>488700</v>
      </c>
      <c r="AB171" s="240">
        <f t="shared" si="35"/>
        <v>513000</v>
      </c>
      <c r="AC171" s="240">
        <f t="shared" si="36"/>
        <v>537300</v>
      </c>
      <c r="AD171" s="240">
        <f t="shared" si="37"/>
        <v>561600</v>
      </c>
      <c r="AE171" s="1180">
        <f t="shared" si="38"/>
        <v>585900</v>
      </c>
    </row>
    <row r="172" spans="1:31" x14ac:dyDescent="0.2">
      <c r="A172" s="240" t="s">
        <v>1449</v>
      </c>
      <c r="E172" s="983" t="s">
        <v>1168</v>
      </c>
      <c r="F172" s="240" t="s">
        <v>1115</v>
      </c>
      <c r="G172" s="240">
        <v>2</v>
      </c>
      <c r="H172" s="606">
        <v>20525</v>
      </c>
      <c r="I172" s="240">
        <v>0.75</v>
      </c>
      <c r="J172" s="240">
        <v>0.5</v>
      </c>
      <c r="K172" s="240" t="s">
        <v>1227</v>
      </c>
      <c r="L172" s="240" t="s">
        <v>167</v>
      </c>
      <c r="M172" s="984" t="s">
        <v>1450</v>
      </c>
      <c r="AA172" s="1179">
        <f t="shared" si="34"/>
        <v>489600</v>
      </c>
      <c r="AB172" s="240">
        <f t="shared" si="35"/>
        <v>513900</v>
      </c>
      <c r="AC172" s="240">
        <f t="shared" si="36"/>
        <v>538200</v>
      </c>
      <c r="AD172" s="240">
        <f t="shared" si="37"/>
        <v>562500</v>
      </c>
      <c r="AE172" s="1180">
        <f t="shared" si="38"/>
        <v>586800</v>
      </c>
    </row>
    <row r="173" spans="1:31" x14ac:dyDescent="0.2">
      <c r="A173" s="240" t="s">
        <v>1451</v>
      </c>
      <c r="E173" s="998" t="s">
        <v>1168</v>
      </c>
      <c r="F173" s="240" t="s">
        <v>1115</v>
      </c>
      <c r="G173" s="240">
        <v>3</v>
      </c>
      <c r="H173" s="606">
        <v>20525</v>
      </c>
      <c r="I173" s="240">
        <v>0.75</v>
      </c>
      <c r="J173" s="240">
        <v>0.5</v>
      </c>
      <c r="K173" s="240" t="s">
        <v>1227</v>
      </c>
      <c r="L173" s="240" t="s">
        <v>167</v>
      </c>
      <c r="M173" s="984" t="s">
        <v>1453</v>
      </c>
      <c r="AA173" s="1179">
        <f t="shared" si="34"/>
        <v>490500</v>
      </c>
      <c r="AB173" s="240">
        <f t="shared" si="35"/>
        <v>514800</v>
      </c>
      <c r="AC173" s="240">
        <f t="shared" si="36"/>
        <v>539100</v>
      </c>
      <c r="AD173" s="240">
        <f t="shared" si="37"/>
        <v>563400</v>
      </c>
      <c r="AE173" s="1180">
        <f t="shared" si="38"/>
        <v>587700</v>
      </c>
    </row>
    <row r="174" spans="1:31" x14ac:dyDescent="0.2">
      <c r="A174" s="240" t="s">
        <v>1452</v>
      </c>
      <c r="E174" s="983" t="s">
        <v>1167</v>
      </c>
      <c r="F174" s="240" t="s">
        <v>1122</v>
      </c>
      <c r="G174" s="240">
        <v>4</v>
      </c>
      <c r="H174" s="606">
        <v>20525</v>
      </c>
      <c r="I174" s="240">
        <v>0.75</v>
      </c>
      <c r="J174" s="240">
        <v>0.5</v>
      </c>
      <c r="K174" s="240" t="s">
        <v>1227</v>
      </c>
      <c r="L174" s="240" t="s">
        <v>166</v>
      </c>
      <c r="M174" s="984" t="s">
        <v>1454</v>
      </c>
      <c r="AA174" s="1179">
        <f t="shared" si="34"/>
        <v>491400</v>
      </c>
      <c r="AB174" s="240">
        <f t="shared" si="35"/>
        <v>515700</v>
      </c>
      <c r="AC174" s="240">
        <f t="shared" si="36"/>
        <v>540000</v>
      </c>
      <c r="AD174" s="240">
        <f t="shared" si="37"/>
        <v>564300</v>
      </c>
      <c r="AE174" s="1180">
        <f t="shared" si="38"/>
        <v>588600</v>
      </c>
    </row>
    <row r="175" spans="1:31" x14ac:dyDescent="0.2">
      <c r="A175" s="240" t="s">
        <v>1499</v>
      </c>
      <c r="E175" s="983">
        <v>6422</v>
      </c>
      <c r="F175" s="240" t="s">
        <v>1115</v>
      </c>
      <c r="G175" s="240">
        <v>3</v>
      </c>
      <c r="H175" s="240">
        <v>20490</v>
      </c>
      <c r="I175" s="240">
        <v>0.38</v>
      </c>
      <c r="J175" s="970" t="s">
        <v>1169</v>
      </c>
      <c r="K175" s="240" t="s">
        <v>1227</v>
      </c>
      <c r="L175" s="240" t="s">
        <v>167</v>
      </c>
      <c r="M175" s="984" t="s">
        <v>1504</v>
      </c>
      <c r="AA175" s="1179">
        <f t="shared" si="34"/>
        <v>492300</v>
      </c>
      <c r="AB175" s="240">
        <f t="shared" si="35"/>
        <v>516600</v>
      </c>
      <c r="AC175" s="240">
        <f t="shared" si="36"/>
        <v>540900</v>
      </c>
      <c r="AD175" s="240">
        <f t="shared" si="37"/>
        <v>565200</v>
      </c>
      <c r="AE175" s="1180">
        <f t="shared" si="38"/>
        <v>589500</v>
      </c>
    </row>
    <row r="176" spans="1:31" x14ac:dyDescent="0.2">
      <c r="A176" s="240" t="s">
        <v>1500</v>
      </c>
      <c r="E176" s="983">
        <v>6422</v>
      </c>
      <c r="F176" s="240" t="s">
        <v>1115</v>
      </c>
      <c r="G176" s="240">
        <v>2</v>
      </c>
      <c r="H176" s="240">
        <v>20575</v>
      </c>
      <c r="I176" s="240">
        <v>1</v>
      </c>
      <c r="J176" s="970">
        <v>0.75</v>
      </c>
      <c r="K176" s="240" t="s">
        <v>1227</v>
      </c>
      <c r="M176" s="984" t="s">
        <v>1505</v>
      </c>
      <c r="AA176" s="1179">
        <f t="shared" si="34"/>
        <v>493200</v>
      </c>
      <c r="AB176" s="240">
        <f t="shared" si="35"/>
        <v>517500</v>
      </c>
      <c r="AC176" s="240">
        <f t="shared" si="36"/>
        <v>541800</v>
      </c>
      <c r="AD176" s="240">
        <f t="shared" si="37"/>
        <v>566100</v>
      </c>
      <c r="AE176" s="1180">
        <f t="shared" si="38"/>
        <v>590400</v>
      </c>
    </row>
    <row r="177" spans="1:31" x14ac:dyDescent="0.2">
      <c r="A177" s="987" t="s">
        <v>1176</v>
      </c>
      <c r="B177" s="984"/>
      <c r="C177" s="984"/>
      <c r="D177" s="984"/>
      <c r="E177" s="988"/>
      <c r="F177" s="984"/>
      <c r="G177" s="984"/>
      <c r="H177" s="984" t="str">
        <f>IF(J177=0.38,20500,IF(J177=0.5,20525,IF(J177=0.75,20575,IF(J177=1,20600,IF(J177=1.5,20625,"")))))</f>
        <v/>
      </c>
      <c r="I177" s="984" t="str">
        <f>IF(J177=0.38,0.5,IF(J177=0.5,0.75,IF(J177=0.75,1,IF(J177=1,1.5,IF(J177=1.5,2,"")))))</f>
        <v/>
      </c>
      <c r="J177" s="984"/>
      <c r="K177" s="984"/>
      <c r="L177" s="984"/>
      <c r="M177" s="984"/>
      <c r="AA177" s="1179">
        <f t="shared" si="34"/>
        <v>494100</v>
      </c>
      <c r="AB177" s="240">
        <f t="shared" si="35"/>
        <v>518400</v>
      </c>
      <c r="AC177" s="240">
        <f t="shared" si="36"/>
        <v>542700</v>
      </c>
      <c r="AD177" s="240">
        <f t="shared" si="37"/>
        <v>567000</v>
      </c>
      <c r="AE177" s="1180">
        <f t="shared" si="38"/>
        <v>591300</v>
      </c>
    </row>
    <row r="178" spans="1:31" x14ac:dyDescent="0.2">
      <c r="AA178" s="1179">
        <f t="shared" si="34"/>
        <v>495000</v>
      </c>
      <c r="AB178" s="240">
        <f t="shared" si="35"/>
        <v>519300</v>
      </c>
      <c r="AC178" s="240">
        <f t="shared" si="36"/>
        <v>543600</v>
      </c>
      <c r="AD178" s="240">
        <f t="shared" si="37"/>
        <v>567900</v>
      </c>
      <c r="AE178" s="1180">
        <f t="shared" si="38"/>
        <v>592200</v>
      </c>
    </row>
    <row r="179" spans="1:31" x14ac:dyDescent="0.2">
      <c r="AA179" s="1179">
        <f t="shared" si="34"/>
        <v>495900</v>
      </c>
      <c r="AB179" s="240">
        <f t="shared" si="35"/>
        <v>520200</v>
      </c>
      <c r="AC179" s="240">
        <f t="shared" si="36"/>
        <v>544500</v>
      </c>
      <c r="AD179" s="240">
        <f t="shared" si="37"/>
        <v>568800</v>
      </c>
      <c r="AE179" s="1180">
        <f t="shared" si="38"/>
        <v>593100</v>
      </c>
    </row>
    <row r="180" spans="1:31" x14ac:dyDescent="0.2">
      <c r="AA180" s="1179">
        <f t="shared" si="34"/>
        <v>496800</v>
      </c>
      <c r="AB180" s="240">
        <f t="shared" si="35"/>
        <v>521100</v>
      </c>
      <c r="AC180" s="240">
        <f t="shared" si="36"/>
        <v>545400</v>
      </c>
      <c r="AD180" s="240">
        <f t="shared" si="37"/>
        <v>569700</v>
      </c>
      <c r="AE180" s="1180">
        <f t="shared" si="38"/>
        <v>594000</v>
      </c>
    </row>
    <row r="181" spans="1:31" x14ac:dyDescent="0.2">
      <c r="AA181" s="1179">
        <f t="shared" si="34"/>
        <v>497700</v>
      </c>
      <c r="AB181" s="240">
        <f t="shared" si="35"/>
        <v>522000</v>
      </c>
      <c r="AC181" s="240">
        <f t="shared" si="36"/>
        <v>546300</v>
      </c>
      <c r="AD181" s="240">
        <f t="shared" si="37"/>
        <v>570600</v>
      </c>
      <c r="AE181" s="1180">
        <f t="shared" si="38"/>
        <v>594900</v>
      </c>
    </row>
    <row r="182" spans="1:31" x14ac:dyDescent="0.2">
      <c r="AA182" s="1179">
        <f t="shared" si="34"/>
        <v>498600</v>
      </c>
      <c r="AB182" s="240">
        <f t="shared" si="35"/>
        <v>522900</v>
      </c>
      <c r="AC182" s="240">
        <f t="shared" si="36"/>
        <v>547200</v>
      </c>
      <c r="AD182" s="240">
        <f t="shared" si="37"/>
        <v>571500</v>
      </c>
      <c r="AE182" s="1180">
        <f t="shared" si="38"/>
        <v>595800</v>
      </c>
    </row>
    <row r="183" spans="1:31" x14ac:dyDescent="0.2">
      <c r="AA183" s="1179">
        <f t="shared" si="34"/>
        <v>499500</v>
      </c>
      <c r="AB183" s="240">
        <f t="shared" si="35"/>
        <v>523800</v>
      </c>
      <c r="AC183" s="240">
        <f t="shared" si="36"/>
        <v>548100</v>
      </c>
      <c r="AD183" s="240">
        <f t="shared" si="37"/>
        <v>572400</v>
      </c>
      <c r="AE183" s="1180">
        <f t="shared" si="38"/>
        <v>596700</v>
      </c>
    </row>
    <row r="184" spans="1:31" x14ac:dyDescent="0.2">
      <c r="AA184" s="1179">
        <f t="shared" si="34"/>
        <v>500400</v>
      </c>
      <c r="AB184" s="240">
        <f t="shared" si="35"/>
        <v>524700</v>
      </c>
      <c r="AC184" s="240">
        <f t="shared" si="36"/>
        <v>549000</v>
      </c>
      <c r="AD184" s="240">
        <f t="shared" si="37"/>
        <v>573300</v>
      </c>
      <c r="AE184" s="1180">
        <f t="shared" si="38"/>
        <v>597600</v>
      </c>
    </row>
    <row r="185" spans="1:31" x14ac:dyDescent="0.2">
      <c r="AA185" s="1179">
        <f t="shared" si="34"/>
        <v>501300</v>
      </c>
      <c r="AB185" s="240">
        <f t="shared" si="35"/>
        <v>525600</v>
      </c>
      <c r="AC185" s="240">
        <f t="shared" si="36"/>
        <v>549900</v>
      </c>
      <c r="AD185" s="240">
        <f t="shared" si="37"/>
        <v>574200</v>
      </c>
      <c r="AE185" s="1180">
        <f t="shared" si="38"/>
        <v>598500</v>
      </c>
    </row>
    <row r="186" spans="1:31" x14ac:dyDescent="0.2">
      <c r="AA186" s="1179">
        <f t="shared" si="34"/>
        <v>502200</v>
      </c>
      <c r="AB186" s="240">
        <f t="shared" si="35"/>
        <v>526500</v>
      </c>
      <c r="AC186" s="240">
        <f t="shared" si="36"/>
        <v>550800</v>
      </c>
      <c r="AD186" s="240">
        <f t="shared" si="37"/>
        <v>575100</v>
      </c>
      <c r="AE186" s="1180">
        <f t="shared" si="38"/>
        <v>599400</v>
      </c>
    </row>
    <row r="187" spans="1:31" x14ac:dyDescent="0.2">
      <c r="J187" s="1437" t="s">
        <v>2684</v>
      </c>
      <c r="K187" s="1437" t="s">
        <v>2685</v>
      </c>
      <c r="L187" s="1437" t="s">
        <v>2686</v>
      </c>
      <c r="M187" s="1437" t="s">
        <v>2687</v>
      </c>
      <c r="N187" s="1437" t="s">
        <v>2688</v>
      </c>
      <c r="AA187" s="1179">
        <f t="shared" si="34"/>
        <v>503100</v>
      </c>
      <c r="AB187" s="240">
        <f t="shared" si="35"/>
        <v>527400</v>
      </c>
      <c r="AC187" s="240">
        <f t="shared" si="36"/>
        <v>551700</v>
      </c>
      <c r="AD187" s="240">
        <f t="shared" si="37"/>
        <v>576000</v>
      </c>
      <c r="AE187" s="1180">
        <f t="shared" si="38"/>
        <v>600300</v>
      </c>
    </row>
    <row r="188" spans="1:31" ht="51" x14ac:dyDescent="0.2">
      <c r="J188" s="1438" t="s">
        <v>2689</v>
      </c>
      <c r="K188" s="1438" t="s">
        <v>2690</v>
      </c>
      <c r="L188" s="1438">
        <v>0</v>
      </c>
      <c r="M188" s="1438">
        <v>20</v>
      </c>
      <c r="N188" s="1438" t="s">
        <v>2693</v>
      </c>
      <c r="AA188" s="1179">
        <f t="shared" si="34"/>
        <v>504000</v>
      </c>
      <c r="AB188" s="240">
        <f t="shared" si="35"/>
        <v>528300</v>
      </c>
      <c r="AC188" s="240">
        <f t="shared" si="36"/>
        <v>552600</v>
      </c>
      <c r="AD188" s="240">
        <f t="shared" si="37"/>
        <v>576900</v>
      </c>
      <c r="AE188" s="1180">
        <f t="shared" si="38"/>
        <v>601200</v>
      </c>
    </row>
    <row r="189" spans="1:31" ht="63.75" x14ac:dyDescent="0.2">
      <c r="J189" s="1438" t="s">
        <v>2689</v>
      </c>
      <c r="K189" s="1438" t="s">
        <v>2690</v>
      </c>
      <c r="L189" s="1438">
        <v>21</v>
      </c>
      <c r="M189" s="1438">
        <v>100</v>
      </c>
      <c r="N189" s="1438" t="s">
        <v>2699</v>
      </c>
      <c r="AA189" s="1179">
        <f t="shared" si="34"/>
        <v>504900</v>
      </c>
      <c r="AB189" s="240">
        <f t="shared" si="35"/>
        <v>529200</v>
      </c>
      <c r="AC189" s="240">
        <f t="shared" si="36"/>
        <v>553500</v>
      </c>
      <c r="AD189" s="240">
        <f t="shared" si="37"/>
        <v>577800</v>
      </c>
      <c r="AE189" s="1180">
        <f t="shared" si="38"/>
        <v>602100</v>
      </c>
    </row>
    <row r="190" spans="1:31" ht="51" x14ac:dyDescent="0.2">
      <c r="J190" s="1438" t="s">
        <v>2689</v>
      </c>
      <c r="K190" s="1438" t="s">
        <v>2691</v>
      </c>
      <c r="L190" s="1438">
        <v>0</v>
      </c>
      <c r="M190" s="1438">
        <v>20</v>
      </c>
      <c r="N190" s="1438" t="s">
        <v>2694</v>
      </c>
      <c r="AA190" s="1179">
        <f t="shared" si="34"/>
        <v>505800</v>
      </c>
      <c r="AB190" s="240">
        <f t="shared" si="35"/>
        <v>530100</v>
      </c>
      <c r="AC190" s="240">
        <f t="shared" si="36"/>
        <v>554400</v>
      </c>
      <c r="AD190" s="240">
        <f t="shared" si="37"/>
        <v>578700</v>
      </c>
      <c r="AE190" s="1180">
        <f t="shared" si="38"/>
        <v>603000</v>
      </c>
    </row>
    <row r="191" spans="1:31" ht="51" x14ac:dyDescent="0.2">
      <c r="J191" s="1438" t="s">
        <v>2689</v>
      </c>
      <c r="K191" s="1438" t="s">
        <v>2691</v>
      </c>
      <c r="L191" s="1438">
        <v>21</v>
      </c>
      <c r="M191" s="1438">
        <v>30</v>
      </c>
      <c r="N191" s="1438" t="s">
        <v>2695</v>
      </c>
      <c r="AA191" s="1179">
        <f t="shared" si="34"/>
        <v>506700</v>
      </c>
      <c r="AB191" s="240">
        <f t="shared" si="35"/>
        <v>531000</v>
      </c>
      <c r="AC191" s="240">
        <f t="shared" si="36"/>
        <v>555300</v>
      </c>
      <c r="AD191" s="240">
        <f t="shared" si="37"/>
        <v>579600</v>
      </c>
      <c r="AE191" s="1180">
        <f t="shared" si="38"/>
        <v>603900</v>
      </c>
    </row>
    <row r="192" spans="1:31" ht="63.75" x14ac:dyDescent="0.2">
      <c r="J192" s="1438" t="s">
        <v>2689</v>
      </c>
      <c r="K192" s="1438" t="s">
        <v>2691</v>
      </c>
      <c r="L192" s="1438">
        <v>31</v>
      </c>
      <c r="M192" s="1438">
        <v>100</v>
      </c>
      <c r="N192" s="1438" t="s">
        <v>2699</v>
      </c>
      <c r="AA192" s="1179">
        <f t="shared" si="34"/>
        <v>507600</v>
      </c>
      <c r="AB192" s="240">
        <f t="shared" si="35"/>
        <v>531900</v>
      </c>
      <c r="AC192" s="240">
        <f t="shared" si="36"/>
        <v>556200</v>
      </c>
      <c r="AD192" s="240">
        <f t="shared" si="37"/>
        <v>580500</v>
      </c>
      <c r="AE192" s="1180">
        <f t="shared" si="38"/>
        <v>604800</v>
      </c>
    </row>
    <row r="193" spans="10:31" ht="51" x14ac:dyDescent="0.2">
      <c r="J193" s="1438" t="s">
        <v>2692</v>
      </c>
      <c r="K193" s="1438" t="s">
        <v>2690</v>
      </c>
      <c r="L193" s="1438">
        <v>0</v>
      </c>
      <c r="M193" s="1438">
        <v>20</v>
      </c>
      <c r="N193" s="1438" t="s">
        <v>2693</v>
      </c>
      <c r="AA193" s="1179">
        <f t="shared" si="34"/>
        <v>508500</v>
      </c>
      <c r="AB193" s="240">
        <f t="shared" si="35"/>
        <v>532800</v>
      </c>
      <c r="AC193" s="240">
        <f t="shared" si="36"/>
        <v>557100</v>
      </c>
      <c r="AD193" s="240">
        <f t="shared" si="37"/>
        <v>581400</v>
      </c>
      <c r="AE193" s="1180">
        <f t="shared" si="38"/>
        <v>605700</v>
      </c>
    </row>
    <row r="194" spans="10:31" ht="114.75" x14ac:dyDescent="0.2">
      <c r="J194" s="1438" t="s">
        <v>2692</v>
      </c>
      <c r="K194" s="1438" t="s">
        <v>2690</v>
      </c>
      <c r="L194" s="1438">
        <v>21</v>
      </c>
      <c r="M194" s="1438">
        <v>30</v>
      </c>
      <c r="N194" s="1438" t="s">
        <v>2697</v>
      </c>
      <c r="AA194" s="1179">
        <f t="shared" si="34"/>
        <v>509400</v>
      </c>
      <c r="AB194" s="240">
        <f t="shared" si="35"/>
        <v>533700</v>
      </c>
      <c r="AC194" s="240">
        <f t="shared" si="36"/>
        <v>558000</v>
      </c>
      <c r="AD194" s="240">
        <f t="shared" si="37"/>
        <v>582300</v>
      </c>
      <c r="AE194" s="1180">
        <f t="shared" si="38"/>
        <v>606600</v>
      </c>
    </row>
    <row r="195" spans="10:31" ht="63.75" x14ac:dyDescent="0.2">
      <c r="J195" s="1438" t="s">
        <v>2692</v>
      </c>
      <c r="K195" s="1438" t="s">
        <v>2690</v>
      </c>
      <c r="L195" s="1438">
        <v>31</v>
      </c>
      <c r="M195" s="1438">
        <v>100</v>
      </c>
      <c r="N195" s="1438" t="s">
        <v>2699</v>
      </c>
      <c r="AA195" s="1179">
        <f t="shared" si="34"/>
        <v>510300</v>
      </c>
      <c r="AB195" s="240">
        <f t="shared" si="35"/>
        <v>534600</v>
      </c>
      <c r="AC195" s="240">
        <f t="shared" si="36"/>
        <v>558900</v>
      </c>
      <c r="AD195" s="240">
        <f t="shared" si="37"/>
        <v>583200</v>
      </c>
      <c r="AE195" s="1180">
        <f t="shared" si="38"/>
        <v>607500</v>
      </c>
    </row>
    <row r="196" spans="10:31" ht="51" x14ac:dyDescent="0.2">
      <c r="J196" s="1438" t="s">
        <v>2692</v>
      </c>
      <c r="K196" s="1438" t="s">
        <v>2691</v>
      </c>
      <c r="L196" s="1438">
        <v>0</v>
      </c>
      <c r="M196" s="1438">
        <v>20</v>
      </c>
      <c r="N196" s="1438" t="s">
        <v>2694</v>
      </c>
      <c r="AA196" s="1179"/>
      <c r="AE196" s="1180"/>
    </row>
    <row r="197" spans="10:31" ht="114.75" x14ac:dyDescent="0.2">
      <c r="J197" s="1438" t="s">
        <v>2692</v>
      </c>
      <c r="K197" s="1438" t="s">
        <v>2691</v>
      </c>
      <c r="L197" s="1438">
        <v>21</v>
      </c>
      <c r="M197" s="1438">
        <v>30</v>
      </c>
      <c r="N197" s="1438" t="s">
        <v>2698</v>
      </c>
      <c r="AA197" s="1179" t="s">
        <v>2381</v>
      </c>
      <c r="AB197" s="972" t="str">
        <f>CONCATENATE(LEFT(AA223,3)," - 4")</f>
        <v>142 - 4</v>
      </c>
      <c r="AC197" s="972" t="str">
        <f>CONCATENATE(LEFT(AB223,3)," - 3")</f>
        <v>149 - 3</v>
      </c>
      <c r="AD197" s="972" t="str">
        <f>CONCATENATE(LEFT(AC223,3)," - 2")</f>
        <v>156 - 2</v>
      </c>
      <c r="AE197" s="1182" t="str">
        <f>CONCATENATE(LEFT(AD223,3)+1," - 1")</f>
        <v>163 - 1</v>
      </c>
    </row>
    <row r="198" spans="10:31" ht="153" x14ac:dyDescent="0.2">
      <c r="J198" s="1438" t="s">
        <v>2692</v>
      </c>
      <c r="K198" s="1438" t="s">
        <v>2691</v>
      </c>
      <c r="L198" s="1438">
        <v>31</v>
      </c>
      <c r="M198" s="1438">
        <v>35</v>
      </c>
      <c r="N198" s="1438" t="s">
        <v>2702</v>
      </c>
      <c r="AA198" s="1183" t="str">
        <f>CONCATENATE(LEFT(AA197,3)," - 2")</f>
        <v>136 - 2</v>
      </c>
      <c r="AB198" s="972" t="str">
        <f>CONCATENATE(LEFT(AB197,3)+1," - 1")</f>
        <v>143 - 1</v>
      </c>
      <c r="AC198" s="972" t="str">
        <f>CONCATENATE(LEFT(AC197,3)," - 4")</f>
        <v>149 - 4</v>
      </c>
      <c r="AD198" s="972" t="str">
        <f>CONCATENATE(LEFT(AD197,3)," - 3")</f>
        <v>156 - 3</v>
      </c>
      <c r="AE198" s="1182" t="str">
        <f>CONCATENATE(LEFT(AE197,3)," - 2")</f>
        <v>163 - 2</v>
      </c>
    </row>
    <row r="199" spans="10:31" ht="63.75" x14ac:dyDescent="0.2">
      <c r="J199" s="1438" t="s">
        <v>2692</v>
      </c>
      <c r="K199" s="1438" t="s">
        <v>2691</v>
      </c>
      <c r="L199" s="1438">
        <v>36</v>
      </c>
      <c r="M199" s="1438">
        <v>100</v>
      </c>
      <c r="N199" s="1438" t="s">
        <v>2699</v>
      </c>
      <c r="AA199" s="1183" t="str">
        <f>CONCATENATE(LEFT(AA198,3)," - 3")</f>
        <v>136 - 3</v>
      </c>
      <c r="AB199" s="972" t="str">
        <f>CONCATENATE(LEFT(AB198,3)," - 2")</f>
        <v>143 - 2</v>
      </c>
      <c r="AC199" s="972" t="str">
        <f>CONCATENATE(LEFT(AC198,3)+1," - 1")</f>
        <v>150 - 1</v>
      </c>
      <c r="AD199" s="972" t="str">
        <f>CONCATENATE(LEFT(AD198,3)," - 4")</f>
        <v>156 - 4</v>
      </c>
      <c r="AE199" s="1182" t="str">
        <f>CONCATENATE(LEFT(AE198,3)," - 3")</f>
        <v>163 - 3</v>
      </c>
    </row>
    <row r="200" spans="10:31" x14ac:dyDescent="0.2">
      <c r="AA200" s="1183" t="str">
        <f>CONCATENATE(LEFT(AA199,3)," - 4")</f>
        <v>136 - 4</v>
      </c>
      <c r="AB200" s="972" t="str">
        <f>CONCATENATE(LEFT(AB199,3)," - 3")</f>
        <v>143 - 3</v>
      </c>
      <c r="AC200" s="972" t="str">
        <f>CONCATENATE(LEFT(AC199,3)," - 2")</f>
        <v>150 - 2</v>
      </c>
      <c r="AD200" s="972" t="str">
        <f>CONCATENATE(LEFT(AD199,3)+1," - 1")</f>
        <v>157 - 1</v>
      </c>
      <c r="AE200" s="1182" t="str">
        <f>CONCATENATE(LEFT(AE199,3)," - 4")</f>
        <v>163 - 4</v>
      </c>
    </row>
    <row r="201" spans="10:31" x14ac:dyDescent="0.2">
      <c r="AA201" s="1183" t="str">
        <f>CONCATENATE(LEFT(AA200,3)+1," - 1")</f>
        <v>137 - 1</v>
      </c>
      <c r="AB201" s="972" t="str">
        <f>CONCATENATE(LEFT(AB200,3)," - 4")</f>
        <v>143 - 4</v>
      </c>
      <c r="AC201" s="972" t="str">
        <f>CONCATENATE(LEFT(AC200,3)," - 3")</f>
        <v>150 - 3</v>
      </c>
      <c r="AD201" s="972" t="str">
        <f>CONCATENATE(LEFT(AD200,3)," - 2")</f>
        <v>157 - 2</v>
      </c>
      <c r="AE201" s="1182" t="str">
        <f>CONCATENATE(LEFT(AE200,3)+1," - 1")</f>
        <v>164 - 1</v>
      </c>
    </row>
    <row r="202" spans="10:31" x14ac:dyDescent="0.2">
      <c r="AA202" s="1183" t="str">
        <f>CONCATENATE(LEFT(AA201,3)," - 2")</f>
        <v>137 - 2</v>
      </c>
      <c r="AB202" s="972" t="str">
        <f>CONCATENATE(LEFT(AB201,3)+1," - 1")</f>
        <v>144 - 1</v>
      </c>
      <c r="AC202" s="972" t="str">
        <f>CONCATENATE(LEFT(AC201,3)," - 4")</f>
        <v>150 - 4</v>
      </c>
      <c r="AD202" s="972" t="str">
        <f>CONCATENATE(LEFT(AD201,3)," - 3")</f>
        <v>157 - 3</v>
      </c>
      <c r="AE202" s="1182" t="str">
        <f>CONCATENATE(LEFT(AE201,3)," - 2")</f>
        <v>164 - 2</v>
      </c>
    </row>
    <row r="203" spans="10:31" x14ac:dyDescent="0.2">
      <c r="AA203" s="1183" t="str">
        <f>CONCATENATE(LEFT(AA202,3)," - 3")</f>
        <v>137 - 3</v>
      </c>
      <c r="AB203" s="972" t="str">
        <f>CONCATENATE(LEFT(AB202,3)," - 2")</f>
        <v>144 - 2</v>
      </c>
      <c r="AC203" s="972" t="str">
        <f>CONCATENATE(LEFT(AC202,3)+1," - 1")</f>
        <v>151 - 1</v>
      </c>
      <c r="AD203" s="972" t="str">
        <f>CONCATENATE(LEFT(AD202,3)," - 4")</f>
        <v>157 - 4</v>
      </c>
      <c r="AE203" s="1182" t="str">
        <f>CONCATENATE(LEFT(AE202,3)," - 3")</f>
        <v>164 - 3</v>
      </c>
    </row>
    <row r="204" spans="10:31" x14ac:dyDescent="0.2">
      <c r="AA204" s="1183" t="str">
        <f>CONCATENATE(LEFT(AA203,3)," - 4")</f>
        <v>137 - 4</v>
      </c>
      <c r="AB204" s="972" t="str">
        <f>CONCATENATE(LEFT(AB203,3)," - 3")</f>
        <v>144 - 3</v>
      </c>
      <c r="AC204" s="972" t="str">
        <f>CONCATENATE(LEFT(AC203,3)," - 2")</f>
        <v>151 - 2</v>
      </c>
      <c r="AD204" s="972" t="str">
        <f>CONCATENATE(LEFT(AD203,3)+1," - 1")</f>
        <v>158 - 1</v>
      </c>
      <c r="AE204" s="1182" t="str">
        <f>CONCATENATE(LEFT(AE203,3)," - 4")</f>
        <v>164 - 4</v>
      </c>
    </row>
    <row r="205" spans="10:31" x14ac:dyDescent="0.2">
      <c r="AA205" s="1183" t="str">
        <f>CONCATENATE(LEFT(AA204,3)+1," - 1")</f>
        <v>138 - 1</v>
      </c>
      <c r="AB205" s="972" t="str">
        <f>CONCATENATE(LEFT(AB204,3)," - 4")</f>
        <v>144 - 4</v>
      </c>
      <c r="AC205" s="972" t="str">
        <f>CONCATENATE(LEFT(AC204,3)," - 3")</f>
        <v>151 - 3</v>
      </c>
      <c r="AD205" s="972" t="str">
        <f>CONCATENATE(LEFT(AD204,3)," - 2")</f>
        <v>158 - 2</v>
      </c>
      <c r="AE205" s="1182" t="str">
        <f>CONCATENATE(LEFT(AE204,3)+1," - 1")</f>
        <v>165 - 1</v>
      </c>
    </row>
    <row r="206" spans="10:31" x14ac:dyDescent="0.2">
      <c r="AA206" s="1183" t="str">
        <f>CONCATENATE(LEFT(AA205,3)," - 2")</f>
        <v>138 - 2</v>
      </c>
      <c r="AB206" s="972" t="str">
        <f>CONCATENATE(LEFT(AB205,3)+1," - 1")</f>
        <v>145 - 1</v>
      </c>
      <c r="AC206" s="972" t="str">
        <f>CONCATENATE(LEFT(AC205,3)," - 4")</f>
        <v>151 - 4</v>
      </c>
      <c r="AD206" s="972" t="str">
        <f>CONCATENATE(LEFT(AD205,3)," - 3")</f>
        <v>158 - 3</v>
      </c>
      <c r="AE206" s="1182" t="str">
        <f>CONCATENATE(LEFT(AE205,3)," - 2")</f>
        <v>165 - 2</v>
      </c>
    </row>
    <row r="207" spans="10:31" x14ac:dyDescent="0.2">
      <c r="AA207" s="1183" t="str">
        <f>CONCATENATE(LEFT(AA206,3)," - 3")</f>
        <v>138 - 3</v>
      </c>
      <c r="AB207" s="972" t="str">
        <f>CONCATENATE(LEFT(AB206,3)," - 2")</f>
        <v>145 - 2</v>
      </c>
      <c r="AC207" s="972" t="str">
        <f>CONCATENATE(LEFT(AC206,3)+1," - 1")</f>
        <v>152 - 1</v>
      </c>
      <c r="AD207" s="972" t="str">
        <f>CONCATENATE(LEFT(AD206,3)," - 4")</f>
        <v>158 - 4</v>
      </c>
      <c r="AE207" s="1182" t="str">
        <f>CONCATENATE(LEFT(AE206,3)," - 3")</f>
        <v>165 - 3</v>
      </c>
    </row>
    <row r="208" spans="10:31" x14ac:dyDescent="0.2">
      <c r="AA208" s="1183" t="str">
        <f>CONCATENATE(LEFT(AA207,3)," - 4")</f>
        <v>138 - 4</v>
      </c>
      <c r="AB208" s="972" t="str">
        <f>CONCATENATE(LEFT(AB207,3)," - 3")</f>
        <v>145 - 3</v>
      </c>
      <c r="AC208" s="972" t="str">
        <f>CONCATENATE(LEFT(AC207,3)," - 2")</f>
        <v>152 - 2</v>
      </c>
      <c r="AD208" s="972" t="str">
        <f>CONCATENATE(LEFT(AD207,3)+1," - 1")</f>
        <v>159 - 1</v>
      </c>
      <c r="AE208" s="1182" t="str">
        <f>CONCATENATE(LEFT(AE207,3)," - 4")</f>
        <v>165 - 4</v>
      </c>
    </row>
    <row r="209" spans="27:31" x14ac:dyDescent="0.2">
      <c r="AA209" s="1183" t="str">
        <f>CONCATENATE(LEFT(AA208,3)+1," - 1")</f>
        <v>139 - 1</v>
      </c>
      <c r="AB209" s="972" t="str">
        <f>CONCATENATE(LEFT(AB208,3)," - 4")</f>
        <v>145 - 4</v>
      </c>
      <c r="AC209" s="972" t="str">
        <f>CONCATENATE(LEFT(AC208,3)," - 3")</f>
        <v>152 - 3</v>
      </c>
      <c r="AD209" s="972" t="str">
        <f>CONCATENATE(LEFT(AD208,3)," - 2")</f>
        <v>159 - 2</v>
      </c>
      <c r="AE209" s="1182" t="str">
        <f>CONCATENATE(LEFT(AE208,3)+1," - 1")</f>
        <v>166 - 1</v>
      </c>
    </row>
    <row r="210" spans="27:31" x14ac:dyDescent="0.2">
      <c r="AA210" s="1183" t="str">
        <f>CONCATENATE(LEFT(AA209,3)," - 2")</f>
        <v>139 - 2</v>
      </c>
      <c r="AB210" s="972" t="str">
        <f>CONCATENATE(LEFT(AB209,3)+1," - 1")</f>
        <v>146 - 1</v>
      </c>
      <c r="AC210" s="972" t="str">
        <f>CONCATENATE(LEFT(AC209,3)," - 4")</f>
        <v>152 - 4</v>
      </c>
      <c r="AD210" s="972" t="str">
        <f>CONCATENATE(LEFT(AD209,3)," - 3")</f>
        <v>159 - 3</v>
      </c>
      <c r="AE210" s="1182" t="str">
        <f>CONCATENATE(LEFT(AE209,3)," - 2")</f>
        <v>166 - 2</v>
      </c>
    </row>
    <row r="211" spans="27:31" x14ac:dyDescent="0.2">
      <c r="AA211" s="1183" t="str">
        <f>CONCATENATE(LEFT(AA210,3)," - 3")</f>
        <v>139 - 3</v>
      </c>
      <c r="AB211" s="972" t="str">
        <f>CONCATENATE(LEFT(AB210,3)," - 2")</f>
        <v>146 - 2</v>
      </c>
      <c r="AC211" s="972" t="str">
        <f>CONCATENATE(LEFT(AC210,3)+1," - 1")</f>
        <v>153 - 1</v>
      </c>
      <c r="AD211" s="972" t="str">
        <f>CONCATENATE(LEFT(AD210,3)," - 4")</f>
        <v>159 - 4</v>
      </c>
      <c r="AE211" s="1182" t="str">
        <f>CONCATENATE(LEFT(AE210,3)," - 3")</f>
        <v>166 - 3</v>
      </c>
    </row>
    <row r="212" spans="27:31" x14ac:dyDescent="0.2">
      <c r="AA212" s="1183" t="str">
        <f>CONCATENATE(LEFT(AA211,3)," - 4")</f>
        <v>139 - 4</v>
      </c>
      <c r="AB212" s="972" t="str">
        <f>CONCATENATE(LEFT(AB211,3)," - 3")</f>
        <v>146 - 3</v>
      </c>
      <c r="AC212" s="972" t="str">
        <f>CONCATENATE(LEFT(AC211,3)," - 2")</f>
        <v>153 - 2</v>
      </c>
      <c r="AD212" s="972" t="str">
        <f>CONCATENATE(LEFT(AD211,3)+1," - 1")</f>
        <v>160 - 1</v>
      </c>
      <c r="AE212" s="1182" t="str">
        <f>CONCATENATE(LEFT(AE211,3)," - 4")</f>
        <v>166 - 4</v>
      </c>
    </row>
    <row r="213" spans="27:31" x14ac:dyDescent="0.2">
      <c r="AA213" s="1183" t="str">
        <f>CONCATENATE(LEFT(AA212,3)+1," - 1")</f>
        <v>140 - 1</v>
      </c>
      <c r="AB213" s="972" t="str">
        <f>CONCATENATE(LEFT(AB212,3)," - 4")</f>
        <v>146 - 4</v>
      </c>
      <c r="AC213" s="972" t="str">
        <f>CONCATENATE(LEFT(AC212,3)," - 3")</f>
        <v>153 - 3</v>
      </c>
      <c r="AD213" s="972" t="str">
        <f>CONCATENATE(LEFT(AD212,3)," - 2")</f>
        <v>160 - 2</v>
      </c>
      <c r="AE213" s="1182" t="str">
        <f>CONCATENATE(LEFT(AE212,3)+1," - 1")</f>
        <v>167 - 1</v>
      </c>
    </row>
    <row r="214" spans="27:31" x14ac:dyDescent="0.2">
      <c r="AA214" s="1183" t="str">
        <f>CONCATENATE(LEFT(AA213,3)," - 2")</f>
        <v>140 - 2</v>
      </c>
      <c r="AB214" s="972" t="str">
        <f>CONCATENATE(LEFT(AB213,3)+1," - 1")</f>
        <v>147 - 1</v>
      </c>
      <c r="AC214" s="972" t="str">
        <f>CONCATENATE(LEFT(AC213,3)," - 4")</f>
        <v>153 - 4</v>
      </c>
      <c r="AD214" s="972" t="str">
        <f>CONCATENATE(LEFT(AD213,3)," - 3")</f>
        <v>160 - 3</v>
      </c>
      <c r="AE214" s="1182" t="str">
        <f>CONCATENATE(LEFT(AE213,3)," - 2")</f>
        <v>167 - 2</v>
      </c>
    </row>
    <row r="215" spans="27:31" x14ac:dyDescent="0.2">
      <c r="AA215" s="1183" t="str">
        <f>CONCATENATE(LEFT(AA214,3)," - 3")</f>
        <v>140 - 3</v>
      </c>
      <c r="AB215" s="972" t="str">
        <f>CONCATENATE(LEFT(AB214,3)," - 2")</f>
        <v>147 - 2</v>
      </c>
      <c r="AC215" s="972" t="str">
        <f>CONCATENATE(LEFT(AC214,3)+1," - 1")</f>
        <v>154 - 1</v>
      </c>
      <c r="AD215" s="972" t="str">
        <f>CONCATENATE(LEFT(AD214,3)," - 4")</f>
        <v>160 - 4</v>
      </c>
      <c r="AE215" s="1182" t="str">
        <f>CONCATENATE(LEFT(AE214,3)," - 3")</f>
        <v>167 - 3</v>
      </c>
    </row>
    <row r="216" spans="27:31" x14ac:dyDescent="0.2">
      <c r="AA216" s="1183" t="str">
        <f>CONCATENATE(LEFT(AA215,3)," - 4")</f>
        <v>140 - 4</v>
      </c>
      <c r="AB216" s="972" t="str">
        <f>CONCATENATE(LEFT(AB215,3)," - 3")</f>
        <v>147 - 3</v>
      </c>
      <c r="AC216" s="972" t="str">
        <f>CONCATENATE(LEFT(AC215,3)," - 2")</f>
        <v>154 - 2</v>
      </c>
      <c r="AD216" s="972" t="str">
        <f>CONCATENATE(LEFT(AD215,3)+1," - 1")</f>
        <v>161 - 1</v>
      </c>
      <c r="AE216" s="1182" t="str">
        <f>CONCATENATE(LEFT(AE215,3)," - 4")</f>
        <v>167 - 4</v>
      </c>
    </row>
    <row r="217" spans="27:31" x14ac:dyDescent="0.2">
      <c r="AA217" s="1183" t="str">
        <f>CONCATENATE(LEFT(AA216,3)+1," - 1")</f>
        <v>141 - 1</v>
      </c>
      <c r="AB217" s="972" t="str">
        <f>CONCATENATE(LEFT(AB216,3)," - 4")</f>
        <v>147 - 4</v>
      </c>
      <c r="AC217" s="972" t="str">
        <f>CONCATENATE(LEFT(AC216,3)," - 3")</f>
        <v>154 - 3</v>
      </c>
      <c r="AD217" s="972" t="str">
        <f>CONCATENATE(LEFT(AD216,3)," - 2")</f>
        <v>161 - 2</v>
      </c>
      <c r="AE217" s="1182" t="str">
        <f>CONCATENATE(LEFT(AE216,3)+1," - 1")</f>
        <v>168 - 1</v>
      </c>
    </row>
    <row r="218" spans="27:31" x14ac:dyDescent="0.2">
      <c r="AA218" s="1183" t="str">
        <f>CONCATENATE(LEFT(AA217,3)," - 2")</f>
        <v>141 - 2</v>
      </c>
      <c r="AB218" s="972" t="str">
        <f>CONCATENATE(LEFT(AB217,3)+1," - 1")</f>
        <v>148 - 1</v>
      </c>
      <c r="AC218" s="972" t="str">
        <f>CONCATENATE(LEFT(AC217,3)," - 4")</f>
        <v>154 - 4</v>
      </c>
      <c r="AD218" s="972" t="str">
        <f>CONCATENATE(LEFT(AD217,3)," - 3")</f>
        <v>161 - 3</v>
      </c>
      <c r="AE218" s="1182" t="str">
        <f>CONCATENATE(LEFT(AE217,3)," - 2")</f>
        <v>168 - 2</v>
      </c>
    </row>
    <row r="219" spans="27:31" x14ac:dyDescent="0.2">
      <c r="AA219" s="1183" t="str">
        <f>CONCATENATE(LEFT(AA218,3)," - 3")</f>
        <v>141 - 3</v>
      </c>
      <c r="AB219" s="972" t="str">
        <f>CONCATENATE(LEFT(AB218,3)," - 2")</f>
        <v>148 - 2</v>
      </c>
      <c r="AC219" s="972" t="str">
        <f>CONCATENATE(LEFT(AC218,3)+1," - 1")</f>
        <v>155 - 1</v>
      </c>
      <c r="AD219" s="972" t="str">
        <f>CONCATENATE(LEFT(AD218,3)," - 4")</f>
        <v>161 - 4</v>
      </c>
      <c r="AE219" s="1182" t="str">
        <f>CONCATENATE(LEFT(AE218,3)," - 3")</f>
        <v>168 - 3</v>
      </c>
    </row>
    <row r="220" spans="27:31" x14ac:dyDescent="0.2">
      <c r="AA220" s="1183" t="str">
        <f>CONCATENATE(LEFT(AA219,3)," - 4")</f>
        <v>141 - 4</v>
      </c>
      <c r="AB220" s="972" t="str">
        <f>CONCATENATE(LEFT(AB219,3)," - 3")</f>
        <v>148 - 3</v>
      </c>
      <c r="AC220" s="972" t="str">
        <f>CONCATENATE(LEFT(AC219,3)," - 2")</f>
        <v>155 - 2</v>
      </c>
      <c r="AD220" s="972" t="str">
        <f>CONCATENATE(LEFT(AD219,3)+1," - 1")</f>
        <v>162 - 1</v>
      </c>
      <c r="AE220" s="1182" t="str">
        <f>CONCATENATE(LEFT(AE219,3)," - 4")</f>
        <v>168 - 4</v>
      </c>
    </row>
    <row r="221" spans="27:31" x14ac:dyDescent="0.2">
      <c r="AA221" s="1183" t="str">
        <f>CONCATENATE(LEFT(AA220,3)+1," - 1")</f>
        <v>142 - 1</v>
      </c>
      <c r="AB221" s="972" t="str">
        <f>CONCATENATE(LEFT(AB220,3)," - 4")</f>
        <v>148 - 4</v>
      </c>
      <c r="AC221" s="972" t="str">
        <f>CONCATENATE(LEFT(AC220,3)," - 3")</f>
        <v>155 - 3</v>
      </c>
      <c r="AD221" s="972" t="str">
        <f>CONCATENATE(LEFT(AD220,3)," - 2")</f>
        <v>162 - 2</v>
      </c>
      <c r="AE221" s="1182" t="str">
        <f>CONCATENATE(LEFT(AE220,3)+1," - 1")</f>
        <v>169 - 1</v>
      </c>
    </row>
    <row r="222" spans="27:31" x14ac:dyDescent="0.2">
      <c r="AA222" s="1183" t="str">
        <f>CONCATENATE(LEFT(AA221,3)," - 2")</f>
        <v>142 - 2</v>
      </c>
      <c r="AB222" s="972" t="str">
        <f>CONCATENATE(LEFT(AB221,3)+1," - 1")</f>
        <v>149 - 1</v>
      </c>
      <c r="AC222" s="972" t="str">
        <f>CONCATENATE(LEFT(AC221,3)," - 4")</f>
        <v>155 - 4</v>
      </c>
      <c r="AD222" s="972" t="str">
        <f>CONCATENATE(LEFT(AD221,3)," - 3")</f>
        <v>162 - 3</v>
      </c>
      <c r="AE222" s="1182" t="str">
        <f>CONCATENATE(LEFT(AE221,3)," - 2")</f>
        <v>169 - 2</v>
      </c>
    </row>
    <row r="223" spans="27:31" ht="13.5" thickBot="1" x14ac:dyDescent="0.25">
      <c r="AA223" s="1184" t="str">
        <f>CONCATENATE(LEFT(AA222,3)," - 3")</f>
        <v>142 - 3</v>
      </c>
      <c r="AB223" s="1185" t="str">
        <f>CONCATENATE(LEFT(AB222,3)," - 2")</f>
        <v>149 - 2</v>
      </c>
      <c r="AC223" s="1185" t="str">
        <f>CONCATENATE(LEFT(AC222,3)+1," - 1")</f>
        <v>156 - 1</v>
      </c>
      <c r="AD223" s="1185" t="str">
        <f>CONCATENATE(LEFT(AD222,3)," - 4")</f>
        <v>162 - 4</v>
      </c>
      <c r="AE223" s="1186" t="str">
        <f>CONCATENATE(LEFT(AE222,3)," - 3")</f>
        <v>169 - 3</v>
      </c>
    </row>
    <row r="224" spans="27:31" ht="14.25" thickTop="1" thickBot="1" x14ac:dyDescent="0.25"/>
    <row r="225" spans="27:31" ht="13.5" thickTop="1" x14ac:dyDescent="0.2">
      <c r="AA225" s="1176">
        <f>IF($K$48="E",AE195+1000,AE195+900)</f>
        <v>608400</v>
      </c>
      <c r="AB225" s="1177">
        <f>IF($K$48="E",AA251+1000,AA251+900)</f>
        <v>632700</v>
      </c>
      <c r="AC225" s="1177">
        <f>IF($K$48="E",AB251+1000,AB251+900)</f>
        <v>657000</v>
      </c>
      <c r="AD225" s="1177">
        <f>IF($K$48="E",AC251+1000,AC251+900)</f>
        <v>681300</v>
      </c>
      <c r="AE225" s="1178">
        <f>IF($K$48="E",AD251+1000,AD251+900)</f>
        <v>705600</v>
      </c>
    </row>
    <row r="226" spans="27:31" x14ac:dyDescent="0.2">
      <c r="AA226" s="1179">
        <f t="shared" ref="AA226:AA251" si="39">IF($K$48="E",AA225+1000,AA225+900)</f>
        <v>609300</v>
      </c>
      <c r="AB226" s="240">
        <f t="shared" ref="AB226:AB251" si="40">IF($K$48="E",AB225+1000,AB225+900)</f>
        <v>633600</v>
      </c>
      <c r="AC226" s="240">
        <f t="shared" ref="AC226:AC251" si="41">IF($K$48="E",AC225+1000,AC225+900)</f>
        <v>657900</v>
      </c>
      <c r="AD226" s="240">
        <f t="shared" ref="AD226:AD251" si="42">IF($K$48="E",AD225+1000,AD225+900)</f>
        <v>682200</v>
      </c>
      <c r="AE226" s="1180">
        <f t="shared" ref="AE226:AE251" si="43">IF($K$48="E",AE225+1000,AE225+900)</f>
        <v>706500</v>
      </c>
    </row>
    <row r="227" spans="27:31" x14ac:dyDescent="0.2">
      <c r="AA227" s="1179">
        <f t="shared" si="39"/>
        <v>610200</v>
      </c>
      <c r="AB227" s="240">
        <f t="shared" si="40"/>
        <v>634500</v>
      </c>
      <c r="AC227" s="240">
        <f t="shared" si="41"/>
        <v>658800</v>
      </c>
      <c r="AD227" s="240">
        <f t="shared" si="42"/>
        <v>683100</v>
      </c>
      <c r="AE227" s="1180">
        <f t="shared" si="43"/>
        <v>707400</v>
      </c>
    </row>
    <row r="228" spans="27:31" x14ac:dyDescent="0.2">
      <c r="AA228" s="1179">
        <f t="shared" si="39"/>
        <v>611100</v>
      </c>
      <c r="AB228" s="240">
        <f t="shared" si="40"/>
        <v>635400</v>
      </c>
      <c r="AC228" s="240">
        <f t="shared" si="41"/>
        <v>659700</v>
      </c>
      <c r="AD228" s="240">
        <f t="shared" si="42"/>
        <v>684000</v>
      </c>
      <c r="AE228" s="1180">
        <f t="shared" si="43"/>
        <v>708300</v>
      </c>
    </row>
    <row r="229" spans="27:31" x14ac:dyDescent="0.2">
      <c r="AA229" s="1179">
        <f t="shared" si="39"/>
        <v>612000</v>
      </c>
      <c r="AB229" s="240">
        <f t="shared" si="40"/>
        <v>636300</v>
      </c>
      <c r="AC229" s="240">
        <f t="shared" si="41"/>
        <v>660600</v>
      </c>
      <c r="AD229" s="240">
        <f t="shared" si="42"/>
        <v>684900</v>
      </c>
      <c r="AE229" s="1180">
        <f t="shared" si="43"/>
        <v>709200</v>
      </c>
    </row>
    <row r="230" spans="27:31" x14ac:dyDescent="0.2">
      <c r="AA230" s="1179">
        <f t="shared" si="39"/>
        <v>612900</v>
      </c>
      <c r="AB230" s="240">
        <f t="shared" si="40"/>
        <v>637200</v>
      </c>
      <c r="AC230" s="240">
        <f t="shared" si="41"/>
        <v>661500</v>
      </c>
      <c r="AD230" s="240">
        <f t="shared" si="42"/>
        <v>685800</v>
      </c>
      <c r="AE230" s="1180">
        <f t="shared" si="43"/>
        <v>710100</v>
      </c>
    </row>
    <row r="231" spans="27:31" x14ac:dyDescent="0.2">
      <c r="AA231" s="1179">
        <f t="shared" si="39"/>
        <v>613800</v>
      </c>
      <c r="AB231" s="240">
        <f t="shared" si="40"/>
        <v>638100</v>
      </c>
      <c r="AC231" s="240">
        <f t="shared" si="41"/>
        <v>662400</v>
      </c>
      <c r="AD231" s="240">
        <f t="shared" si="42"/>
        <v>686700</v>
      </c>
      <c r="AE231" s="1180">
        <f t="shared" si="43"/>
        <v>711000</v>
      </c>
    </row>
    <row r="232" spans="27:31" x14ac:dyDescent="0.2">
      <c r="AA232" s="1179">
        <f t="shared" si="39"/>
        <v>614700</v>
      </c>
      <c r="AB232" s="240">
        <f t="shared" si="40"/>
        <v>639000</v>
      </c>
      <c r="AC232" s="240">
        <f t="shared" si="41"/>
        <v>663300</v>
      </c>
      <c r="AD232" s="240">
        <f t="shared" si="42"/>
        <v>687600</v>
      </c>
      <c r="AE232" s="1180">
        <f t="shared" si="43"/>
        <v>711900</v>
      </c>
    </row>
    <row r="233" spans="27:31" x14ac:dyDescent="0.2">
      <c r="AA233" s="1179">
        <f t="shared" si="39"/>
        <v>615600</v>
      </c>
      <c r="AB233" s="240">
        <f t="shared" si="40"/>
        <v>639900</v>
      </c>
      <c r="AC233" s="240">
        <f t="shared" si="41"/>
        <v>664200</v>
      </c>
      <c r="AD233" s="240">
        <f t="shared" si="42"/>
        <v>688500</v>
      </c>
      <c r="AE233" s="1180">
        <f t="shared" si="43"/>
        <v>712800</v>
      </c>
    </row>
    <row r="234" spans="27:31" x14ac:dyDescent="0.2">
      <c r="AA234" s="1179">
        <f t="shared" si="39"/>
        <v>616500</v>
      </c>
      <c r="AB234" s="240">
        <f t="shared" si="40"/>
        <v>640800</v>
      </c>
      <c r="AC234" s="240">
        <f t="shared" si="41"/>
        <v>665100</v>
      </c>
      <c r="AD234" s="240">
        <f t="shared" si="42"/>
        <v>689400</v>
      </c>
      <c r="AE234" s="1180">
        <f t="shared" si="43"/>
        <v>713700</v>
      </c>
    </row>
    <row r="235" spans="27:31" x14ac:dyDescent="0.2">
      <c r="AA235" s="1179">
        <f t="shared" si="39"/>
        <v>617400</v>
      </c>
      <c r="AB235" s="240">
        <f t="shared" si="40"/>
        <v>641700</v>
      </c>
      <c r="AC235" s="240">
        <f t="shared" si="41"/>
        <v>666000</v>
      </c>
      <c r="AD235" s="240">
        <f t="shared" si="42"/>
        <v>690300</v>
      </c>
      <c r="AE235" s="1180">
        <f t="shared" si="43"/>
        <v>714600</v>
      </c>
    </row>
    <row r="236" spans="27:31" x14ac:dyDescent="0.2">
      <c r="AA236" s="1179">
        <f t="shared" si="39"/>
        <v>618300</v>
      </c>
      <c r="AB236" s="240">
        <f t="shared" si="40"/>
        <v>642600</v>
      </c>
      <c r="AC236" s="240">
        <f t="shared" si="41"/>
        <v>666900</v>
      </c>
      <c r="AD236" s="240">
        <f t="shared" si="42"/>
        <v>691200</v>
      </c>
      <c r="AE236" s="1180">
        <f t="shared" si="43"/>
        <v>715500</v>
      </c>
    </row>
    <row r="237" spans="27:31" x14ac:dyDescent="0.2">
      <c r="AA237" s="1179">
        <f t="shared" si="39"/>
        <v>619200</v>
      </c>
      <c r="AB237" s="240">
        <f t="shared" si="40"/>
        <v>643500</v>
      </c>
      <c r="AC237" s="240">
        <f t="shared" si="41"/>
        <v>667800</v>
      </c>
      <c r="AD237" s="240">
        <f t="shared" si="42"/>
        <v>692100</v>
      </c>
      <c r="AE237" s="1180">
        <f t="shared" si="43"/>
        <v>716400</v>
      </c>
    </row>
    <row r="238" spans="27:31" x14ac:dyDescent="0.2">
      <c r="AA238" s="1179">
        <f t="shared" si="39"/>
        <v>620100</v>
      </c>
      <c r="AB238" s="240">
        <f t="shared" si="40"/>
        <v>644400</v>
      </c>
      <c r="AC238" s="240">
        <f t="shared" si="41"/>
        <v>668700</v>
      </c>
      <c r="AD238" s="240">
        <f t="shared" si="42"/>
        <v>693000</v>
      </c>
      <c r="AE238" s="1180">
        <f t="shared" si="43"/>
        <v>717300</v>
      </c>
    </row>
    <row r="239" spans="27:31" x14ac:dyDescent="0.2">
      <c r="AA239" s="1179">
        <f t="shared" si="39"/>
        <v>621000</v>
      </c>
      <c r="AB239" s="240">
        <f t="shared" si="40"/>
        <v>645300</v>
      </c>
      <c r="AC239" s="240">
        <f t="shared" si="41"/>
        <v>669600</v>
      </c>
      <c r="AD239" s="240">
        <f t="shared" si="42"/>
        <v>693900</v>
      </c>
      <c r="AE239" s="1180">
        <f t="shared" si="43"/>
        <v>718200</v>
      </c>
    </row>
    <row r="240" spans="27:31" x14ac:dyDescent="0.2">
      <c r="AA240" s="1179">
        <f t="shared" si="39"/>
        <v>621900</v>
      </c>
      <c r="AB240" s="240">
        <f t="shared" si="40"/>
        <v>646200</v>
      </c>
      <c r="AC240" s="240">
        <f t="shared" si="41"/>
        <v>670500</v>
      </c>
      <c r="AD240" s="240">
        <f t="shared" si="42"/>
        <v>694800</v>
      </c>
      <c r="AE240" s="1180">
        <f t="shared" si="43"/>
        <v>719100</v>
      </c>
    </row>
    <row r="241" spans="7:31" x14ac:dyDescent="0.2">
      <c r="AA241" s="1179">
        <f t="shared" si="39"/>
        <v>622800</v>
      </c>
      <c r="AB241" s="240">
        <f t="shared" si="40"/>
        <v>647100</v>
      </c>
      <c r="AC241" s="240">
        <f t="shared" si="41"/>
        <v>671400</v>
      </c>
      <c r="AD241" s="240">
        <f t="shared" si="42"/>
        <v>695700</v>
      </c>
      <c r="AE241" s="1180">
        <f t="shared" si="43"/>
        <v>720000</v>
      </c>
    </row>
    <row r="242" spans="7:31" x14ac:dyDescent="0.2">
      <c r="AA242" s="1179">
        <f t="shared" si="39"/>
        <v>623700</v>
      </c>
      <c r="AB242" s="240">
        <f t="shared" si="40"/>
        <v>648000</v>
      </c>
      <c r="AC242" s="240">
        <f t="shared" si="41"/>
        <v>672300</v>
      </c>
      <c r="AD242" s="240">
        <f t="shared" si="42"/>
        <v>696600</v>
      </c>
      <c r="AE242" s="1180">
        <f t="shared" si="43"/>
        <v>720900</v>
      </c>
    </row>
    <row r="243" spans="7:31" x14ac:dyDescent="0.2">
      <c r="AA243" s="1179">
        <f t="shared" si="39"/>
        <v>624600</v>
      </c>
      <c r="AB243" s="240">
        <f t="shared" si="40"/>
        <v>648900</v>
      </c>
      <c r="AC243" s="240">
        <f t="shared" si="41"/>
        <v>673200</v>
      </c>
      <c r="AD243" s="240">
        <f t="shared" si="42"/>
        <v>697500</v>
      </c>
      <c r="AE243" s="1180">
        <f t="shared" si="43"/>
        <v>721800</v>
      </c>
    </row>
    <row r="244" spans="7:31" x14ac:dyDescent="0.2">
      <c r="AA244" s="1179">
        <f t="shared" si="39"/>
        <v>625500</v>
      </c>
      <c r="AB244" s="240">
        <f t="shared" si="40"/>
        <v>649800</v>
      </c>
      <c r="AC244" s="240">
        <f t="shared" si="41"/>
        <v>674100</v>
      </c>
      <c r="AD244" s="240">
        <f t="shared" si="42"/>
        <v>698400</v>
      </c>
      <c r="AE244" s="1180">
        <f t="shared" si="43"/>
        <v>722700</v>
      </c>
    </row>
    <row r="245" spans="7:31" x14ac:dyDescent="0.2">
      <c r="AA245" s="1179">
        <f t="shared" si="39"/>
        <v>626400</v>
      </c>
      <c r="AB245" s="240">
        <f t="shared" si="40"/>
        <v>650700</v>
      </c>
      <c r="AC245" s="240">
        <f t="shared" si="41"/>
        <v>675000</v>
      </c>
      <c r="AD245" s="240">
        <f t="shared" si="42"/>
        <v>699300</v>
      </c>
      <c r="AE245" s="1180">
        <f t="shared" si="43"/>
        <v>723600</v>
      </c>
    </row>
    <row r="246" spans="7:31" x14ac:dyDescent="0.2">
      <c r="G246" s="240" t="s">
        <v>74</v>
      </c>
      <c r="AA246" s="1179">
        <f t="shared" si="39"/>
        <v>627300</v>
      </c>
      <c r="AB246" s="240">
        <f t="shared" si="40"/>
        <v>651600</v>
      </c>
      <c r="AC246" s="240">
        <f t="shared" si="41"/>
        <v>675900</v>
      </c>
      <c r="AD246" s="240">
        <f t="shared" si="42"/>
        <v>700200</v>
      </c>
      <c r="AE246" s="1180">
        <f t="shared" si="43"/>
        <v>724500</v>
      </c>
    </row>
    <row r="247" spans="7:31" x14ac:dyDescent="0.2">
      <c r="AA247" s="1179">
        <f t="shared" si="39"/>
        <v>628200</v>
      </c>
      <c r="AB247" s="240">
        <f t="shared" si="40"/>
        <v>652500</v>
      </c>
      <c r="AC247" s="240">
        <f t="shared" si="41"/>
        <v>676800</v>
      </c>
      <c r="AD247" s="240">
        <f t="shared" si="42"/>
        <v>701100</v>
      </c>
      <c r="AE247" s="1180">
        <f t="shared" si="43"/>
        <v>725400</v>
      </c>
    </row>
    <row r="248" spans="7:31" x14ac:dyDescent="0.2">
      <c r="AA248" s="1179">
        <f t="shared" si="39"/>
        <v>629100</v>
      </c>
      <c r="AB248" s="240">
        <f t="shared" si="40"/>
        <v>653400</v>
      </c>
      <c r="AC248" s="240">
        <f t="shared" si="41"/>
        <v>677700</v>
      </c>
      <c r="AD248" s="240">
        <f t="shared" si="42"/>
        <v>702000</v>
      </c>
      <c r="AE248" s="1180">
        <f t="shared" si="43"/>
        <v>726300</v>
      </c>
    </row>
    <row r="249" spans="7:31" x14ac:dyDescent="0.2">
      <c r="AA249" s="1179">
        <f t="shared" si="39"/>
        <v>630000</v>
      </c>
      <c r="AB249" s="240">
        <f t="shared" si="40"/>
        <v>654300</v>
      </c>
      <c r="AC249" s="240">
        <f t="shared" si="41"/>
        <v>678600</v>
      </c>
      <c r="AD249" s="240">
        <f t="shared" si="42"/>
        <v>702900</v>
      </c>
      <c r="AE249" s="1180">
        <f t="shared" si="43"/>
        <v>727200</v>
      </c>
    </row>
    <row r="250" spans="7:31" x14ac:dyDescent="0.2">
      <c r="AA250" s="1179">
        <f t="shared" si="39"/>
        <v>630900</v>
      </c>
      <c r="AB250" s="240">
        <f t="shared" si="40"/>
        <v>655200</v>
      </c>
      <c r="AC250" s="240">
        <f t="shared" si="41"/>
        <v>679500</v>
      </c>
      <c r="AD250" s="240">
        <f t="shared" si="42"/>
        <v>703800</v>
      </c>
      <c r="AE250" s="1180">
        <f t="shared" si="43"/>
        <v>728100</v>
      </c>
    </row>
    <row r="251" spans="7:31" x14ac:dyDescent="0.2">
      <c r="AA251" s="1179">
        <f t="shared" si="39"/>
        <v>631800</v>
      </c>
      <c r="AB251" s="240">
        <f t="shared" si="40"/>
        <v>656100</v>
      </c>
      <c r="AC251" s="240">
        <f t="shared" si="41"/>
        <v>680400</v>
      </c>
      <c r="AD251" s="240">
        <f t="shared" si="42"/>
        <v>704700</v>
      </c>
      <c r="AE251" s="1180">
        <f t="shared" si="43"/>
        <v>729000</v>
      </c>
    </row>
    <row r="252" spans="7:31" x14ac:dyDescent="0.2">
      <c r="AA252" s="1179"/>
      <c r="AE252" s="1180"/>
    </row>
    <row r="253" spans="7:31" x14ac:dyDescent="0.2">
      <c r="AA253" s="1179" t="s">
        <v>2382</v>
      </c>
      <c r="AB253" s="972" t="str">
        <f>CONCATENATE(LEFT(AA279,3)," - 3")</f>
        <v>176 - 3</v>
      </c>
      <c r="AC253" s="972" t="str">
        <f>CONCATENATE(LEFT(AB279,3)," - 2")</f>
        <v>183 - 2</v>
      </c>
      <c r="AD253" s="972" t="str">
        <f>CONCATENATE(LEFT(AC279,3)+1," - 1")</f>
        <v>190 - 1</v>
      </c>
      <c r="AE253" s="1182" t="str">
        <f>CONCATENATE(LEFT(AD279,3)," - 4")</f>
        <v>196 - 4</v>
      </c>
    </row>
    <row r="254" spans="7:31" x14ac:dyDescent="0.2">
      <c r="AA254" s="1183" t="str">
        <f>CONCATENATE(LEFT(AA253,3)+1," - 1")</f>
        <v>170 - 1</v>
      </c>
      <c r="AB254" s="972" t="str">
        <f>CONCATENATE(LEFT(AB253,3)," - 4")</f>
        <v>176 - 4</v>
      </c>
      <c r="AC254" s="972" t="str">
        <f>CONCATENATE(LEFT(AC253,3)," - 3")</f>
        <v>183 - 3</v>
      </c>
      <c r="AD254" s="972" t="str">
        <f>CONCATENATE(LEFT(AD253,3)," - 2")</f>
        <v>190 - 2</v>
      </c>
      <c r="AE254" s="1182" t="str">
        <f>CONCATENATE(LEFT(AE253,3)+1," - 1")</f>
        <v>197 - 1</v>
      </c>
    </row>
    <row r="255" spans="7:31" x14ac:dyDescent="0.2">
      <c r="AA255" s="1183" t="str">
        <f>CONCATENATE(LEFT(AA254,3)," - 2")</f>
        <v>170 - 2</v>
      </c>
      <c r="AB255" s="972" t="str">
        <f>CONCATENATE(LEFT(AB254,3)+1," - 1")</f>
        <v>177 - 1</v>
      </c>
      <c r="AC255" s="972" t="str">
        <f>CONCATENATE(LEFT(AC254,3)," - 4")</f>
        <v>183 - 4</v>
      </c>
      <c r="AD255" s="972" t="str">
        <f>CONCATENATE(LEFT(AD254,3)," - 3")</f>
        <v>190 - 3</v>
      </c>
      <c r="AE255" s="1182" t="str">
        <f>CONCATENATE(LEFT(AE254,3)," - 2")</f>
        <v>197 - 2</v>
      </c>
    </row>
    <row r="256" spans="7:31" x14ac:dyDescent="0.2">
      <c r="AA256" s="1183" t="str">
        <f>CONCATENATE(LEFT(AA255,3)," - 3")</f>
        <v>170 - 3</v>
      </c>
      <c r="AB256" s="972" t="str">
        <f>CONCATENATE(LEFT(AB255,3)," - 2")</f>
        <v>177 - 2</v>
      </c>
      <c r="AC256" s="972" t="str">
        <f>CONCATENATE(LEFT(AC255,3)+1," - 1")</f>
        <v>184 - 1</v>
      </c>
      <c r="AD256" s="972" t="str">
        <f>CONCATENATE(LEFT(AD255,3)," - 4")</f>
        <v>190 - 4</v>
      </c>
      <c r="AE256" s="1182" t="str">
        <f>CONCATENATE(LEFT(AE255,3)," - 3")</f>
        <v>197 - 3</v>
      </c>
    </row>
    <row r="257" spans="27:31" x14ac:dyDescent="0.2">
      <c r="AA257" s="1183" t="str">
        <f>CONCATENATE(LEFT(AA256,3)," - 4")</f>
        <v>170 - 4</v>
      </c>
      <c r="AB257" s="972" t="str">
        <f>CONCATENATE(LEFT(AB256,3)," - 3")</f>
        <v>177 - 3</v>
      </c>
      <c r="AC257" s="972" t="str">
        <f>CONCATENATE(LEFT(AC256,3)," - 2")</f>
        <v>184 - 2</v>
      </c>
      <c r="AD257" s="972" t="str">
        <f>CONCATENATE(LEFT(AD256,3)+1," - 1")</f>
        <v>191 - 1</v>
      </c>
      <c r="AE257" s="1182" t="str">
        <f>CONCATENATE(LEFT(AE256,3)," - 4")</f>
        <v>197 - 4</v>
      </c>
    </row>
    <row r="258" spans="27:31" x14ac:dyDescent="0.2">
      <c r="AA258" s="1183" t="str">
        <f>CONCATENATE(LEFT(AA257,3)+1," - 1")</f>
        <v>171 - 1</v>
      </c>
      <c r="AB258" s="972" t="str">
        <f>CONCATENATE(LEFT(AB257,3)," - 4")</f>
        <v>177 - 4</v>
      </c>
      <c r="AC258" s="972" t="str">
        <f>CONCATENATE(LEFT(AC257,3)," - 3")</f>
        <v>184 - 3</v>
      </c>
      <c r="AD258" s="972" t="str">
        <f>CONCATENATE(LEFT(AD257,3)," - 2")</f>
        <v>191 - 2</v>
      </c>
      <c r="AE258" s="1182" t="str">
        <f>CONCATENATE(LEFT(AE257,3)+1," - 1")</f>
        <v>198 - 1</v>
      </c>
    </row>
    <row r="259" spans="27:31" x14ac:dyDescent="0.2">
      <c r="AA259" s="1183" t="str">
        <f>CONCATENATE(LEFT(AA258,3)," - 2")</f>
        <v>171 - 2</v>
      </c>
      <c r="AB259" s="972" t="str">
        <f>CONCATENATE(LEFT(AB258,3)+1," - 1")</f>
        <v>178 - 1</v>
      </c>
      <c r="AC259" s="972" t="str">
        <f>CONCATENATE(LEFT(AC258,3)," - 4")</f>
        <v>184 - 4</v>
      </c>
      <c r="AD259" s="972" t="str">
        <f>CONCATENATE(LEFT(AD258,3)," - 3")</f>
        <v>191 - 3</v>
      </c>
      <c r="AE259" s="1182" t="str">
        <f>CONCATENATE(LEFT(AE258,3)," - 2")</f>
        <v>198 - 2</v>
      </c>
    </row>
    <row r="260" spans="27:31" x14ac:dyDescent="0.2">
      <c r="AA260" s="1183" t="str">
        <f>CONCATENATE(LEFT(AA259,3)," - 3")</f>
        <v>171 - 3</v>
      </c>
      <c r="AB260" s="972" t="str">
        <f>CONCATENATE(LEFT(AB259,3)," - 2")</f>
        <v>178 - 2</v>
      </c>
      <c r="AC260" s="972" t="str">
        <f>CONCATENATE(LEFT(AC259,3)+1," - 1")</f>
        <v>185 - 1</v>
      </c>
      <c r="AD260" s="972" t="str">
        <f>CONCATENATE(LEFT(AD259,3)," - 4")</f>
        <v>191 - 4</v>
      </c>
      <c r="AE260" s="1182" t="str">
        <f>CONCATENATE(LEFT(AE259,3)," - 3")</f>
        <v>198 - 3</v>
      </c>
    </row>
    <row r="261" spans="27:31" x14ac:dyDescent="0.2">
      <c r="AA261" s="1183" t="str">
        <f>CONCATENATE(LEFT(AA260,3)," - 4")</f>
        <v>171 - 4</v>
      </c>
      <c r="AB261" s="972" t="str">
        <f>CONCATENATE(LEFT(AB260,3)," - 3")</f>
        <v>178 - 3</v>
      </c>
      <c r="AC261" s="972" t="str">
        <f>CONCATENATE(LEFT(AC260,3)," - 2")</f>
        <v>185 - 2</v>
      </c>
      <c r="AD261" s="972" t="str">
        <f>CONCATENATE(LEFT(AD260,3)+1," - 1")</f>
        <v>192 - 1</v>
      </c>
      <c r="AE261" s="1182" t="str">
        <f>CONCATENATE(LEFT(AE260,3)," - 4")</f>
        <v>198 - 4</v>
      </c>
    </row>
    <row r="262" spans="27:31" x14ac:dyDescent="0.2">
      <c r="AA262" s="1183" t="str">
        <f>CONCATENATE(LEFT(AA261,3)+1," - 1")</f>
        <v>172 - 1</v>
      </c>
      <c r="AB262" s="972" t="str">
        <f>CONCATENATE(LEFT(AB261,3)," - 4")</f>
        <v>178 - 4</v>
      </c>
      <c r="AC262" s="972" t="str">
        <f>CONCATENATE(LEFT(AC261,3)," - 3")</f>
        <v>185 - 3</v>
      </c>
      <c r="AD262" s="972" t="str">
        <f>CONCATENATE(LEFT(AD261,3)," - 2")</f>
        <v>192 - 2</v>
      </c>
      <c r="AE262" s="1182" t="str">
        <f>CONCATENATE(LEFT(AE261,3)+1," - 1")</f>
        <v>199 - 1</v>
      </c>
    </row>
    <row r="263" spans="27:31" x14ac:dyDescent="0.2">
      <c r="AA263" s="1183" t="str">
        <f>CONCATENATE(LEFT(AA262,3)," - 2")</f>
        <v>172 - 2</v>
      </c>
      <c r="AB263" s="972" t="str">
        <f>CONCATENATE(LEFT(AB262,3)+1," - 1")</f>
        <v>179 - 1</v>
      </c>
      <c r="AC263" s="972" t="str">
        <f>CONCATENATE(LEFT(AC262,3)," - 4")</f>
        <v>185 - 4</v>
      </c>
      <c r="AD263" s="972" t="str">
        <f>CONCATENATE(LEFT(AD262,3)," - 3")</f>
        <v>192 - 3</v>
      </c>
      <c r="AE263" s="1182" t="str">
        <f>CONCATENATE(LEFT(AE262,3)," - 2")</f>
        <v>199 - 2</v>
      </c>
    </row>
    <row r="264" spans="27:31" x14ac:dyDescent="0.2">
      <c r="AA264" s="1183" t="str">
        <f>CONCATENATE(LEFT(AA263,3)," - 3")</f>
        <v>172 - 3</v>
      </c>
      <c r="AB264" s="972" t="str">
        <f>CONCATENATE(LEFT(AB263,3)," - 2")</f>
        <v>179 - 2</v>
      </c>
      <c r="AC264" s="972" t="str">
        <f>CONCATENATE(LEFT(AC263,3)+1," - 1")</f>
        <v>186 - 1</v>
      </c>
      <c r="AD264" s="972" t="str">
        <f>CONCATENATE(LEFT(AD263,3)," - 4")</f>
        <v>192 - 4</v>
      </c>
      <c r="AE264" s="1182" t="str">
        <f>CONCATENATE(LEFT(AE263,3)," - 3")</f>
        <v>199 - 3</v>
      </c>
    </row>
    <row r="265" spans="27:31" x14ac:dyDescent="0.2">
      <c r="AA265" s="1183" t="str">
        <f>CONCATENATE(LEFT(AA264,3)," - 4")</f>
        <v>172 - 4</v>
      </c>
      <c r="AB265" s="972" t="str">
        <f>CONCATENATE(LEFT(AB264,3)," - 3")</f>
        <v>179 - 3</v>
      </c>
      <c r="AC265" s="972" t="str">
        <f>CONCATENATE(LEFT(AC264,3)," - 2")</f>
        <v>186 - 2</v>
      </c>
      <c r="AD265" s="972" t="str">
        <f>CONCATENATE(LEFT(AD264,3)+1," - 1")</f>
        <v>193 - 1</v>
      </c>
      <c r="AE265" s="1182" t="str">
        <f>CONCATENATE(LEFT(AE264,3)," - 4")</f>
        <v>199 - 4</v>
      </c>
    </row>
    <row r="266" spans="27:31" x14ac:dyDescent="0.2">
      <c r="AA266" s="1183" t="str">
        <f>CONCATENATE(LEFT(AA265,3)+1," - 1")</f>
        <v>173 - 1</v>
      </c>
      <c r="AB266" s="972" t="str">
        <f>CONCATENATE(LEFT(AB265,3)," - 4")</f>
        <v>179 - 4</v>
      </c>
      <c r="AC266" s="972" t="str">
        <f>CONCATENATE(LEFT(AC265,3)," - 3")</f>
        <v>186 - 3</v>
      </c>
      <c r="AD266" s="972" t="str">
        <f>CONCATENATE(LEFT(AD265,3)," - 2")</f>
        <v>193 - 2</v>
      </c>
      <c r="AE266" s="1182" t="str">
        <f>CONCATENATE(LEFT(AE265,3)+1," - 1")</f>
        <v>200 - 1</v>
      </c>
    </row>
    <row r="267" spans="27:31" x14ac:dyDescent="0.2">
      <c r="AA267" s="1183" t="str">
        <f>CONCATENATE(LEFT(AA266,3)," - 2")</f>
        <v>173 - 2</v>
      </c>
      <c r="AB267" s="972" t="str">
        <f>CONCATENATE(LEFT(AB266,3)+1," - 1")</f>
        <v>180 - 1</v>
      </c>
      <c r="AC267" s="972" t="str">
        <f>CONCATENATE(LEFT(AC266,3)," - 4")</f>
        <v>186 - 4</v>
      </c>
      <c r="AD267" s="972" t="str">
        <f>CONCATENATE(LEFT(AD266,3)," - 3")</f>
        <v>193 - 3</v>
      </c>
      <c r="AE267" s="1182" t="str">
        <f>CONCATENATE(LEFT(AE266,3)," - 2")</f>
        <v>200 - 2</v>
      </c>
    </row>
    <row r="268" spans="27:31" x14ac:dyDescent="0.2">
      <c r="AA268" s="1183" t="str">
        <f>CONCATENATE(LEFT(AA267,3)," - 3")</f>
        <v>173 - 3</v>
      </c>
      <c r="AB268" s="972" t="str">
        <f>CONCATENATE(LEFT(AB267,3)," - 2")</f>
        <v>180 - 2</v>
      </c>
      <c r="AC268" s="972" t="str">
        <f>CONCATENATE(LEFT(AC267,3)+1," - 1")</f>
        <v>187 - 1</v>
      </c>
      <c r="AD268" s="972" t="str">
        <f>CONCATENATE(LEFT(AD267,3)," - 4")</f>
        <v>193 - 4</v>
      </c>
      <c r="AE268" s="1182" t="str">
        <f>CONCATENATE(LEFT(AE267,3)," - 3")</f>
        <v>200 - 3</v>
      </c>
    </row>
    <row r="269" spans="27:31" x14ac:dyDescent="0.2">
      <c r="AA269" s="1183" t="str">
        <f>CONCATENATE(LEFT(AA268,3)," - 4")</f>
        <v>173 - 4</v>
      </c>
      <c r="AB269" s="972" t="str">
        <f>CONCATENATE(LEFT(AB268,3)," - 3")</f>
        <v>180 - 3</v>
      </c>
      <c r="AC269" s="972" t="str">
        <f>CONCATENATE(LEFT(AC268,3)," - 2")</f>
        <v>187 - 2</v>
      </c>
      <c r="AD269" s="972" t="str">
        <f>CONCATENATE(LEFT(AD268,3)+1," - 1")</f>
        <v>194 - 1</v>
      </c>
      <c r="AE269" s="1182" t="str">
        <f>CONCATENATE(LEFT(AE268,3)," - 4")</f>
        <v>200 - 4</v>
      </c>
    </row>
    <row r="270" spans="27:31" x14ac:dyDescent="0.2">
      <c r="AA270" s="1183" t="str">
        <f>CONCATENATE(LEFT(AA269,3)+1," - 1")</f>
        <v>174 - 1</v>
      </c>
      <c r="AB270" s="972" t="str">
        <f>CONCATENATE(LEFT(AB269,3)," - 4")</f>
        <v>180 - 4</v>
      </c>
      <c r="AC270" s="972" t="str">
        <f>CONCATENATE(LEFT(AC269,3)," - 3")</f>
        <v>187 - 3</v>
      </c>
      <c r="AD270" s="972" t="str">
        <f>CONCATENATE(LEFT(AD269,3)," - 2")</f>
        <v>194 - 2</v>
      </c>
      <c r="AE270" s="1182" t="str">
        <f>CONCATENATE(LEFT(AE269,3)+1," - 1")</f>
        <v>201 - 1</v>
      </c>
    </row>
    <row r="271" spans="27:31" x14ac:dyDescent="0.2">
      <c r="AA271" s="1183" t="str">
        <f>CONCATENATE(LEFT(AA270,3)," - 2")</f>
        <v>174 - 2</v>
      </c>
      <c r="AB271" s="972" t="str">
        <f>CONCATENATE(LEFT(AB270,3)+1," - 1")</f>
        <v>181 - 1</v>
      </c>
      <c r="AC271" s="972" t="str">
        <f>CONCATENATE(LEFT(AC270,3)," - 4")</f>
        <v>187 - 4</v>
      </c>
      <c r="AD271" s="972" t="str">
        <f>CONCATENATE(LEFT(AD270,3)," - 3")</f>
        <v>194 - 3</v>
      </c>
      <c r="AE271" s="1182" t="str">
        <f>CONCATENATE(LEFT(AE270,3)," - 2")</f>
        <v>201 - 2</v>
      </c>
    </row>
    <row r="272" spans="27:31" x14ac:dyDescent="0.2">
      <c r="AA272" s="1183" t="str">
        <f>CONCATENATE(LEFT(AA271,3)," - 3")</f>
        <v>174 - 3</v>
      </c>
      <c r="AB272" s="972" t="str">
        <f>CONCATENATE(LEFT(AB271,3)," - 2")</f>
        <v>181 - 2</v>
      </c>
      <c r="AC272" s="972" t="str">
        <f>CONCATENATE(LEFT(AC271,3)+1," - 1")</f>
        <v>188 - 1</v>
      </c>
      <c r="AD272" s="972" t="str">
        <f>CONCATENATE(LEFT(AD271,3)," - 4")</f>
        <v>194 - 4</v>
      </c>
      <c r="AE272" s="1182" t="str">
        <f>CONCATENATE(LEFT(AE271,3)," - 3")</f>
        <v>201 - 3</v>
      </c>
    </row>
    <row r="273" spans="27:31" x14ac:dyDescent="0.2">
      <c r="AA273" s="1183" t="str">
        <f>CONCATENATE(LEFT(AA272,3)," - 4")</f>
        <v>174 - 4</v>
      </c>
      <c r="AB273" s="972" t="str">
        <f>CONCATENATE(LEFT(AB272,3)," - 3")</f>
        <v>181 - 3</v>
      </c>
      <c r="AC273" s="972" t="str">
        <f>CONCATENATE(LEFT(AC272,3)," - 2")</f>
        <v>188 - 2</v>
      </c>
      <c r="AD273" s="972" t="str">
        <f>CONCATENATE(LEFT(AD272,3)+1," - 1")</f>
        <v>195 - 1</v>
      </c>
      <c r="AE273" s="1182" t="str">
        <f>CONCATENATE(LEFT(AE272,3)," - 4")</f>
        <v>201 - 4</v>
      </c>
    </row>
    <row r="274" spans="27:31" x14ac:dyDescent="0.2">
      <c r="AA274" s="1183" t="str">
        <f>CONCATENATE(LEFT(AA273,3)+1," - 1")</f>
        <v>175 - 1</v>
      </c>
      <c r="AB274" s="972" t="str">
        <f>CONCATENATE(LEFT(AB273,3)," - 4")</f>
        <v>181 - 4</v>
      </c>
      <c r="AC274" s="972" t="str">
        <f>CONCATENATE(LEFT(AC273,3)," - 3")</f>
        <v>188 - 3</v>
      </c>
      <c r="AD274" s="972" t="str">
        <f>CONCATENATE(LEFT(AD273,3)," - 2")</f>
        <v>195 - 2</v>
      </c>
      <c r="AE274" s="1182" t="str">
        <f>CONCATENATE(LEFT(AE273,3)+1," - 1")</f>
        <v>202 - 1</v>
      </c>
    </row>
    <row r="275" spans="27:31" x14ac:dyDescent="0.2">
      <c r="AA275" s="1183" t="str">
        <f>CONCATENATE(LEFT(AA274,3)," - 2")</f>
        <v>175 - 2</v>
      </c>
      <c r="AB275" s="972" t="str">
        <f>CONCATENATE(LEFT(AB274,3)+1," - 1")</f>
        <v>182 - 1</v>
      </c>
      <c r="AC275" s="972" t="str">
        <f>CONCATENATE(LEFT(AC274,3)," - 4")</f>
        <v>188 - 4</v>
      </c>
      <c r="AD275" s="972" t="str">
        <f>CONCATENATE(LEFT(AD274,3)," - 3")</f>
        <v>195 - 3</v>
      </c>
      <c r="AE275" s="1182" t="str">
        <f>CONCATENATE(LEFT(AE274,3)," - 2")</f>
        <v>202 - 2</v>
      </c>
    </row>
    <row r="276" spans="27:31" x14ac:dyDescent="0.2">
      <c r="AA276" s="1183" t="str">
        <f>CONCATENATE(LEFT(AA275,3)," - 3")</f>
        <v>175 - 3</v>
      </c>
      <c r="AB276" s="972" t="str">
        <f>CONCATENATE(LEFT(AB275,3)," - 2")</f>
        <v>182 - 2</v>
      </c>
      <c r="AC276" s="972" t="str">
        <f>CONCATENATE(LEFT(AC275,3)+1," - 1")</f>
        <v>189 - 1</v>
      </c>
      <c r="AD276" s="972" t="str">
        <f>CONCATENATE(LEFT(AD275,3)," - 4")</f>
        <v>195 - 4</v>
      </c>
      <c r="AE276" s="1182" t="str">
        <f>CONCATENATE(LEFT(AE275,3)," - 3")</f>
        <v>202 - 3</v>
      </c>
    </row>
    <row r="277" spans="27:31" x14ac:dyDescent="0.2">
      <c r="AA277" s="1183" t="str">
        <f>CONCATENATE(LEFT(AA276,3)," - 4")</f>
        <v>175 - 4</v>
      </c>
      <c r="AB277" s="972" t="str">
        <f>CONCATENATE(LEFT(AB276,3)," - 3")</f>
        <v>182 - 3</v>
      </c>
      <c r="AC277" s="972" t="str">
        <f>CONCATENATE(LEFT(AC276,3)," - 2")</f>
        <v>189 - 2</v>
      </c>
      <c r="AD277" s="972" t="str">
        <f>CONCATENATE(LEFT(AD276,3)+1," - 1")</f>
        <v>196 - 1</v>
      </c>
      <c r="AE277" s="1182" t="str">
        <f>CONCATENATE(LEFT(AE276,3)," - 4")</f>
        <v>202 - 4</v>
      </c>
    </row>
    <row r="278" spans="27:31" x14ac:dyDescent="0.2">
      <c r="AA278" s="1183" t="str">
        <f>CONCATENATE(LEFT(AA277,3)+1," - 1")</f>
        <v>176 - 1</v>
      </c>
      <c r="AB278" s="972" t="str">
        <f>CONCATENATE(LEFT(AB277,3)," - 4")</f>
        <v>182 - 4</v>
      </c>
      <c r="AC278" s="972" t="str">
        <f>CONCATENATE(LEFT(AC277,3)," - 3")</f>
        <v>189 - 3</v>
      </c>
      <c r="AD278" s="972" t="str">
        <f>CONCATENATE(LEFT(AD277,3)," - 2")</f>
        <v>196 - 2</v>
      </c>
      <c r="AE278" s="1182" t="str">
        <f>CONCATENATE(LEFT(AE277,3)+1," - 1")</f>
        <v>203 - 1</v>
      </c>
    </row>
    <row r="279" spans="27:31" ht="13.5" thickBot="1" x14ac:dyDescent="0.25">
      <c r="AA279" s="1184" t="str">
        <f>CONCATENATE(LEFT(AA278,3)," - 2")</f>
        <v>176 - 2</v>
      </c>
      <c r="AB279" s="1185" t="str">
        <f>CONCATENATE(LEFT(AB278,3)+1," - 1")</f>
        <v>183 - 1</v>
      </c>
      <c r="AC279" s="1185" t="str">
        <f>CONCATENATE(LEFT(AC278,3)," - 4")</f>
        <v>189 - 4</v>
      </c>
      <c r="AD279" s="1185" t="str">
        <f>CONCATENATE(LEFT(AD278,3)," - 3")</f>
        <v>196 - 3</v>
      </c>
      <c r="AE279" s="1186" t="str">
        <f>CONCATENATE(LEFT(AE278,3)," - 2")</f>
        <v>203 - 2</v>
      </c>
    </row>
    <row r="280" spans="27:31" ht="13.5" thickTop="1" x14ac:dyDescent="0.2"/>
  </sheetData>
  <autoFilter ref="A49:G176" xr:uid="{00000000-0009-0000-0000-00000E000000}"/>
  <phoneticPr fontId="16" type="noConversion"/>
  <printOptions horizontalCentered="1" verticalCentered="1"/>
  <pageMargins left="0.25" right="0.25" top="1" bottom="1" header="0.5" footer="0.5"/>
  <pageSetup orientation="landscape" horizontalDpi="4294967292" verticalDpi="4294967292" r:id="rId1"/>
  <headerFooter alignWithMargins="0">
    <oddHeader>&amp;F</oddHeader>
    <oddFooter>Page &amp;P</oddFoot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tabColor indexed="18"/>
  </sheetPr>
  <dimension ref="A1:C24"/>
  <sheetViews>
    <sheetView topLeftCell="A11" workbookViewId="0">
      <selection activeCell="A24" sqref="A24"/>
      <extLst>
        <ext xmlns:xlsdti="http://schemas.microsoft.com/office/spreadsheetml/2023/showDataTypeIcons" uri="{77bfe23e-c014-4d31-8a63-9c772dbf06b6}">
          <xlsdti:showDataTypeIcons visible="0"/>
        </ext>
      </extLst>
    </sheetView>
  </sheetViews>
  <sheetFormatPr defaultColWidth="9.140625" defaultRowHeight="12.75" x14ac:dyDescent="0.2"/>
  <cols>
    <col min="1" max="1" width="11" style="926" customWidth="1"/>
    <col min="2" max="2" width="9.42578125" style="810" customWidth="1"/>
    <col min="3" max="3" width="79.28515625" style="805" customWidth="1"/>
    <col min="4" max="16384" width="9.140625" style="629"/>
  </cols>
  <sheetData>
    <row r="1" spans="1:3" x14ac:dyDescent="0.2">
      <c r="A1" s="924" t="s">
        <v>1549</v>
      </c>
      <c r="B1" s="804"/>
    </row>
    <row r="2" spans="1:3" x14ac:dyDescent="0.2">
      <c r="A2" s="925" t="s">
        <v>1550</v>
      </c>
      <c r="B2" s="806" t="s">
        <v>1551</v>
      </c>
      <c r="C2" s="807" t="s">
        <v>1552</v>
      </c>
    </row>
    <row r="3" spans="1:3" x14ac:dyDescent="0.2">
      <c r="A3" s="926">
        <v>38946</v>
      </c>
      <c r="B3" s="808" t="s">
        <v>1553</v>
      </c>
      <c r="C3" s="809" t="s">
        <v>87</v>
      </c>
    </row>
    <row r="4" spans="1:3" x14ac:dyDescent="0.2">
      <c r="A4" s="926">
        <v>38959</v>
      </c>
      <c r="B4" s="810" t="s">
        <v>1553</v>
      </c>
      <c r="C4" s="805" t="s">
        <v>1859</v>
      </c>
    </row>
    <row r="5" spans="1:3" ht="165.75" x14ac:dyDescent="0.2">
      <c r="A5" s="926">
        <v>38988</v>
      </c>
      <c r="B5" s="810" t="s">
        <v>1553</v>
      </c>
      <c r="C5" s="809" t="s">
        <v>1619</v>
      </c>
    </row>
    <row r="6" spans="1:3" x14ac:dyDescent="0.2">
      <c r="A6" s="926">
        <v>39002</v>
      </c>
      <c r="B6" s="810" t="s">
        <v>1553</v>
      </c>
      <c r="C6" s="928" t="s">
        <v>279</v>
      </c>
    </row>
    <row r="7" spans="1:3" ht="89.25" x14ac:dyDescent="0.2">
      <c r="A7" s="926">
        <v>39028</v>
      </c>
      <c r="B7" s="810" t="s">
        <v>1553</v>
      </c>
      <c r="C7" s="809" t="s">
        <v>1832</v>
      </c>
    </row>
    <row r="8" spans="1:3" x14ac:dyDescent="0.2">
      <c r="A8" s="926">
        <v>39043</v>
      </c>
      <c r="B8" s="810" t="s">
        <v>1144</v>
      </c>
      <c r="C8" s="809" t="s">
        <v>1145</v>
      </c>
    </row>
    <row r="9" spans="1:3" ht="25.5" x14ac:dyDescent="0.2">
      <c r="A9" s="952">
        <v>39043</v>
      </c>
      <c r="B9" s="953" t="s">
        <v>1553</v>
      </c>
      <c r="C9" s="954" t="s">
        <v>1143</v>
      </c>
    </row>
    <row r="10" spans="1:3" x14ac:dyDescent="0.2">
      <c r="A10" s="926">
        <v>39059</v>
      </c>
      <c r="B10" s="810" t="s">
        <v>1142</v>
      </c>
      <c r="C10" s="805" t="s">
        <v>1141</v>
      </c>
    </row>
    <row r="11" spans="1:3" ht="25.5" x14ac:dyDescent="0.2">
      <c r="A11" s="926">
        <v>39062</v>
      </c>
      <c r="B11" s="810" t="s">
        <v>1553</v>
      </c>
      <c r="C11" s="809" t="s">
        <v>398</v>
      </c>
    </row>
    <row r="12" spans="1:3" ht="51" x14ac:dyDescent="0.2">
      <c r="A12" s="926">
        <v>39064</v>
      </c>
      <c r="B12" s="810" t="s">
        <v>960</v>
      </c>
      <c r="C12" s="805" t="s">
        <v>961</v>
      </c>
    </row>
    <row r="13" spans="1:3" x14ac:dyDescent="0.2">
      <c r="A13" s="926">
        <v>39071</v>
      </c>
      <c r="B13" s="810" t="s">
        <v>1142</v>
      </c>
      <c r="C13" s="805" t="s">
        <v>280</v>
      </c>
    </row>
    <row r="14" spans="1:3" x14ac:dyDescent="0.2">
      <c r="A14" s="926">
        <v>39085</v>
      </c>
      <c r="B14" s="810" t="s">
        <v>1142</v>
      </c>
      <c r="C14" s="805" t="s">
        <v>1645</v>
      </c>
    </row>
    <row r="15" spans="1:3" ht="25.5" x14ac:dyDescent="0.2">
      <c r="A15" s="926">
        <v>39085</v>
      </c>
      <c r="B15" s="810" t="s">
        <v>1553</v>
      </c>
      <c r="C15" s="809" t="s">
        <v>936</v>
      </c>
    </row>
    <row r="16" spans="1:3" x14ac:dyDescent="0.2">
      <c r="A16" s="926">
        <v>39086</v>
      </c>
      <c r="B16" s="810" t="s">
        <v>1553</v>
      </c>
      <c r="C16" s="805" t="s">
        <v>1539</v>
      </c>
    </row>
    <row r="17" spans="1:3" x14ac:dyDescent="0.2">
      <c r="A17" s="926">
        <v>39092</v>
      </c>
      <c r="B17" s="810" t="s">
        <v>1553</v>
      </c>
      <c r="C17" s="805" t="s">
        <v>2085</v>
      </c>
    </row>
    <row r="18" spans="1:3" ht="38.25" x14ac:dyDescent="0.2">
      <c r="A18" s="926">
        <v>39100</v>
      </c>
      <c r="B18" s="810" t="s">
        <v>1553</v>
      </c>
      <c r="C18" s="809" t="s">
        <v>1831</v>
      </c>
    </row>
    <row r="19" spans="1:3" ht="25.5" x14ac:dyDescent="0.2">
      <c r="A19" s="926">
        <v>39120</v>
      </c>
      <c r="B19" s="810" t="s">
        <v>1553</v>
      </c>
      <c r="C19" s="809" t="s">
        <v>1723</v>
      </c>
    </row>
    <row r="20" spans="1:3" x14ac:dyDescent="0.2">
      <c r="A20" s="926">
        <v>39132</v>
      </c>
      <c r="B20" s="810" t="s">
        <v>373</v>
      </c>
      <c r="C20" s="805" t="s">
        <v>374</v>
      </c>
    </row>
    <row r="21" spans="1:3" x14ac:dyDescent="0.2">
      <c r="A21" s="926">
        <v>21245</v>
      </c>
      <c r="B21" s="810" t="s">
        <v>1312</v>
      </c>
      <c r="C21" s="805" t="s">
        <v>1313</v>
      </c>
    </row>
    <row r="22" spans="1:3" x14ac:dyDescent="0.2">
      <c r="A22" s="926">
        <v>39176</v>
      </c>
      <c r="B22" s="810" t="s">
        <v>1142</v>
      </c>
      <c r="C22" s="805" t="s">
        <v>1805</v>
      </c>
    </row>
    <row r="23" spans="1:3" x14ac:dyDescent="0.2">
      <c r="A23" s="926">
        <v>39182</v>
      </c>
      <c r="B23" s="810" t="s">
        <v>1142</v>
      </c>
      <c r="C23" s="805" t="s">
        <v>358</v>
      </c>
    </row>
    <row r="24" spans="1:3" x14ac:dyDescent="0.2">
      <c r="A24" s="926">
        <v>39294</v>
      </c>
      <c r="B24" s="810" t="s">
        <v>1053</v>
      </c>
      <c r="C24" s="805" t="s">
        <v>1061</v>
      </c>
    </row>
  </sheetData>
  <phoneticPr fontId="16" type="noConversion"/>
  <pageMargins left="0.75" right="0.75" top="1" bottom="1" header="0.5" footer="0.5"/>
  <pageSetup orientation="portrait"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tabColor indexed="45"/>
  </sheetPr>
  <dimension ref="A1:E3"/>
  <sheetViews>
    <sheetView zoomScale="75" workbookViewId="0">
      <extLst>
        <ext xmlns:xlsdti="http://schemas.microsoft.com/office/spreadsheetml/2023/showDataTypeIcons" uri="{77bfe23e-c014-4d31-8a63-9c772dbf06b6}">
          <xlsdti:showDataTypeIcons visible="0"/>
        </ext>
      </extLst>
    </sheetView>
  </sheetViews>
  <sheetFormatPr defaultRowHeight="12.75" x14ac:dyDescent="0.2"/>
  <cols>
    <col min="1" max="1" width="20" customWidth="1"/>
    <col min="2" max="2" width="20.7109375" customWidth="1"/>
    <col min="3" max="3" width="29.7109375" customWidth="1"/>
    <col min="4" max="4" width="11.28515625" customWidth="1"/>
    <col min="5" max="5" width="30.28515625" customWidth="1"/>
  </cols>
  <sheetData>
    <row r="1" spans="1:5" x14ac:dyDescent="0.2">
      <c r="A1" s="956" t="s">
        <v>1554</v>
      </c>
      <c r="B1" s="956" t="s">
        <v>1556</v>
      </c>
      <c r="C1" s="956" t="s">
        <v>1867</v>
      </c>
      <c r="D1" s="942" t="s">
        <v>1858</v>
      </c>
      <c r="E1" s="899" t="s">
        <v>397</v>
      </c>
    </row>
    <row r="2" spans="1:5" x14ac:dyDescent="0.2">
      <c r="A2" s="942" t="s">
        <v>1814</v>
      </c>
      <c r="B2" s="942" t="s">
        <v>1052</v>
      </c>
      <c r="C2" s="942" t="s">
        <v>912</v>
      </c>
      <c r="D2" s="1124" t="str">
        <f>LEFT('Design Data'!C10,2)</f>
        <v/>
      </c>
      <c r="E2" s="956">
        <f>'Design Data'!C10</f>
        <v>0</v>
      </c>
    </row>
    <row r="3" spans="1:5" x14ac:dyDescent="0.2">
      <c r="A3" s="942"/>
      <c r="B3" s="942"/>
      <c r="C3" s="942"/>
      <c r="D3" s="942"/>
      <c r="E3" s="956"/>
    </row>
  </sheetData>
  <phoneticPr fontId="16" type="noConversion"/>
  <pageMargins left="0.75" right="0.75" top="1" bottom="1" header="0.5" footer="0.5"/>
  <pageSetup orientation="portrait" r:id="rId1"/>
  <headerFooter alignWithMargins="0"/>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indexed="13"/>
  </sheetPr>
  <dimension ref="A1:AC364"/>
  <sheetViews>
    <sheetView zoomScale="65" zoomScaleNormal="70" zoomScaleSheetLayoutView="25" workbookViewId="0">
      <selection activeCell="D36" sqref="D36"/>
      <extLst>
        <ext xmlns:xlsdti="http://schemas.microsoft.com/office/spreadsheetml/2023/showDataTypeIcons" uri="{77bfe23e-c014-4d31-8a63-9c772dbf06b6}">
          <xlsdti:showDataTypeIcons visible="0"/>
        </ext>
      </extLst>
    </sheetView>
  </sheetViews>
  <sheetFormatPr defaultColWidth="9.140625" defaultRowHeight="12.75" x14ac:dyDescent="0.2"/>
  <cols>
    <col min="1" max="6" width="9.140625" style="629"/>
    <col min="7" max="7" width="11.140625" style="629" customWidth="1"/>
    <col min="8" max="9" width="9.140625" style="629"/>
    <col min="10" max="10" width="11.28515625" style="629" customWidth="1"/>
    <col min="11" max="13" width="9.140625" style="629"/>
    <col min="14" max="15" width="11.28515625" style="629" customWidth="1"/>
    <col min="16" max="16" width="11.85546875" style="629" customWidth="1"/>
    <col min="17" max="17" width="11.28515625" style="629" customWidth="1"/>
    <col min="18" max="20" width="9.140625" style="629"/>
    <col min="21" max="21" width="9.140625" style="746"/>
    <col min="22" max="22" width="17.140625" style="746" customWidth="1"/>
    <col min="23" max="23" width="60.42578125" style="746" customWidth="1"/>
    <col min="24" max="24" width="12" style="755" customWidth="1"/>
    <col min="25" max="25" width="13.42578125" style="746" customWidth="1"/>
    <col min="26" max="26" width="59.28515625" style="629" customWidth="1"/>
    <col min="27" max="16384" width="9.140625" style="629"/>
  </cols>
  <sheetData>
    <row r="1" spans="1:26" ht="15" customHeight="1" thickBot="1" x14ac:dyDescent="0.25">
      <c r="A1" s="756"/>
      <c r="B1" s="757"/>
      <c r="C1" s="757"/>
      <c r="D1" s="757"/>
      <c r="E1" s="757"/>
      <c r="F1" s="757"/>
      <c r="G1" s="757"/>
      <c r="H1" s="757"/>
      <c r="I1" s="757"/>
      <c r="J1" s="757"/>
      <c r="K1" s="757"/>
      <c r="L1" s="757"/>
      <c r="M1" s="757"/>
      <c r="N1" s="757"/>
      <c r="O1" s="757"/>
      <c r="P1" s="757"/>
      <c r="Q1" s="757"/>
      <c r="R1" s="757"/>
      <c r="S1" s="803"/>
      <c r="T1" s="884" t="s">
        <v>1904</v>
      </c>
      <c r="U1" s="886" t="s">
        <v>1265</v>
      </c>
      <c r="V1" s="886" t="s">
        <v>1266</v>
      </c>
      <c r="W1" s="886" t="s">
        <v>1267</v>
      </c>
      <c r="X1" s="887" t="s">
        <v>1268</v>
      </c>
      <c r="Y1" s="886" t="s">
        <v>1269</v>
      </c>
      <c r="Z1" s="840" t="s">
        <v>2201</v>
      </c>
    </row>
    <row r="2" spans="1:26" ht="15" customHeight="1" thickTop="1" thickBot="1" x14ac:dyDescent="0.25">
      <c r="A2" s="758"/>
      <c r="B2" s="1857" t="s">
        <v>249</v>
      </c>
      <c r="C2" s="1884"/>
      <c r="D2" s="1884"/>
      <c r="E2" s="1884"/>
      <c r="F2" s="1795"/>
      <c r="G2" s="759"/>
      <c r="H2" s="1885" t="s">
        <v>1999</v>
      </c>
      <c r="I2" s="1886"/>
      <c r="J2" s="1886"/>
      <c r="K2" s="1887"/>
      <c r="L2" s="759"/>
      <c r="M2" s="1857" t="s">
        <v>1899</v>
      </c>
      <c r="N2" s="1884"/>
      <c r="O2" s="1884"/>
      <c r="P2" s="1884"/>
      <c r="Q2" s="1884"/>
      <c r="R2" s="1795"/>
      <c r="S2" s="760"/>
      <c r="T2" s="885" t="s">
        <v>577</v>
      </c>
      <c r="U2" s="765" t="s">
        <v>1907</v>
      </c>
      <c r="V2" s="765" t="s">
        <v>1267</v>
      </c>
      <c r="W2" s="766" t="s">
        <v>249</v>
      </c>
      <c r="X2" s="767" t="s">
        <v>1130</v>
      </c>
      <c r="Y2" s="766" t="s">
        <v>1130</v>
      </c>
      <c r="Z2" s="882" t="s">
        <v>1903</v>
      </c>
    </row>
    <row r="3" spans="1:26" ht="15" customHeight="1" thickTop="1" thickBot="1" x14ac:dyDescent="0.25">
      <c r="A3" s="758"/>
      <c r="B3" s="647" t="s">
        <v>1231</v>
      </c>
      <c r="C3" s="648"/>
      <c r="D3" s="1909" t="s">
        <v>1911</v>
      </c>
      <c r="E3" s="1790"/>
      <c r="F3" s="1910"/>
      <c r="G3" s="759"/>
      <c r="H3" s="1888" t="s">
        <v>2000</v>
      </c>
      <c r="I3" s="1889"/>
      <c r="J3" s="1889"/>
      <c r="K3" s="1890"/>
      <c r="L3" s="759"/>
      <c r="M3" s="649" t="s">
        <v>171</v>
      </c>
      <c r="N3" s="650"/>
      <c r="O3" s="650"/>
      <c r="P3" s="651" t="s">
        <v>172</v>
      </c>
      <c r="Q3" s="1794" t="s">
        <v>173</v>
      </c>
      <c r="R3" s="1795"/>
      <c r="S3" s="760"/>
      <c r="T3" s="885" t="s">
        <v>578</v>
      </c>
      <c r="U3" s="768" t="s">
        <v>1908</v>
      </c>
      <c r="V3" s="768" t="s">
        <v>1270</v>
      </c>
      <c r="W3" s="769" t="s">
        <v>2038</v>
      </c>
      <c r="X3" s="767">
        <v>50</v>
      </c>
      <c r="Y3" s="766" t="s">
        <v>1130</v>
      </c>
      <c r="Z3" s="764"/>
    </row>
    <row r="4" spans="1:26" ht="15" customHeight="1" thickTop="1" thickBot="1" x14ac:dyDescent="0.25">
      <c r="A4" s="758"/>
      <c r="B4" s="652" t="s">
        <v>80</v>
      </c>
      <c r="C4" s="653"/>
      <c r="D4" s="1813" t="s">
        <v>1912</v>
      </c>
      <c r="E4" s="1814"/>
      <c r="F4" s="1815"/>
      <c r="G4" s="759"/>
      <c r="H4" s="759"/>
      <c r="I4" s="759"/>
      <c r="J4" s="759"/>
      <c r="K4" s="759"/>
      <c r="L4" s="759"/>
      <c r="M4" s="1805" t="s">
        <v>178</v>
      </c>
      <c r="N4" s="1806"/>
      <c r="O4" s="1807"/>
      <c r="P4" s="654" t="s">
        <v>1956</v>
      </c>
      <c r="Q4" s="1907" t="s">
        <v>2028</v>
      </c>
      <c r="R4" s="1908"/>
      <c r="S4" s="760"/>
      <c r="T4" s="885" t="s">
        <v>579</v>
      </c>
      <c r="U4" s="770" t="s">
        <v>1911</v>
      </c>
      <c r="V4" s="770" t="s">
        <v>1270</v>
      </c>
      <c r="W4" s="766" t="s">
        <v>1231</v>
      </c>
      <c r="X4" s="767">
        <v>40</v>
      </c>
      <c r="Y4" s="766" t="s">
        <v>1130</v>
      </c>
      <c r="Z4" s="764"/>
    </row>
    <row r="5" spans="1:26" ht="15" customHeight="1" thickTop="1" thickBot="1" x14ac:dyDescent="0.25">
      <c r="A5" s="758"/>
      <c r="B5" s="647" t="s">
        <v>1257</v>
      </c>
      <c r="C5" s="655"/>
      <c r="D5" s="1901" t="s">
        <v>1913</v>
      </c>
      <c r="E5" s="1902"/>
      <c r="F5" s="1903"/>
      <c r="G5" s="759"/>
      <c r="H5" s="1827" t="s">
        <v>1296</v>
      </c>
      <c r="I5" s="1828"/>
      <c r="J5" s="1829"/>
      <c r="K5" s="759"/>
      <c r="L5" s="759"/>
      <c r="M5" s="1802" t="s">
        <v>184</v>
      </c>
      <c r="N5" s="1803"/>
      <c r="O5" s="1804"/>
      <c r="P5" s="657" t="s">
        <v>1957</v>
      </c>
      <c r="Q5" s="1792" t="s">
        <v>2029</v>
      </c>
      <c r="R5" s="1793"/>
      <c r="S5" s="760"/>
      <c r="T5" s="885" t="s">
        <v>2010</v>
      </c>
      <c r="U5" s="770" t="s">
        <v>1912</v>
      </c>
      <c r="V5" s="770" t="s">
        <v>1270</v>
      </c>
      <c r="W5" s="770" t="s">
        <v>80</v>
      </c>
      <c r="X5" s="771">
        <v>50</v>
      </c>
      <c r="Y5" s="766" t="s">
        <v>1130</v>
      </c>
      <c r="Z5" s="764"/>
    </row>
    <row r="6" spans="1:26" ht="15" customHeight="1" thickTop="1" thickBot="1" x14ac:dyDescent="0.25">
      <c r="A6" s="758"/>
      <c r="B6" s="658" t="s">
        <v>107</v>
      </c>
      <c r="C6" s="659"/>
      <c r="D6" s="1820" t="s">
        <v>1914</v>
      </c>
      <c r="E6" s="1894"/>
      <c r="F6" s="1895"/>
      <c r="G6" s="759"/>
      <c r="H6" s="660" t="s">
        <v>92</v>
      </c>
      <c r="I6" s="661" t="s">
        <v>93</v>
      </c>
      <c r="J6" s="662" t="s">
        <v>94</v>
      </c>
      <c r="K6" s="759"/>
      <c r="L6" s="759"/>
      <c r="M6" s="1789" t="s">
        <v>186</v>
      </c>
      <c r="N6" s="1790"/>
      <c r="O6" s="1791"/>
      <c r="P6" s="663" t="s">
        <v>1958</v>
      </c>
      <c r="Q6" s="1792" t="s">
        <v>2030</v>
      </c>
      <c r="R6" s="1793"/>
      <c r="S6" s="760"/>
      <c r="T6" s="885" t="s">
        <v>2011</v>
      </c>
      <c r="U6" s="770" t="s">
        <v>1913</v>
      </c>
      <c r="V6" s="770" t="s">
        <v>1275</v>
      </c>
      <c r="W6" s="883" t="s">
        <v>1257</v>
      </c>
      <c r="X6" s="781" t="s">
        <v>85</v>
      </c>
      <c r="Y6" s="766" t="s">
        <v>1282</v>
      </c>
      <c r="Z6" s="764"/>
    </row>
    <row r="7" spans="1:26" ht="15" customHeight="1" thickTop="1" x14ac:dyDescent="0.2">
      <c r="A7" s="758"/>
      <c r="B7" s="652" t="s">
        <v>101</v>
      </c>
      <c r="C7" s="653"/>
      <c r="D7" s="1904" t="s">
        <v>1915</v>
      </c>
      <c r="E7" s="1905"/>
      <c r="F7" s="1906"/>
      <c r="G7" s="759"/>
      <c r="H7" s="664" t="s">
        <v>95</v>
      </c>
      <c r="I7" s="665" t="s">
        <v>1929</v>
      </c>
      <c r="J7" s="666" t="s">
        <v>1941</v>
      </c>
      <c r="K7" s="759"/>
      <c r="L7" s="759"/>
      <c r="M7" s="1789" t="s">
        <v>193</v>
      </c>
      <c r="N7" s="1790"/>
      <c r="O7" s="1791"/>
      <c r="P7" s="657" t="s">
        <v>1974</v>
      </c>
      <c r="Q7" s="1792" t="s">
        <v>2031</v>
      </c>
      <c r="R7" s="1793"/>
      <c r="S7" s="760"/>
      <c r="T7" s="885" t="s">
        <v>2012</v>
      </c>
      <c r="U7" s="770" t="s">
        <v>1914</v>
      </c>
      <c r="V7" s="770" t="s">
        <v>1275</v>
      </c>
      <c r="W7" s="630" t="s">
        <v>107</v>
      </c>
      <c r="X7" s="781" t="s">
        <v>2037</v>
      </c>
      <c r="Y7" s="770" t="s">
        <v>1219</v>
      </c>
      <c r="Z7" s="764"/>
    </row>
    <row r="8" spans="1:26" ht="15" customHeight="1" thickBot="1" x14ac:dyDescent="0.25">
      <c r="A8" s="758"/>
      <c r="B8" s="1911" t="s">
        <v>1908</v>
      </c>
      <c r="C8" s="1912"/>
      <c r="D8" s="1912"/>
      <c r="E8" s="1912"/>
      <c r="F8" s="1913"/>
      <c r="G8" s="759"/>
      <c r="H8" s="664" t="s">
        <v>99</v>
      </c>
      <c r="I8" s="667" t="s">
        <v>1930</v>
      </c>
      <c r="J8" s="668" t="s">
        <v>1942</v>
      </c>
      <c r="K8" s="759"/>
      <c r="L8" s="759"/>
      <c r="M8" s="1789" t="s">
        <v>143</v>
      </c>
      <c r="N8" s="1790"/>
      <c r="O8" s="1791"/>
      <c r="P8" s="669" t="s">
        <v>1975</v>
      </c>
      <c r="Q8" s="1792" t="s">
        <v>2032</v>
      </c>
      <c r="R8" s="1793"/>
      <c r="S8" s="760"/>
      <c r="T8" s="885" t="s">
        <v>2013</v>
      </c>
      <c r="U8" s="770" t="s">
        <v>1915</v>
      </c>
      <c r="V8" s="770" t="s">
        <v>1270</v>
      </c>
      <c r="W8" s="770" t="s">
        <v>2181</v>
      </c>
      <c r="X8" s="781">
        <v>10</v>
      </c>
      <c r="Y8" s="770" t="s">
        <v>1130</v>
      </c>
      <c r="Z8" s="773"/>
    </row>
    <row r="9" spans="1:26" ht="15" customHeight="1" thickTop="1" thickBot="1" x14ac:dyDescent="0.25">
      <c r="A9" s="758"/>
      <c r="B9" s="746"/>
      <c r="C9" s="746"/>
      <c r="D9" s="746"/>
      <c r="E9" s="746"/>
      <c r="F9" s="746"/>
      <c r="G9" s="759"/>
      <c r="H9" s="664" t="s">
        <v>100</v>
      </c>
      <c r="I9" s="667" t="s">
        <v>1931</v>
      </c>
      <c r="J9" s="668" t="s">
        <v>1943</v>
      </c>
      <c r="K9" s="759"/>
      <c r="L9" s="759"/>
      <c r="M9" s="1789" t="s">
        <v>142</v>
      </c>
      <c r="N9" s="1790"/>
      <c r="O9" s="1791"/>
      <c r="P9" s="669" t="s">
        <v>1976</v>
      </c>
      <c r="Q9" s="1792" t="s">
        <v>2033</v>
      </c>
      <c r="R9" s="1793"/>
      <c r="S9" s="760"/>
      <c r="T9" s="885" t="s">
        <v>2014</v>
      </c>
      <c r="U9" s="770" t="s">
        <v>1909</v>
      </c>
      <c r="V9" s="770" t="s">
        <v>1267</v>
      </c>
      <c r="W9" s="770" t="s">
        <v>1902</v>
      </c>
      <c r="X9" s="767" t="s">
        <v>1130</v>
      </c>
      <c r="Y9" s="766" t="s">
        <v>1130</v>
      </c>
      <c r="Z9" s="764"/>
    </row>
    <row r="10" spans="1:26" ht="15" customHeight="1" thickTop="1" thickBot="1" x14ac:dyDescent="0.25">
      <c r="A10" s="758"/>
      <c r="B10" s="1827" t="s">
        <v>1902</v>
      </c>
      <c r="C10" s="1828"/>
      <c r="D10" s="1828"/>
      <c r="E10" s="1828"/>
      <c r="F10" s="1829"/>
      <c r="G10" s="759"/>
      <c r="H10" s="664" t="s">
        <v>103</v>
      </c>
      <c r="I10" s="667" t="s">
        <v>1932</v>
      </c>
      <c r="J10" s="668" t="s">
        <v>1944</v>
      </c>
      <c r="K10" s="759"/>
      <c r="L10" s="759"/>
      <c r="M10" s="1789" t="s">
        <v>198</v>
      </c>
      <c r="N10" s="1790"/>
      <c r="O10" s="1791"/>
      <c r="P10" s="669" t="s">
        <v>1977</v>
      </c>
      <c r="Q10" s="1792" t="s">
        <v>2034</v>
      </c>
      <c r="R10" s="1793"/>
      <c r="S10" s="760"/>
      <c r="T10" s="885" t="s">
        <v>2015</v>
      </c>
      <c r="U10" s="768" t="s">
        <v>1271</v>
      </c>
      <c r="V10" s="768" t="s">
        <v>1275</v>
      </c>
      <c r="W10" s="774" t="s">
        <v>2202</v>
      </c>
      <c r="X10" s="775">
        <v>1.1000000000000001</v>
      </c>
      <c r="Y10" s="768" t="s">
        <v>116</v>
      </c>
      <c r="Z10" s="764"/>
    </row>
    <row r="11" spans="1:26" ht="15" customHeight="1" thickTop="1" thickBot="1" x14ac:dyDescent="0.25">
      <c r="A11" s="758"/>
      <c r="B11" s="671" t="s">
        <v>224</v>
      </c>
      <c r="C11" s="672" t="s">
        <v>1271</v>
      </c>
      <c r="D11" s="673" t="s">
        <v>1916</v>
      </c>
      <c r="E11" s="673" t="s">
        <v>1272</v>
      </c>
      <c r="F11" s="674" t="s">
        <v>2010</v>
      </c>
      <c r="G11" s="759"/>
      <c r="H11" s="664" t="s">
        <v>104</v>
      </c>
      <c r="I11" s="667" t="s">
        <v>1933</v>
      </c>
      <c r="J11" s="668" t="s">
        <v>1945</v>
      </c>
      <c r="K11" s="759"/>
      <c r="L11" s="759"/>
      <c r="M11" s="1789" t="s">
        <v>1892</v>
      </c>
      <c r="N11" s="1790"/>
      <c r="O11" s="1791"/>
      <c r="P11" s="669" t="s">
        <v>1978</v>
      </c>
      <c r="Q11" s="1792" t="s">
        <v>2035</v>
      </c>
      <c r="R11" s="1793"/>
      <c r="S11" s="760"/>
      <c r="T11" s="885" t="s">
        <v>2016</v>
      </c>
      <c r="U11" s="768" t="s">
        <v>1273</v>
      </c>
      <c r="V11" s="768" t="s">
        <v>1275</v>
      </c>
      <c r="W11" s="774" t="s">
        <v>2203</v>
      </c>
      <c r="X11" s="775">
        <v>2.1</v>
      </c>
      <c r="Y11" s="768" t="s">
        <v>116</v>
      </c>
      <c r="Z11" s="764"/>
    </row>
    <row r="12" spans="1:26" ht="15" customHeight="1" thickTop="1" x14ac:dyDescent="0.2">
      <c r="A12" s="758"/>
      <c r="B12" s="675" t="s">
        <v>1897</v>
      </c>
      <c r="C12" s="676" t="s">
        <v>1273</v>
      </c>
      <c r="D12" s="677" t="s">
        <v>1917</v>
      </c>
      <c r="E12" s="677" t="s">
        <v>1274</v>
      </c>
      <c r="F12" s="678" t="s">
        <v>2011</v>
      </c>
      <c r="G12" s="759"/>
      <c r="H12" s="664" t="s">
        <v>108</v>
      </c>
      <c r="I12" s="667" t="s">
        <v>1934</v>
      </c>
      <c r="J12" s="668" t="s">
        <v>1946</v>
      </c>
      <c r="K12" s="759"/>
      <c r="L12" s="759"/>
      <c r="M12" s="1789" t="s">
        <v>1893</v>
      </c>
      <c r="N12" s="1790"/>
      <c r="O12" s="1791"/>
      <c r="P12" s="669" t="s">
        <v>1979</v>
      </c>
      <c r="Q12" s="1792" t="s">
        <v>2036</v>
      </c>
      <c r="R12" s="1793"/>
      <c r="S12" s="760"/>
      <c r="T12" s="885" t="s">
        <v>2017</v>
      </c>
      <c r="U12" s="768" t="s">
        <v>1276</v>
      </c>
      <c r="V12" s="768" t="s">
        <v>1275</v>
      </c>
      <c r="W12" s="774" t="s">
        <v>2204</v>
      </c>
      <c r="X12" s="775">
        <v>2.1</v>
      </c>
      <c r="Y12" s="768" t="s">
        <v>116</v>
      </c>
      <c r="Z12" s="764"/>
    </row>
    <row r="13" spans="1:26" ht="15" customHeight="1" x14ac:dyDescent="0.2">
      <c r="A13" s="758"/>
      <c r="B13" s="679" t="s">
        <v>226</v>
      </c>
      <c r="C13" s="680" t="s">
        <v>1276</v>
      </c>
      <c r="D13" s="681" t="s">
        <v>1918</v>
      </c>
      <c r="E13" s="681" t="s">
        <v>1277</v>
      </c>
      <c r="F13" s="682" t="s">
        <v>2012</v>
      </c>
      <c r="G13" s="759"/>
      <c r="H13" s="664" t="s">
        <v>109</v>
      </c>
      <c r="I13" s="667" t="s">
        <v>1935</v>
      </c>
      <c r="J13" s="668" t="s">
        <v>1947</v>
      </c>
      <c r="K13" s="759"/>
      <c r="L13" s="759"/>
      <c r="M13" s="1789" t="s">
        <v>202</v>
      </c>
      <c r="N13" s="1790"/>
      <c r="O13" s="1791"/>
      <c r="P13" s="669" t="s">
        <v>1980</v>
      </c>
      <c r="Q13" s="1792" t="s">
        <v>2062</v>
      </c>
      <c r="R13" s="1793"/>
      <c r="S13" s="760"/>
      <c r="T13" s="885" t="s">
        <v>1285</v>
      </c>
      <c r="U13" s="768" t="s">
        <v>1278</v>
      </c>
      <c r="V13" s="768" t="s">
        <v>1275</v>
      </c>
      <c r="W13" s="774" t="s">
        <v>2205</v>
      </c>
      <c r="X13" s="775">
        <v>2.1</v>
      </c>
      <c r="Y13" s="768" t="s">
        <v>116</v>
      </c>
      <c r="Z13" s="764"/>
    </row>
    <row r="14" spans="1:26" ht="15" customHeight="1" x14ac:dyDescent="0.2">
      <c r="A14" s="758"/>
      <c r="B14" s="679" t="s">
        <v>227</v>
      </c>
      <c r="C14" s="680" t="s">
        <v>1278</v>
      </c>
      <c r="D14" s="681" t="s">
        <v>1919</v>
      </c>
      <c r="E14" s="681" t="s">
        <v>1279</v>
      </c>
      <c r="F14" s="682" t="s">
        <v>2013</v>
      </c>
      <c r="G14" s="759"/>
      <c r="H14" s="683" t="s">
        <v>119</v>
      </c>
      <c r="I14" s="667" t="s">
        <v>1936</v>
      </c>
      <c r="J14" s="668" t="s">
        <v>1948</v>
      </c>
      <c r="K14" s="759"/>
      <c r="L14" s="759"/>
      <c r="M14" s="1789" t="s">
        <v>1894</v>
      </c>
      <c r="N14" s="1790"/>
      <c r="O14" s="1791"/>
      <c r="P14" s="669" t="s">
        <v>1981</v>
      </c>
      <c r="Q14" s="1808"/>
      <c r="R14" s="1809"/>
      <c r="S14" s="760"/>
      <c r="T14" s="885" t="s">
        <v>2018</v>
      </c>
      <c r="U14" s="768" t="s">
        <v>1280</v>
      </c>
      <c r="V14" s="768" t="s">
        <v>1275</v>
      </c>
      <c r="W14" s="774" t="s">
        <v>2206</v>
      </c>
      <c r="X14" s="775">
        <v>2.1</v>
      </c>
      <c r="Y14" s="768" t="s">
        <v>116</v>
      </c>
      <c r="Z14" s="764"/>
    </row>
    <row r="15" spans="1:26" ht="15" customHeight="1" x14ac:dyDescent="0.2">
      <c r="A15" s="758"/>
      <c r="B15" s="679" t="s">
        <v>234</v>
      </c>
      <c r="C15" s="680" t="s">
        <v>1280</v>
      </c>
      <c r="D15" s="681" t="s">
        <v>1920</v>
      </c>
      <c r="E15" s="681" t="s">
        <v>1281</v>
      </c>
      <c r="F15" s="682" t="s">
        <v>2014</v>
      </c>
      <c r="G15" s="759"/>
      <c r="H15" s="683" t="s">
        <v>121</v>
      </c>
      <c r="I15" s="667" t="s">
        <v>1937</v>
      </c>
      <c r="J15" s="668" t="s">
        <v>1949</v>
      </c>
      <c r="K15" s="759"/>
      <c r="L15" s="759"/>
      <c r="M15" s="1789" t="s">
        <v>133</v>
      </c>
      <c r="N15" s="1790"/>
      <c r="O15" s="1791"/>
      <c r="P15" s="669" t="s">
        <v>1982</v>
      </c>
      <c r="Q15" s="1792" t="s">
        <v>2063</v>
      </c>
      <c r="R15" s="1793"/>
      <c r="S15" s="760"/>
      <c r="T15" s="885" t="s">
        <v>580</v>
      </c>
      <c r="U15" s="768" t="s">
        <v>2001</v>
      </c>
      <c r="V15" s="768" t="s">
        <v>1275</v>
      </c>
      <c r="W15" s="774" t="s">
        <v>2207</v>
      </c>
      <c r="X15" s="775">
        <v>3.1</v>
      </c>
      <c r="Y15" s="766" t="s">
        <v>2182</v>
      </c>
      <c r="Z15" s="764"/>
    </row>
    <row r="16" spans="1:26" ht="15" customHeight="1" x14ac:dyDescent="0.2">
      <c r="A16" s="758"/>
      <c r="B16" s="679" t="s">
        <v>235</v>
      </c>
      <c r="C16" s="680" t="s">
        <v>2001</v>
      </c>
      <c r="D16" s="681" t="s">
        <v>1921</v>
      </c>
      <c r="E16" s="681" t="s">
        <v>2006</v>
      </c>
      <c r="F16" s="682" t="s">
        <v>2015</v>
      </c>
      <c r="G16" s="759"/>
      <c r="H16" s="683" t="s">
        <v>125</v>
      </c>
      <c r="I16" s="667" t="s">
        <v>1938</v>
      </c>
      <c r="J16" s="668" t="s">
        <v>1950</v>
      </c>
      <c r="K16" s="759"/>
      <c r="L16" s="759"/>
      <c r="M16" s="1799" t="s">
        <v>204</v>
      </c>
      <c r="N16" s="1800"/>
      <c r="O16" s="1801"/>
      <c r="P16" s="669" t="s">
        <v>1983</v>
      </c>
      <c r="Q16" s="1808"/>
      <c r="R16" s="1809"/>
      <c r="S16" s="760"/>
      <c r="T16" s="885" t="s">
        <v>2074</v>
      </c>
      <c r="U16" s="770" t="s">
        <v>2002</v>
      </c>
      <c r="V16" s="770" t="s">
        <v>1275</v>
      </c>
      <c r="W16" s="776" t="s">
        <v>2208</v>
      </c>
      <c r="X16" s="771">
        <v>1.3</v>
      </c>
      <c r="Y16" s="766" t="s">
        <v>2183</v>
      </c>
      <c r="Z16" s="764"/>
    </row>
    <row r="17" spans="1:26" ht="15" customHeight="1" x14ac:dyDescent="0.2">
      <c r="A17" s="758"/>
      <c r="B17" s="679" t="s">
        <v>236</v>
      </c>
      <c r="C17" s="684" t="s">
        <v>2002</v>
      </c>
      <c r="D17" s="685" t="s">
        <v>1293</v>
      </c>
      <c r="E17" s="685" t="s">
        <v>2007</v>
      </c>
      <c r="F17" s="686" t="s">
        <v>2016</v>
      </c>
      <c r="G17" s="759"/>
      <c r="H17" s="687" t="s">
        <v>127</v>
      </c>
      <c r="I17" s="667" t="s">
        <v>1939</v>
      </c>
      <c r="J17" s="668" t="s">
        <v>1951</v>
      </c>
      <c r="K17" s="759"/>
      <c r="L17" s="759"/>
      <c r="M17" s="1789" t="s">
        <v>205</v>
      </c>
      <c r="N17" s="1790"/>
      <c r="O17" s="1791"/>
      <c r="P17" s="688" t="s">
        <v>1984</v>
      </c>
      <c r="Q17" s="1808"/>
      <c r="R17" s="1809"/>
      <c r="S17" s="760"/>
      <c r="T17" s="885" t="s">
        <v>581</v>
      </c>
      <c r="U17" s="770" t="s">
        <v>2003</v>
      </c>
      <c r="V17" s="770" t="s">
        <v>1275</v>
      </c>
      <c r="W17" s="776" t="s">
        <v>2209</v>
      </c>
      <c r="X17" s="771">
        <v>1.1000000000000001</v>
      </c>
      <c r="Y17" s="770" t="s">
        <v>116</v>
      </c>
      <c r="Z17" s="764"/>
    </row>
    <row r="18" spans="1:26" ht="15" customHeight="1" x14ac:dyDescent="0.2">
      <c r="A18" s="758"/>
      <c r="B18" s="679" t="s">
        <v>237</v>
      </c>
      <c r="C18" s="680" t="s">
        <v>2003</v>
      </c>
      <c r="D18" s="681" t="s">
        <v>1922</v>
      </c>
      <c r="E18" s="681" t="s">
        <v>2008</v>
      </c>
      <c r="F18" s="682" t="s">
        <v>2017</v>
      </c>
      <c r="G18" s="759"/>
      <c r="H18" s="687" t="s">
        <v>128</v>
      </c>
      <c r="I18" s="667" t="s">
        <v>2019</v>
      </c>
      <c r="J18" s="668" t="s">
        <v>2021</v>
      </c>
      <c r="K18" s="759"/>
      <c r="L18" s="759"/>
      <c r="M18" s="1799" t="s">
        <v>206</v>
      </c>
      <c r="N18" s="1800"/>
      <c r="O18" s="1801"/>
      <c r="P18" s="689" t="s">
        <v>1985</v>
      </c>
      <c r="Q18" s="1808"/>
      <c r="R18" s="1809"/>
      <c r="S18" s="760"/>
      <c r="T18" s="885" t="s">
        <v>582</v>
      </c>
      <c r="U18" s="770" t="s">
        <v>2004</v>
      </c>
      <c r="V18" s="770" t="s">
        <v>1275</v>
      </c>
      <c r="W18" s="776" t="s">
        <v>2210</v>
      </c>
      <c r="X18" s="771">
        <v>2.1</v>
      </c>
      <c r="Y18" s="777" t="s">
        <v>156</v>
      </c>
      <c r="Z18" s="764"/>
    </row>
    <row r="19" spans="1:26" ht="15" customHeight="1" x14ac:dyDescent="0.2">
      <c r="A19" s="758"/>
      <c r="B19" s="679" t="s">
        <v>238</v>
      </c>
      <c r="C19" s="680" t="s">
        <v>2004</v>
      </c>
      <c r="D19" s="681" t="s">
        <v>1283</v>
      </c>
      <c r="E19" s="681" t="s">
        <v>1284</v>
      </c>
      <c r="F19" s="682" t="s">
        <v>1285</v>
      </c>
      <c r="G19" s="759"/>
      <c r="H19" s="687" t="s">
        <v>129</v>
      </c>
      <c r="I19" s="667" t="s">
        <v>2020</v>
      </c>
      <c r="J19" s="690" t="s">
        <v>2022</v>
      </c>
      <c r="K19" s="759"/>
      <c r="L19" s="759"/>
      <c r="M19" s="1789" t="s">
        <v>1895</v>
      </c>
      <c r="N19" s="1790"/>
      <c r="O19" s="1791"/>
      <c r="P19" s="689" t="s">
        <v>1986</v>
      </c>
      <c r="Q19" s="1808"/>
      <c r="R19" s="1809"/>
      <c r="S19" s="760"/>
      <c r="T19" s="885" t="s">
        <v>583</v>
      </c>
      <c r="U19" s="770" t="s">
        <v>2005</v>
      </c>
      <c r="V19" s="770" t="s">
        <v>1275</v>
      </c>
      <c r="W19" s="776" t="s">
        <v>2211</v>
      </c>
      <c r="X19" s="771">
        <v>1.1000000000000001</v>
      </c>
      <c r="Y19" s="777" t="s">
        <v>2183</v>
      </c>
      <c r="Z19" s="764"/>
    </row>
    <row r="20" spans="1:26" ht="15" customHeight="1" thickBot="1" x14ac:dyDescent="0.25">
      <c r="A20" s="758"/>
      <c r="B20" s="691" t="s">
        <v>146</v>
      </c>
      <c r="C20" s="692" t="s">
        <v>2005</v>
      </c>
      <c r="D20" s="693" t="s">
        <v>1923</v>
      </c>
      <c r="E20" s="693" t="s">
        <v>2009</v>
      </c>
      <c r="F20" s="694" t="s">
        <v>2018</v>
      </c>
      <c r="G20" s="759"/>
      <c r="H20" s="695" t="s">
        <v>131</v>
      </c>
      <c r="I20" s="696" t="s">
        <v>1954</v>
      </c>
      <c r="J20" s="697" t="s">
        <v>2023</v>
      </c>
      <c r="K20" s="759"/>
      <c r="L20" s="759"/>
      <c r="M20" s="1789" t="s">
        <v>1896</v>
      </c>
      <c r="N20" s="1790"/>
      <c r="O20" s="1791"/>
      <c r="P20" s="688" t="s">
        <v>1987</v>
      </c>
      <c r="Q20" s="1808"/>
      <c r="R20" s="1809"/>
      <c r="S20" s="760"/>
      <c r="T20" s="885" t="s">
        <v>584</v>
      </c>
      <c r="U20" s="770" t="s">
        <v>1916</v>
      </c>
      <c r="V20" s="770" t="s">
        <v>1275</v>
      </c>
      <c r="W20" s="776" t="s">
        <v>2226</v>
      </c>
      <c r="X20" s="771">
        <v>1.1000000000000001</v>
      </c>
      <c r="Y20" s="770" t="s">
        <v>116</v>
      </c>
      <c r="Z20" s="764"/>
    </row>
    <row r="21" spans="1:26" ht="15" customHeight="1" thickTop="1" thickBot="1" x14ac:dyDescent="0.25">
      <c r="A21" s="758"/>
      <c r="B21" s="746"/>
      <c r="C21" s="746"/>
      <c r="D21" s="746"/>
      <c r="E21" s="746"/>
      <c r="F21" s="746"/>
      <c r="G21" s="759"/>
      <c r="H21" s="759"/>
      <c r="I21" s="759"/>
      <c r="J21" s="759"/>
      <c r="K21" s="759"/>
      <c r="L21" s="759"/>
      <c r="M21" s="1789" t="s">
        <v>209</v>
      </c>
      <c r="N21" s="1790"/>
      <c r="O21" s="1791"/>
      <c r="P21" s="669" t="s">
        <v>1988</v>
      </c>
      <c r="Q21" s="1808"/>
      <c r="R21" s="1809"/>
      <c r="S21" s="760"/>
      <c r="T21" s="885" t="s">
        <v>585</v>
      </c>
      <c r="U21" s="770" t="s">
        <v>1917</v>
      </c>
      <c r="V21" s="770" t="s">
        <v>1275</v>
      </c>
      <c r="W21" s="776" t="s">
        <v>2227</v>
      </c>
      <c r="X21" s="771">
        <v>2.1</v>
      </c>
      <c r="Y21" s="770" t="s">
        <v>116</v>
      </c>
      <c r="Z21" s="764"/>
    </row>
    <row r="22" spans="1:26" ht="15" customHeight="1" thickTop="1" thickBot="1" x14ac:dyDescent="0.25">
      <c r="A22" s="758"/>
      <c r="B22" s="1914" t="s">
        <v>174</v>
      </c>
      <c r="C22" s="1915"/>
      <c r="D22" s="1916"/>
      <c r="E22" s="746"/>
      <c r="F22" s="1857" t="s">
        <v>1906</v>
      </c>
      <c r="G22" s="1884"/>
      <c r="H22" s="1884"/>
      <c r="I22" s="1884"/>
      <c r="J22" s="1884"/>
      <c r="K22" s="1795"/>
      <c r="L22" s="759"/>
      <c r="M22" s="1789" t="s">
        <v>210</v>
      </c>
      <c r="N22" s="1790"/>
      <c r="O22" s="1791"/>
      <c r="P22" s="657" t="s">
        <v>1989</v>
      </c>
      <c r="Q22" s="1808"/>
      <c r="R22" s="1809"/>
      <c r="S22" s="760"/>
      <c r="T22" s="885" t="s">
        <v>586</v>
      </c>
      <c r="U22" s="770" t="s">
        <v>1918</v>
      </c>
      <c r="V22" s="770" t="s">
        <v>1275</v>
      </c>
      <c r="W22" s="776" t="s">
        <v>2228</v>
      </c>
      <c r="X22" s="771">
        <v>2.1</v>
      </c>
      <c r="Y22" s="770" t="s">
        <v>116</v>
      </c>
      <c r="Z22" s="764"/>
    </row>
    <row r="23" spans="1:26" ht="15" customHeight="1" thickTop="1" thickBot="1" x14ac:dyDescent="0.25">
      <c r="A23" s="758"/>
      <c r="B23" s="698" t="s">
        <v>179</v>
      </c>
      <c r="C23" s="1810" t="s">
        <v>2066</v>
      </c>
      <c r="D23" s="1812"/>
      <c r="E23" s="746"/>
      <c r="F23" s="1897" t="str">
        <f>IF(OR(H7=1,H7=2),"","Complete SGC Des.")</f>
        <v>Complete SGC Des.</v>
      </c>
      <c r="G23" s="1898"/>
      <c r="H23" s="699" t="s">
        <v>1295</v>
      </c>
      <c r="I23" s="1897" t="str">
        <f>IF(OR(H7=1,H7=2),"","1-Pt. SGC Des.")</f>
        <v>1-Pt. SGC Des.</v>
      </c>
      <c r="J23" s="1898"/>
      <c r="K23" s="699" t="s">
        <v>2075</v>
      </c>
      <c r="L23" s="759"/>
      <c r="M23" s="1799" t="s">
        <v>211</v>
      </c>
      <c r="N23" s="1800"/>
      <c r="O23" s="1801"/>
      <c r="P23" s="700" t="s">
        <v>1990</v>
      </c>
      <c r="Q23" s="1808"/>
      <c r="R23" s="1809"/>
      <c r="S23" s="760"/>
      <c r="T23" s="885" t="s">
        <v>2079</v>
      </c>
      <c r="U23" s="770" t="s">
        <v>1919</v>
      </c>
      <c r="V23" s="770" t="s">
        <v>1275</v>
      </c>
      <c r="W23" s="776" t="s">
        <v>2229</v>
      </c>
      <c r="X23" s="771">
        <v>2.1</v>
      </c>
      <c r="Y23" s="770" t="s">
        <v>116</v>
      </c>
      <c r="Z23" s="764"/>
    </row>
    <row r="24" spans="1:26" ht="15" customHeight="1" thickTop="1" thickBot="1" x14ac:dyDescent="0.25">
      <c r="A24" s="758"/>
      <c r="B24" s="683" t="s">
        <v>185</v>
      </c>
      <c r="C24" s="1813" t="s">
        <v>2067</v>
      </c>
      <c r="D24" s="1815"/>
      <c r="E24" s="746"/>
      <c r="F24" s="1899" t="s">
        <v>217</v>
      </c>
      <c r="G24" s="1900"/>
      <c r="H24" s="699" t="s">
        <v>1952</v>
      </c>
      <c r="I24" s="1899" t="s">
        <v>218</v>
      </c>
      <c r="J24" s="1900"/>
      <c r="K24" s="699" t="s">
        <v>2076</v>
      </c>
      <c r="L24" s="759"/>
      <c r="M24" s="1789" t="s">
        <v>212</v>
      </c>
      <c r="N24" s="1790"/>
      <c r="O24" s="1791"/>
      <c r="P24" s="657" t="s">
        <v>1991</v>
      </c>
      <c r="Q24" s="1792" t="s">
        <v>2064</v>
      </c>
      <c r="R24" s="1793"/>
      <c r="S24" s="760"/>
      <c r="T24" s="885" t="s">
        <v>587</v>
      </c>
      <c r="U24" s="772" t="s">
        <v>1920</v>
      </c>
      <c r="V24" s="770" t="s">
        <v>1275</v>
      </c>
      <c r="W24" s="776" t="s">
        <v>2230</v>
      </c>
      <c r="X24" s="771">
        <v>2.1</v>
      </c>
      <c r="Y24" s="770" t="s">
        <v>116</v>
      </c>
      <c r="Z24" s="764"/>
    </row>
    <row r="25" spans="1:26" ht="15" customHeight="1" thickTop="1" thickBot="1" x14ac:dyDescent="0.25">
      <c r="A25" s="758"/>
      <c r="B25" s="683" t="s">
        <v>187</v>
      </c>
      <c r="C25" s="1813" t="s">
        <v>2068</v>
      </c>
      <c r="D25" s="1815"/>
      <c r="E25" s="746"/>
      <c r="F25" s="1899" t="s">
        <v>219</v>
      </c>
      <c r="G25" s="1900"/>
      <c r="H25" s="699" t="s">
        <v>1953</v>
      </c>
      <c r="I25" s="1899" t="s">
        <v>220</v>
      </c>
      <c r="J25" s="1900"/>
      <c r="K25" s="699" t="s">
        <v>2077</v>
      </c>
      <c r="L25" s="759"/>
      <c r="M25" s="1789" t="s">
        <v>213</v>
      </c>
      <c r="N25" s="1790"/>
      <c r="O25" s="1791"/>
      <c r="P25" s="657" t="s">
        <v>1992</v>
      </c>
      <c r="Q25" s="1792" t="s">
        <v>2065</v>
      </c>
      <c r="R25" s="1793"/>
      <c r="S25" s="760"/>
      <c r="T25" s="885" t="s">
        <v>2080</v>
      </c>
      <c r="U25" s="772" t="s">
        <v>1921</v>
      </c>
      <c r="V25" s="770" t="s">
        <v>1275</v>
      </c>
      <c r="W25" s="776" t="s">
        <v>2231</v>
      </c>
      <c r="X25" s="771">
        <v>3.1</v>
      </c>
      <c r="Y25" s="766" t="s">
        <v>2182</v>
      </c>
      <c r="Z25" s="764"/>
    </row>
    <row r="26" spans="1:26" ht="15" customHeight="1" thickTop="1" thickBot="1" x14ac:dyDescent="0.25">
      <c r="A26" s="758"/>
      <c r="B26" s="1789" t="s">
        <v>194</v>
      </c>
      <c r="C26" s="1896"/>
      <c r="D26" s="701" t="s">
        <v>1286</v>
      </c>
      <c r="E26" s="746"/>
      <c r="F26" s="1869" t="s">
        <v>222</v>
      </c>
      <c r="G26" s="1870"/>
      <c r="H26" s="1870"/>
      <c r="I26" s="1870"/>
      <c r="J26" s="1870"/>
      <c r="K26" s="702" t="s">
        <v>2078</v>
      </c>
      <c r="L26" s="759"/>
      <c r="M26" s="1799" t="s">
        <v>214</v>
      </c>
      <c r="N26" s="1800"/>
      <c r="O26" s="1801"/>
      <c r="P26" s="703" t="s">
        <v>1993</v>
      </c>
      <c r="Q26" s="1808"/>
      <c r="R26" s="1809"/>
      <c r="S26" s="760"/>
      <c r="T26" s="885" t="s">
        <v>588</v>
      </c>
      <c r="U26" s="772" t="s">
        <v>1293</v>
      </c>
      <c r="V26" s="770" t="s">
        <v>1275</v>
      </c>
      <c r="W26" s="776" t="s">
        <v>2232</v>
      </c>
      <c r="X26" s="771">
        <v>1.3</v>
      </c>
      <c r="Y26" s="766" t="s">
        <v>2183</v>
      </c>
      <c r="Z26" s="764"/>
    </row>
    <row r="27" spans="1:26" ht="15" customHeight="1" thickTop="1" thickBot="1" x14ac:dyDescent="0.25">
      <c r="A27" s="758"/>
      <c r="B27" s="1789" t="s">
        <v>196</v>
      </c>
      <c r="C27" s="1896"/>
      <c r="D27" s="704" t="s">
        <v>1287</v>
      </c>
      <c r="E27" s="746"/>
      <c r="F27" s="746"/>
      <c r="G27" s="759"/>
      <c r="H27" s="759"/>
      <c r="I27" s="759"/>
      <c r="J27" s="759"/>
      <c r="K27" s="759"/>
      <c r="L27" s="759"/>
      <c r="M27" s="1796" t="s">
        <v>215</v>
      </c>
      <c r="N27" s="1797"/>
      <c r="O27" s="1798"/>
      <c r="P27" s="705" t="s">
        <v>1994</v>
      </c>
      <c r="Q27" s="706"/>
      <c r="R27" s="707"/>
      <c r="S27" s="760"/>
      <c r="T27" s="885" t="s">
        <v>589</v>
      </c>
      <c r="U27" s="772" t="s">
        <v>1922</v>
      </c>
      <c r="V27" s="770" t="s">
        <v>1275</v>
      </c>
      <c r="W27" s="776" t="s">
        <v>2233</v>
      </c>
      <c r="X27" s="771">
        <v>1.1000000000000001</v>
      </c>
      <c r="Y27" s="770" t="s">
        <v>116</v>
      </c>
      <c r="Z27" s="764"/>
    </row>
    <row r="28" spans="1:26" ht="15" customHeight="1" thickTop="1" thickBot="1" x14ac:dyDescent="0.25">
      <c r="A28" s="758"/>
      <c r="B28" s="1789" t="s">
        <v>197</v>
      </c>
      <c r="C28" s="1896"/>
      <c r="D28" s="701" t="s">
        <v>1288</v>
      </c>
      <c r="E28" s="746"/>
      <c r="F28" s="746"/>
      <c r="G28" s="759"/>
      <c r="H28" s="759"/>
      <c r="I28" s="759"/>
      <c r="J28" s="759"/>
      <c r="K28" s="759"/>
      <c r="L28" s="759"/>
      <c r="M28" s="708" t="s">
        <v>216</v>
      </c>
      <c r="N28" s="1865" t="s">
        <v>2026</v>
      </c>
      <c r="O28" s="1865"/>
      <c r="P28" s="1865"/>
      <c r="Q28" s="1865"/>
      <c r="R28" s="1866"/>
      <c r="S28" s="760"/>
      <c r="T28" s="885" t="s">
        <v>590</v>
      </c>
      <c r="U28" s="772" t="s">
        <v>1283</v>
      </c>
      <c r="V28" s="770" t="s">
        <v>1275</v>
      </c>
      <c r="W28" s="776" t="s">
        <v>2234</v>
      </c>
      <c r="X28" s="771">
        <v>2.1</v>
      </c>
      <c r="Y28" s="777" t="s">
        <v>156</v>
      </c>
      <c r="Z28" s="764"/>
    </row>
    <row r="29" spans="1:26" ht="15" customHeight="1" thickTop="1" thickBot="1" x14ac:dyDescent="0.25">
      <c r="A29" s="758"/>
      <c r="B29" s="1893" t="s">
        <v>1910</v>
      </c>
      <c r="C29" s="1847"/>
      <c r="D29" s="1848"/>
      <c r="E29" s="746"/>
      <c r="F29" s="1857" t="s">
        <v>1905</v>
      </c>
      <c r="G29" s="1884"/>
      <c r="H29" s="1884"/>
      <c r="I29" s="1884"/>
      <c r="J29" s="1884"/>
      <c r="K29" s="1795"/>
      <c r="L29" s="759"/>
      <c r="M29" s="709"/>
      <c r="N29" s="1867"/>
      <c r="O29" s="1867"/>
      <c r="P29" s="1867"/>
      <c r="Q29" s="1867"/>
      <c r="R29" s="1868"/>
      <c r="S29" s="760"/>
      <c r="T29" s="885" t="s">
        <v>591</v>
      </c>
      <c r="U29" s="772" t="s">
        <v>1923</v>
      </c>
      <c r="V29" s="770" t="s">
        <v>1275</v>
      </c>
      <c r="W29" s="776" t="s">
        <v>2235</v>
      </c>
      <c r="X29" s="771">
        <v>1.1000000000000001</v>
      </c>
      <c r="Y29" s="777" t="s">
        <v>2183</v>
      </c>
      <c r="Z29" s="764"/>
    </row>
    <row r="30" spans="1:26" ht="15" customHeight="1" thickTop="1" thickBot="1" x14ac:dyDescent="0.25">
      <c r="A30" s="758"/>
      <c r="B30" s="746"/>
      <c r="C30" s="746"/>
      <c r="D30" s="746"/>
      <c r="E30" s="746"/>
      <c r="F30" s="729" t="s">
        <v>425</v>
      </c>
      <c r="G30" s="1875" t="s">
        <v>426</v>
      </c>
      <c r="H30" s="1876"/>
      <c r="I30" s="1875" t="s">
        <v>429</v>
      </c>
      <c r="J30" s="1881"/>
      <c r="K30" s="1876"/>
      <c r="L30" s="759"/>
      <c r="M30" s="759"/>
      <c r="N30" s="759"/>
      <c r="O30" s="759"/>
      <c r="P30" s="759"/>
      <c r="Q30" s="759"/>
      <c r="R30" s="759"/>
      <c r="S30" s="760"/>
      <c r="T30" s="885" t="s">
        <v>592</v>
      </c>
      <c r="U30" s="772" t="s">
        <v>1272</v>
      </c>
      <c r="V30" s="770" t="s">
        <v>1275</v>
      </c>
      <c r="W30" s="776" t="s">
        <v>2236</v>
      </c>
      <c r="X30" s="771">
        <v>1.1000000000000001</v>
      </c>
      <c r="Y30" s="770" t="s">
        <v>116</v>
      </c>
      <c r="Z30" s="764"/>
    </row>
    <row r="31" spans="1:26" ht="15" customHeight="1" thickTop="1" thickBot="1" x14ac:dyDescent="0.25">
      <c r="A31" s="758"/>
      <c r="B31" s="730" t="s">
        <v>2188</v>
      </c>
      <c r="C31" s="731"/>
      <c r="D31" s="732"/>
      <c r="E31" s="746"/>
      <c r="F31" s="710" t="s">
        <v>2080</v>
      </c>
      <c r="G31" s="1877" t="s">
        <v>2081</v>
      </c>
      <c r="H31" s="1878"/>
      <c r="I31" s="1877" t="s">
        <v>1289</v>
      </c>
      <c r="J31" s="1882"/>
      <c r="K31" s="1878"/>
      <c r="L31" s="759"/>
      <c r="M31" s="1885" t="s">
        <v>1995</v>
      </c>
      <c r="N31" s="1886"/>
      <c r="O31" s="1887"/>
      <c r="P31" s="746"/>
      <c r="Q31" s="746"/>
      <c r="R31" s="746"/>
      <c r="S31" s="760"/>
      <c r="T31" s="885" t="s">
        <v>593</v>
      </c>
      <c r="U31" s="772" t="s">
        <v>1274</v>
      </c>
      <c r="V31" s="770" t="s">
        <v>1275</v>
      </c>
      <c r="W31" s="776" t="s">
        <v>2237</v>
      </c>
      <c r="X31" s="771">
        <v>2.1</v>
      </c>
      <c r="Y31" s="770" t="s">
        <v>116</v>
      </c>
      <c r="Z31" s="764"/>
    </row>
    <row r="32" spans="1:26" ht="15" customHeight="1" thickTop="1" thickBot="1" x14ac:dyDescent="0.25">
      <c r="A32" s="758"/>
      <c r="B32" s="1891" t="s">
        <v>2189</v>
      </c>
      <c r="C32" s="1892"/>
      <c r="D32" s="743" t="s">
        <v>1290</v>
      </c>
      <c r="E32" s="746"/>
      <c r="F32" s="1879" t="s">
        <v>1548</v>
      </c>
      <c r="G32" s="1880"/>
      <c r="H32" s="733" t="s">
        <v>2082</v>
      </c>
      <c r="I32" s="1879" t="s">
        <v>1881</v>
      </c>
      <c r="J32" s="1880"/>
      <c r="K32" s="733" t="s">
        <v>2089</v>
      </c>
      <c r="L32" s="759"/>
      <c r="M32" s="1888" t="s">
        <v>999</v>
      </c>
      <c r="N32" s="1889"/>
      <c r="O32" s="1890"/>
      <c r="P32" s="746"/>
      <c r="Q32" s="746"/>
      <c r="R32" s="746"/>
      <c r="S32" s="760"/>
      <c r="T32" s="885" t="s">
        <v>594</v>
      </c>
      <c r="U32" s="772" t="s">
        <v>1277</v>
      </c>
      <c r="V32" s="770" t="s">
        <v>1275</v>
      </c>
      <c r="W32" s="776" t="s">
        <v>2238</v>
      </c>
      <c r="X32" s="771">
        <v>2.1</v>
      </c>
      <c r="Y32" s="770" t="s">
        <v>116</v>
      </c>
      <c r="Z32" s="764"/>
    </row>
    <row r="33" spans="1:26" ht="15" customHeight="1" thickTop="1" x14ac:dyDescent="0.2">
      <c r="A33" s="758"/>
      <c r="B33" s="1852" t="s">
        <v>2190</v>
      </c>
      <c r="C33" s="1853"/>
      <c r="D33" s="744" t="s">
        <v>1291</v>
      </c>
      <c r="E33" s="746"/>
      <c r="F33" s="1861" t="s">
        <v>1547</v>
      </c>
      <c r="G33" s="1862"/>
      <c r="H33" s="734" t="s">
        <v>2083</v>
      </c>
      <c r="I33" s="1861" t="s">
        <v>1882</v>
      </c>
      <c r="J33" s="1862"/>
      <c r="K33" s="735" t="s">
        <v>2090</v>
      </c>
      <c r="L33" s="759"/>
      <c r="M33" s="759"/>
      <c r="N33" s="759"/>
      <c r="O33" s="759"/>
      <c r="P33" s="759"/>
      <c r="Q33" s="759"/>
      <c r="R33" s="759"/>
      <c r="S33" s="760"/>
      <c r="T33" s="885" t="s">
        <v>595</v>
      </c>
      <c r="U33" s="772" t="s">
        <v>1279</v>
      </c>
      <c r="V33" s="770" t="s">
        <v>1275</v>
      </c>
      <c r="W33" s="776" t="s">
        <v>2239</v>
      </c>
      <c r="X33" s="771">
        <v>2.1</v>
      </c>
      <c r="Y33" s="770" t="s">
        <v>116</v>
      </c>
      <c r="Z33" s="764"/>
    </row>
    <row r="34" spans="1:26" ht="15" customHeight="1" x14ac:dyDescent="0.2">
      <c r="A34" s="758"/>
      <c r="B34" s="1852" t="s">
        <v>2191</v>
      </c>
      <c r="C34" s="1853"/>
      <c r="D34" s="744" t="s">
        <v>1292</v>
      </c>
      <c r="E34" s="746"/>
      <c r="F34" s="1861" t="s">
        <v>1546</v>
      </c>
      <c r="G34" s="1862"/>
      <c r="H34" s="734" t="s">
        <v>2084</v>
      </c>
      <c r="I34" s="1861" t="s">
        <v>1883</v>
      </c>
      <c r="J34" s="1862"/>
      <c r="K34" s="734" t="s">
        <v>2091</v>
      </c>
      <c r="L34" s="759"/>
      <c r="M34" s="746"/>
      <c r="N34" s="746"/>
      <c r="O34" s="746"/>
      <c r="P34" s="759"/>
      <c r="Q34" s="759"/>
      <c r="R34" s="759"/>
      <c r="S34" s="760"/>
      <c r="T34" s="885" t="s">
        <v>596</v>
      </c>
      <c r="U34" s="772" t="s">
        <v>1281</v>
      </c>
      <c r="V34" s="770" t="s">
        <v>1275</v>
      </c>
      <c r="W34" s="776" t="s">
        <v>2240</v>
      </c>
      <c r="X34" s="771">
        <v>2.1</v>
      </c>
      <c r="Y34" s="770" t="s">
        <v>116</v>
      </c>
      <c r="Z34" s="764"/>
    </row>
    <row r="35" spans="1:26" ht="15" customHeight="1" thickBot="1" x14ac:dyDescent="0.25">
      <c r="A35" s="758"/>
      <c r="B35" s="1859" t="s">
        <v>2192</v>
      </c>
      <c r="C35" s="1860"/>
      <c r="D35" s="745" t="s">
        <v>2070</v>
      </c>
      <c r="E35" s="746"/>
      <c r="F35" s="1861" t="s">
        <v>1545</v>
      </c>
      <c r="G35" s="1862"/>
      <c r="H35" s="735" t="s">
        <v>2086</v>
      </c>
      <c r="I35" s="1861" t="s">
        <v>1884</v>
      </c>
      <c r="J35" s="1862"/>
      <c r="K35" s="734" t="s">
        <v>2092</v>
      </c>
      <c r="L35" s="759"/>
      <c r="M35" s="759"/>
      <c r="N35" s="759"/>
      <c r="O35" s="759"/>
      <c r="P35" s="759"/>
      <c r="Q35" s="759"/>
      <c r="R35" s="759"/>
      <c r="S35" s="760"/>
      <c r="T35" s="885" t="s">
        <v>597</v>
      </c>
      <c r="U35" s="772" t="s">
        <v>2006</v>
      </c>
      <c r="V35" s="770" t="s">
        <v>1275</v>
      </c>
      <c r="W35" s="776" t="s">
        <v>2241</v>
      </c>
      <c r="X35" s="771">
        <v>3.1</v>
      </c>
      <c r="Y35" s="766" t="s">
        <v>2182</v>
      </c>
      <c r="Z35" s="764"/>
    </row>
    <row r="36" spans="1:26" ht="15" customHeight="1" thickTop="1" thickBot="1" x14ac:dyDescent="0.25">
      <c r="A36" s="758"/>
      <c r="B36" s="739" t="s">
        <v>2193</v>
      </c>
      <c r="C36" s="740" t="s">
        <v>2071</v>
      </c>
      <c r="D36" s="738" t="s">
        <v>2072</v>
      </c>
      <c r="E36" s="759"/>
      <c r="F36" s="1873" t="s">
        <v>1544</v>
      </c>
      <c r="G36" s="1874"/>
      <c r="H36" s="736" t="s">
        <v>2087</v>
      </c>
      <c r="I36" s="1873" t="s">
        <v>1885</v>
      </c>
      <c r="J36" s="1874"/>
      <c r="K36" s="736" t="s">
        <v>2093</v>
      </c>
      <c r="L36" s="759"/>
      <c r="M36" s="759"/>
      <c r="N36" s="759"/>
      <c r="O36" s="759"/>
      <c r="P36" s="759"/>
      <c r="Q36" s="759"/>
      <c r="R36" s="759"/>
      <c r="S36" s="760"/>
      <c r="T36" s="885" t="s">
        <v>598</v>
      </c>
      <c r="U36" s="772" t="s">
        <v>2007</v>
      </c>
      <c r="V36" s="770" t="s">
        <v>1275</v>
      </c>
      <c r="W36" s="776" t="s">
        <v>2242</v>
      </c>
      <c r="X36" s="771">
        <v>1.3</v>
      </c>
      <c r="Y36" s="766" t="s">
        <v>2183</v>
      </c>
      <c r="Z36" s="764"/>
    </row>
    <row r="37" spans="1:26" ht="15" customHeight="1" thickTop="1" thickBot="1" x14ac:dyDescent="0.25">
      <c r="A37" s="758"/>
      <c r="B37" s="741"/>
      <c r="C37" s="888" t="s">
        <v>534</v>
      </c>
      <c r="D37" s="742" t="s">
        <v>2073</v>
      </c>
      <c r="E37" s="759"/>
      <c r="F37" s="1871" t="s">
        <v>1886</v>
      </c>
      <c r="G37" s="1872"/>
      <c r="H37" s="737" t="s">
        <v>2088</v>
      </c>
      <c r="I37" s="1871" t="s">
        <v>1887</v>
      </c>
      <c r="J37" s="1872"/>
      <c r="K37" s="737" t="s">
        <v>2094</v>
      </c>
      <c r="L37" s="759"/>
      <c r="M37" s="759"/>
      <c r="N37" s="759"/>
      <c r="O37" s="759"/>
      <c r="P37" s="759"/>
      <c r="Q37" s="759"/>
      <c r="R37" s="759"/>
      <c r="S37" s="760"/>
      <c r="T37" s="885" t="s">
        <v>599</v>
      </c>
      <c r="U37" s="772" t="s">
        <v>2008</v>
      </c>
      <c r="V37" s="770" t="s">
        <v>1275</v>
      </c>
      <c r="W37" s="776" t="s">
        <v>2243</v>
      </c>
      <c r="X37" s="771">
        <v>1.1000000000000001</v>
      </c>
      <c r="Y37" s="770" t="s">
        <v>116</v>
      </c>
      <c r="Z37" s="764"/>
    </row>
    <row r="38" spans="1:26" ht="15" customHeight="1" thickTop="1" thickBot="1" x14ac:dyDescent="0.25">
      <c r="A38" s="758"/>
      <c r="B38" s="759"/>
      <c r="C38" s="759"/>
      <c r="D38" s="759"/>
      <c r="E38" s="759"/>
      <c r="F38" s="759"/>
      <c r="G38" s="759"/>
      <c r="H38" s="759"/>
      <c r="I38" s="759"/>
      <c r="J38" s="759"/>
      <c r="K38" s="759"/>
      <c r="L38" s="759"/>
      <c r="M38" s="759"/>
      <c r="N38" s="759"/>
      <c r="O38" s="759"/>
      <c r="P38" s="759"/>
      <c r="Q38" s="759"/>
      <c r="R38" s="759"/>
      <c r="S38" s="760"/>
      <c r="T38" s="885" t="s">
        <v>600</v>
      </c>
      <c r="U38" s="772" t="s">
        <v>1284</v>
      </c>
      <c r="V38" s="770" t="s">
        <v>1275</v>
      </c>
      <c r="W38" s="776" t="s">
        <v>2244</v>
      </c>
      <c r="X38" s="771">
        <v>2.1</v>
      </c>
      <c r="Y38" s="777" t="s">
        <v>156</v>
      </c>
      <c r="Z38" s="764"/>
    </row>
    <row r="39" spans="1:26" ht="15" customHeight="1" thickTop="1" thickBot="1" x14ac:dyDescent="0.25">
      <c r="A39" s="758"/>
      <c r="B39" s="1857" t="s">
        <v>1898</v>
      </c>
      <c r="C39" s="1884"/>
      <c r="D39" s="1884"/>
      <c r="E39" s="1884"/>
      <c r="F39" s="1884"/>
      <c r="G39" s="1884"/>
      <c r="H39" s="1884"/>
      <c r="I39" s="1884"/>
      <c r="J39" s="1884"/>
      <c r="K39" s="1884"/>
      <c r="L39" s="1884"/>
      <c r="M39" s="1884"/>
      <c r="N39" s="1884"/>
      <c r="O39" s="1884"/>
      <c r="P39" s="1884"/>
      <c r="Q39" s="1884"/>
      <c r="R39" s="1795"/>
      <c r="S39" s="760"/>
      <c r="T39" s="885" t="s">
        <v>601</v>
      </c>
      <c r="U39" s="772" t="s">
        <v>2009</v>
      </c>
      <c r="V39" s="770" t="s">
        <v>1275</v>
      </c>
      <c r="W39" s="776" t="s">
        <v>2245</v>
      </c>
      <c r="X39" s="771">
        <v>1.1000000000000001</v>
      </c>
      <c r="Y39" s="777" t="s">
        <v>2183</v>
      </c>
      <c r="Z39" s="764"/>
    </row>
    <row r="40" spans="1:26" ht="15" customHeight="1" thickTop="1" thickBot="1" x14ac:dyDescent="0.25">
      <c r="A40" s="758"/>
      <c r="B40" s="1857" t="s">
        <v>111</v>
      </c>
      <c r="C40" s="1856"/>
      <c r="D40" s="1883" t="s">
        <v>112</v>
      </c>
      <c r="E40" s="1828"/>
      <c r="F40" s="1828"/>
      <c r="G40" s="1828"/>
      <c r="H40" s="1830"/>
      <c r="I40" s="1855" t="s">
        <v>113</v>
      </c>
      <c r="J40" s="1856"/>
      <c r="K40" s="1883" t="s">
        <v>114</v>
      </c>
      <c r="L40" s="1830"/>
      <c r="M40" s="711" t="s">
        <v>115</v>
      </c>
      <c r="N40" s="656" t="s">
        <v>116</v>
      </c>
      <c r="O40" s="711" t="s">
        <v>1261</v>
      </c>
      <c r="P40" s="1831" t="s">
        <v>1996</v>
      </c>
      <c r="Q40" s="1828"/>
      <c r="R40" s="1829"/>
      <c r="S40" s="760"/>
      <c r="T40" s="885" t="s">
        <v>602</v>
      </c>
      <c r="U40" s="772" t="s">
        <v>2010</v>
      </c>
      <c r="V40" s="770" t="s">
        <v>1275</v>
      </c>
      <c r="W40" s="776" t="s">
        <v>2246</v>
      </c>
      <c r="X40" s="771">
        <v>1.1000000000000001</v>
      </c>
      <c r="Y40" s="770" t="s">
        <v>116</v>
      </c>
      <c r="Z40" s="764"/>
    </row>
    <row r="41" spans="1:26" ht="15" customHeight="1" thickTop="1" x14ac:dyDescent="0.2">
      <c r="A41" s="758"/>
      <c r="B41" s="1844" t="s">
        <v>2096</v>
      </c>
      <c r="C41" s="1819"/>
      <c r="D41" s="1810" t="s">
        <v>2102</v>
      </c>
      <c r="E41" s="1811"/>
      <c r="F41" s="1811"/>
      <c r="G41" s="1811"/>
      <c r="H41" s="1858"/>
      <c r="I41" s="1818" t="s">
        <v>2108</v>
      </c>
      <c r="J41" s="1819"/>
      <c r="K41" s="1818" t="s">
        <v>2114</v>
      </c>
      <c r="L41" s="1819"/>
      <c r="M41" s="712" t="s">
        <v>2120</v>
      </c>
      <c r="N41" s="713" t="s">
        <v>2126</v>
      </c>
      <c r="O41" s="714" t="s">
        <v>2132</v>
      </c>
      <c r="P41" s="1810" t="s">
        <v>2138</v>
      </c>
      <c r="Q41" s="1811"/>
      <c r="R41" s="1812"/>
      <c r="S41" s="760"/>
      <c r="T41" s="885" t="s">
        <v>603</v>
      </c>
      <c r="U41" s="772" t="s">
        <v>2011</v>
      </c>
      <c r="V41" s="770" t="s">
        <v>1275</v>
      </c>
      <c r="W41" s="776" t="s">
        <v>2247</v>
      </c>
      <c r="X41" s="771">
        <v>2.1</v>
      </c>
      <c r="Y41" s="770" t="s">
        <v>116</v>
      </c>
      <c r="Z41" s="764"/>
    </row>
    <row r="42" spans="1:26" ht="15" customHeight="1" x14ac:dyDescent="0.2">
      <c r="A42" s="758"/>
      <c r="B42" s="1845" t="s">
        <v>2097</v>
      </c>
      <c r="C42" s="1821"/>
      <c r="D42" s="1813" t="s">
        <v>2103</v>
      </c>
      <c r="E42" s="1814"/>
      <c r="F42" s="1814"/>
      <c r="G42" s="1814"/>
      <c r="H42" s="1854"/>
      <c r="I42" s="1820" t="s">
        <v>2109</v>
      </c>
      <c r="J42" s="1821"/>
      <c r="K42" s="1820" t="s">
        <v>2115</v>
      </c>
      <c r="L42" s="1821"/>
      <c r="M42" s="712" t="s">
        <v>2121</v>
      </c>
      <c r="N42" s="713" t="s">
        <v>2127</v>
      </c>
      <c r="O42" s="715" t="s">
        <v>2133</v>
      </c>
      <c r="P42" s="1813" t="s">
        <v>2139</v>
      </c>
      <c r="Q42" s="1814"/>
      <c r="R42" s="1815"/>
      <c r="S42" s="760"/>
      <c r="T42" s="885" t="s">
        <v>604</v>
      </c>
      <c r="U42" s="772" t="s">
        <v>2012</v>
      </c>
      <c r="V42" s="770" t="s">
        <v>1275</v>
      </c>
      <c r="W42" s="776" t="s">
        <v>2248</v>
      </c>
      <c r="X42" s="771">
        <v>2.1</v>
      </c>
      <c r="Y42" s="770" t="s">
        <v>116</v>
      </c>
      <c r="Z42" s="764"/>
    </row>
    <row r="43" spans="1:26" ht="15" customHeight="1" x14ac:dyDescent="0.2">
      <c r="A43" s="758"/>
      <c r="B43" s="1845" t="s">
        <v>2098</v>
      </c>
      <c r="C43" s="1821"/>
      <c r="D43" s="1813" t="s">
        <v>2104</v>
      </c>
      <c r="E43" s="1814"/>
      <c r="F43" s="1814"/>
      <c r="G43" s="1814"/>
      <c r="H43" s="1854"/>
      <c r="I43" s="1820" t="s">
        <v>2110</v>
      </c>
      <c r="J43" s="1821"/>
      <c r="K43" s="1820" t="s">
        <v>2116</v>
      </c>
      <c r="L43" s="1821"/>
      <c r="M43" s="712" t="s">
        <v>2122</v>
      </c>
      <c r="N43" s="713" t="s">
        <v>2128</v>
      </c>
      <c r="O43" s="715" t="s">
        <v>2134</v>
      </c>
      <c r="P43" s="1813" t="s">
        <v>2140</v>
      </c>
      <c r="Q43" s="1814"/>
      <c r="R43" s="1815"/>
      <c r="S43" s="760"/>
      <c r="T43" s="885" t="s">
        <v>2149</v>
      </c>
      <c r="U43" s="772" t="s">
        <v>2013</v>
      </c>
      <c r="V43" s="770" t="s">
        <v>1275</v>
      </c>
      <c r="W43" s="776" t="s">
        <v>2249</v>
      </c>
      <c r="X43" s="771">
        <v>2.1</v>
      </c>
      <c r="Y43" s="770" t="s">
        <v>116</v>
      </c>
      <c r="Z43" s="764"/>
    </row>
    <row r="44" spans="1:26" ht="15" customHeight="1" x14ac:dyDescent="0.2">
      <c r="A44" s="758"/>
      <c r="B44" s="1845" t="s">
        <v>2099</v>
      </c>
      <c r="C44" s="1821"/>
      <c r="D44" s="1813" t="s">
        <v>2105</v>
      </c>
      <c r="E44" s="1814"/>
      <c r="F44" s="1814"/>
      <c r="G44" s="1814"/>
      <c r="H44" s="1854"/>
      <c r="I44" s="1820" t="s">
        <v>2111</v>
      </c>
      <c r="J44" s="1821"/>
      <c r="K44" s="1820" t="s">
        <v>2117</v>
      </c>
      <c r="L44" s="1821"/>
      <c r="M44" s="712" t="s">
        <v>2123</v>
      </c>
      <c r="N44" s="713" t="s">
        <v>2129</v>
      </c>
      <c r="O44" s="715" t="s">
        <v>2135</v>
      </c>
      <c r="P44" s="1813" t="s">
        <v>2141</v>
      </c>
      <c r="Q44" s="1814"/>
      <c r="R44" s="1815"/>
      <c r="S44" s="760"/>
      <c r="T44" s="885" t="s">
        <v>2150</v>
      </c>
      <c r="U44" s="772" t="s">
        <v>2014</v>
      </c>
      <c r="V44" s="770" t="s">
        <v>1275</v>
      </c>
      <c r="W44" s="776" t="s">
        <v>2250</v>
      </c>
      <c r="X44" s="771">
        <v>2.1</v>
      </c>
      <c r="Y44" s="770" t="s">
        <v>116</v>
      </c>
      <c r="Z44" s="764"/>
    </row>
    <row r="45" spans="1:26" ht="15" customHeight="1" x14ac:dyDescent="0.2">
      <c r="A45" s="758"/>
      <c r="B45" s="1845" t="s">
        <v>2100</v>
      </c>
      <c r="C45" s="1821"/>
      <c r="D45" s="1813" t="s">
        <v>2106</v>
      </c>
      <c r="E45" s="1814"/>
      <c r="F45" s="1814"/>
      <c r="G45" s="1814"/>
      <c r="H45" s="1854"/>
      <c r="I45" s="1820" t="s">
        <v>2112</v>
      </c>
      <c r="J45" s="1821"/>
      <c r="K45" s="1820" t="s">
        <v>2118</v>
      </c>
      <c r="L45" s="1821"/>
      <c r="M45" s="712" t="s">
        <v>2124</v>
      </c>
      <c r="N45" s="713" t="s">
        <v>2130</v>
      </c>
      <c r="O45" s="715" t="s">
        <v>2136</v>
      </c>
      <c r="P45" s="1813" t="s">
        <v>2142</v>
      </c>
      <c r="Q45" s="1814"/>
      <c r="R45" s="1815"/>
      <c r="S45" s="760"/>
      <c r="T45" s="885" t="s">
        <v>2151</v>
      </c>
      <c r="U45" s="772" t="s">
        <v>2015</v>
      </c>
      <c r="V45" s="770" t="s">
        <v>1275</v>
      </c>
      <c r="W45" s="776" t="s">
        <v>2251</v>
      </c>
      <c r="X45" s="771">
        <v>3.1</v>
      </c>
      <c r="Y45" s="766" t="s">
        <v>2182</v>
      </c>
      <c r="Z45" s="764"/>
    </row>
    <row r="46" spans="1:26" ht="15" customHeight="1" thickBot="1" x14ac:dyDescent="0.25">
      <c r="A46" s="758"/>
      <c r="B46" s="1863" t="s">
        <v>2101</v>
      </c>
      <c r="C46" s="1817"/>
      <c r="D46" s="1846" t="s">
        <v>2107</v>
      </c>
      <c r="E46" s="1847"/>
      <c r="F46" s="1847"/>
      <c r="G46" s="1847"/>
      <c r="H46" s="1864"/>
      <c r="I46" s="1816" t="s">
        <v>2113</v>
      </c>
      <c r="J46" s="1817"/>
      <c r="K46" s="1816" t="s">
        <v>2119</v>
      </c>
      <c r="L46" s="1817"/>
      <c r="M46" s="716" t="s">
        <v>2125</v>
      </c>
      <c r="N46" s="717" t="s">
        <v>2131</v>
      </c>
      <c r="O46" s="718" t="s">
        <v>2137</v>
      </c>
      <c r="P46" s="1846" t="s">
        <v>2143</v>
      </c>
      <c r="Q46" s="1847"/>
      <c r="R46" s="1848"/>
      <c r="S46" s="760"/>
      <c r="T46" s="885" t="s">
        <v>2152</v>
      </c>
      <c r="U46" s="772" t="s">
        <v>2016</v>
      </c>
      <c r="V46" s="770" t="s">
        <v>1275</v>
      </c>
      <c r="W46" s="776" t="s">
        <v>2252</v>
      </c>
      <c r="X46" s="771">
        <v>1.3</v>
      </c>
      <c r="Y46" s="766" t="s">
        <v>2183</v>
      </c>
      <c r="Z46" s="764"/>
    </row>
    <row r="47" spans="1:26" ht="15" customHeight="1" thickTop="1" thickBot="1" x14ac:dyDescent="0.25">
      <c r="A47" s="758"/>
      <c r="S47" s="760"/>
      <c r="T47" s="885" t="s">
        <v>605</v>
      </c>
      <c r="U47" s="772" t="s">
        <v>2017</v>
      </c>
      <c r="V47" s="770" t="s">
        <v>1275</v>
      </c>
      <c r="W47" s="776" t="s">
        <v>2253</v>
      </c>
      <c r="X47" s="771">
        <v>1.1000000000000001</v>
      </c>
      <c r="Y47" s="770" t="s">
        <v>116</v>
      </c>
      <c r="Z47" s="764"/>
    </row>
    <row r="48" spans="1:26" ht="15" customHeight="1" thickTop="1" thickBot="1" x14ac:dyDescent="0.25">
      <c r="A48" s="758"/>
      <c r="B48" s="1832" t="s">
        <v>1900</v>
      </c>
      <c r="C48" s="1833"/>
      <c r="D48" s="1833"/>
      <c r="E48" s="1833"/>
      <c r="F48" s="1833"/>
      <c r="G48" s="1833"/>
      <c r="H48" s="1833"/>
      <c r="I48" s="1834"/>
      <c r="K48" s="759"/>
      <c r="L48" s="1827" t="s">
        <v>1901</v>
      </c>
      <c r="M48" s="1828"/>
      <c r="N48" s="1828"/>
      <c r="O48" s="1828"/>
      <c r="P48" s="1828"/>
      <c r="Q48" s="1828"/>
      <c r="R48" s="1829"/>
      <c r="S48" s="760"/>
      <c r="T48" s="885" t="s">
        <v>606</v>
      </c>
      <c r="U48" s="772" t="s">
        <v>1285</v>
      </c>
      <c r="V48" s="770" t="s">
        <v>1275</v>
      </c>
      <c r="W48" s="776" t="s">
        <v>2254</v>
      </c>
      <c r="X48" s="771">
        <v>2.1</v>
      </c>
      <c r="Y48" s="777" t="s">
        <v>156</v>
      </c>
      <c r="Z48" s="764"/>
    </row>
    <row r="49" spans="1:26" ht="15" customHeight="1" thickTop="1" thickBot="1" x14ac:dyDescent="0.25">
      <c r="A49" s="758"/>
      <c r="B49" s="1835" t="s">
        <v>1888</v>
      </c>
      <c r="C49" s="1836"/>
      <c r="D49" s="747" t="s">
        <v>2145</v>
      </c>
      <c r="E49" s="719" t="s">
        <v>379</v>
      </c>
      <c r="F49" s="748" t="s">
        <v>2149</v>
      </c>
      <c r="G49" s="1839" t="s">
        <v>380</v>
      </c>
      <c r="H49" s="1840"/>
      <c r="I49" s="749" t="s">
        <v>2156</v>
      </c>
      <c r="K49" s="759"/>
      <c r="L49" s="1827" t="s">
        <v>1264</v>
      </c>
      <c r="M49" s="1828"/>
      <c r="N49" s="1830"/>
      <c r="O49" s="711" t="s">
        <v>1261</v>
      </c>
      <c r="P49" s="1831" t="s">
        <v>1998</v>
      </c>
      <c r="Q49" s="1828"/>
      <c r="R49" s="1829"/>
      <c r="S49" s="760"/>
      <c r="T49" s="885" t="s">
        <v>607</v>
      </c>
      <c r="U49" s="772" t="s">
        <v>2018</v>
      </c>
      <c r="V49" s="770" t="s">
        <v>1275</v>
      </c>
      <c r="W49" s="776" t="s">
        <v>2255</v>
      </c>
      <c r="X49" s="771">
        <v>1.1000000000000001</v>
      </c>
      <c r="Y49" s="777" t="s">
        <v>2183</v>
      </c>
      <c r="Z49" s="764"/>
    </row>
    <row r="50" spans="1:26" ht="15" customHeight="1" thickTop="1" x14ac:dyDescent="0.2">
      <c r="A50" s="758"/>
      <c r="B50" s="1837" t="s">
        <v>381</v>
      </c>
      <c r="C50" s="1838"/>
      <c r="D50" s="750" t="s">
        <v>2146</v>
      </c>
      <c r="E50" s="720" t="s">
        <v>1889</v>
      </c>
      <c r="F50" s="751" t="s">
        <v>2150</v>
      </c>
      <c r="G50" s="1837" t="s">
        <v>383</v>
      </c>
      <c r="H50" s="1838"/>
      <c r="I50" s="750" t="s">
        <v>2157</v>
      </c>
      <c r="J50" s="759"/>
      <c r="K50" s="759"/>
      <c r="L50" s="1841" t="s">
        <v>2161</v>
      </c>
      <c r="M50" s="1842"/>
      <c r="N50" s="1843"/>
      <c r="O50" s="721" t="s">
        <v>2167</v>
      </c>
      <c r="P50" s="1810" t="s">
        <v>2173</v>
      </c>
      <c r="Q50" s="1811"/>
      <c r="R50" s="1812"/>
      <c r="S50" s="760"/>
      <c r="T50" s="885" t="s">
        <v>608</v>
      </c>
      <c r="U50" s="772" t="s">
        <v>1924</v>
      </c>
      <c r="V50" s="770" t="s">
        <v>1267</v>
      </c>
      <c r="W50" s="777" t="s">
        <v>1999</v>
      </c>
      <c r="X50" s="767" t="s">
        <v>1130</v>
      </c>
      <c r="Y50" s="766" t="s">
        <v>1130</v>
      </c>
      <c r="Z50" s="764"/>
    </row>
    <row r="51" spans="1:26" ht="15" customHeight="1" x14ac:dyDescent="0.2">
      <c r="A51" s="758"/>
      <c r="B51" s="1837" t="s">
        <v>384</v>
      </c>
      <c r="C51" s="1838"/>
      <c r="D51" s="750" t="s">
        <v>2147</v>
      </c>
      <c r="E51" s="720" t="s">
        <v>385</v>
      </c>
      <c r="F51" s="750" t="s">
        <v>2151</v>
      </c>
      <c r="G51" s="1837" t="s">
        <v>386</v>
      </c>
      <c r="H51" s="1838"/>
      <c r="I51" s="752" t="s">
        <v>2158</v>
      </c>
      <c r="J51" s="759"/>
      <c r="K51" s="759"/>
      <c r="L51" s="1824" t="s">
        <v>2162</v>
      </c>
      <c r="M51" s="1825"/>
      <c r="N51" s="1826"/>
      <c r="O51" s="722" t="s">
        <v>2168</v>
      </c>
      <c r="P51" s="1813" t="s">
        <v>2174</v>
      </c>
      <c r="Q51" s="1814"/>
      <c r="R51" s="1815"/>
      <c r="S51" s="760"/>
      <c r="T51" s="885" t="s">
        <v>609</v>
      </c>
      <c r="U51" s="772" t="s">
        <v>1925</v>
      </c>
      <c r="V51" s="770" t="s">
        <v>1267</v>
      </c>
      <c r="W51" s="778" t="s">
        <v>2000</v>
      </c>
      <c r="X51" s="767" t="s">
        <v>1130</v>
      </c>
      <c r="Y51" s="766" t="s">
        <v>1130</v>
      </c>
      <c r="Z51" s="764"/>
    </row>
    <row r="52" spans="1:26" ht="15" customHeight="1" thickBot="1" x14ac:dyDescent="0.25">
      <c r="A52" s="758"/>
      <c r="B52" s="1822" t="s">
        <v>1890</v>
      </c>
      <c r="C52" s="1823"/>
      <c r="D52" s="723" t="s">
        <v>2148</v>
      </c>
      <c r="E52" s="724" t="s">
        <v>1891</v>
      </c>
      <c r="F52" s="753" t="s">
        <v>2152</v>
      </c>
      <c r="G52" s="1822" t="s">
        <v>389</v>
      </c>
      <c r="H52" s="1823"/>
      <c r="I52" s="754" t="s">
        <v>2159</v>
      </c>
      <c r="J52" s="759"/>
      <c r="K52" s="759"/>
      <c r="L52" s="1824" t="s">
        <v>2163</v>
      </c>
      <c r="M52" s="1825"/>
      <c r="N52" s="1826"/>
      <c r="O52" s="722" t="s">
        <v>2169</v>
      </c>
      <c r="P52" s="1813" t="s">
        <v>2175</v>
      </c>
      <c r="Q52" s="1814"/>
      <c r="R52" s="1815"/>
      <c r="S52" s="760"/>
      <c r="T52" s="885" t="s">
        <v>610</v>
      </c>
      <c r="U52" s="772" t="s">
        <v>1926</v>
      </c>
      <c r="V52" s="770" t="s">
        <v>1267</v>
      </c>
      <c r="W52" s="772" t="s">
        <v>1296</v>
      </c>
      <c r="X52" s="767" t="s">
        <v>1130</v>
      </c>
      <c r="Y52" s="766" t="s">
        <v>1130</v>
      </c>
      <c r="Z52" s="764"/>
    </row>
    <row r="53" spans="1:26" ht="15" customHeight="1" thickTop="1" x14ac:dyDescent="0.2">
      <c r="A53" s="758"/>
      <c r="H53" s="759"/>
      <c r="I53" s="759"/>
      <c r="J53" s="759"/>
      <c r="K53" s="759"/>
      <c r="L53" s="1824" t="s">
        <v>2164</v>
      </c>
      <c r="M53" s="1825"/>
      <c r="N53" s="1826"/>
      <c r="O53" s="722" t="s">
        <v>2170</v>
      </c>
      <c r="P53" s="1813" t="s">
        <v>2176</v>
      </c>
      <c r="Q53" s="1814"/>
      <c r="R53" s="1815"/>
      <c r="S53" s="760"/>
      <c r="T53" s="885" t="s">
        <v>611</v>
      </c>
      <c r="U53" s="772" t="s">
        <v>1927</v>
      </c>
      <c r="V53" s="770" t="s">
        <v>1267</v>
      </c>
      <c r="W53" s="779" t="s">
        <v>92</v>
      </c>
      <c r="X53" s="767" t="s">
        <v>1130</v>
      </c>
      <c r="Y53" s="766" t="s">
        <v>1130</v>
      </c>
      <c r="Z53" s="764"/>
    </row>
    <row r="54" spans="1:26" ht="15" customHeight="1" x14ac:dyDescent="0.2">
      <c r="A54" s="758"/>
      <c r="B54" s="759"/>
      <c r="C54" s="759"/>
      <c r="D54" s="759"/>
      <c r="E54" s="759"/>
      <c r="F54" s="759"/>
      <c r="G54" s="759"/>
      <c r="H54" s="759"/>
      <c r="I54" s="759"/>
      <c r="J54" s="759"/>
      <c r="K54" s="759"/>
      <c r="L54" s="1824" t="s">
        <v>2165</v>
      </c>
      <c r="M54" s="1825"/>
      <c r="N54" s="1826"/>
      <c r="O54" s="722" t="s">
        <v>2171</v>
      </c>
      <c r="P54" s="1813" t="s">
        <v>2177</v>
      </c>
      <c r="Q54" s="1814"/>
      <c r="R54" s="1815"/>
      <c r="S54" s="760"/>
      <c r="T54" s="885" t="s">
        <v>612</v>
      </c>
      <c r="U54" s="769" t="s">
        <v>1928</v>
      </c>
      <c r="V54" s="768" t="s">
        <v>1267</v>
      </c>
      <c r="W54" s="769" t="s">
        <v>93</v>
      </c>
      <c r="X54" s="767" t="s">
        <v>1130</v>
      </c>
      <c r="Y54" s="766" t="s">
        <v>1130</v>
      </c>
      <c r="Z54" s="764"/>
    </row>
    <row r="55" spans="1:26" ht="15" customHeight="1" thickBot="1" x14ac:dyDescent="0.25">
      <c r="A55" s="758"/>
      <c r="B55" s="759"/>
      <c r="C55" s="759"/>
      <c r="D55" s="759"/>
      <c r="E55" s="759"/>
      <c r="F55" s="759"/>
      <c r="G55" s="759"/>
      <c r="H55" s="759"/>
      <c r="I55" s="759"/>
      <c r="J55" s="759"/>
      <c r="K55" s="759"/>
      <c r="L55" s="1849" t="s">
        <v>2166</v>
      </c>
      <c r="M55" s="1850"/>
      <c r="N55" s="1851"/>
      <c r="O55" s="725" t="s">
        <v>2172</v>
      </c>
      <c r="P55" s="1846" t="s">
        <v>2178</v>
      </c>
      <c r="Q55" s="1847"/>
      <c r="R55" s="1848"/>
      <c r="S55" s="760"/>
      <c r="T55" s="885" t="s">
        <v>613</v>
      </c>
      <c r="U55" s="772" t="s">
        <v>1929</v>
      </c>
      <c r="V55" s="630" t="s">
        <v>1275</v>
      </c>
      <c r="W55" s="780" t="s">
        <v>2212</v>
      </c>
      <c r="X55" s="781" t="s">
        <v>2037</v>
      </c>
      <c r="Y55" s="770" t="s">
        <v>116</v>
      </c>
      <c r="Z55" s="764"/>
    </row>
    <row r="56" spans="1:26" ht="15" customHeight="1" thickTop="1" thickBot="1" x14ac:dyDescent="0.25">
      <c r="A56" s="761"/>
      <c r="B56" s="762"/>
      <c r="C56" s="762"/>
      <c r="D56" s="762"/>
      <c r="E56" s="762"/>
      <c r="F56" s="762"/>
      <c r="G56" s="762"/>
      <c r="H56" s="762"/>
      <c r="I56" s="762"/>
      <c r="J56" s="762"/>
      <c r="K56" s="762"/>
      <c r="L56" s="762"/>
      <c r="M56" s="762"/>
      <c r="N56" s="762"/>
      <c r="O56" s="762"/>
      <c r="P56" s="762"/>
      <c r="Q56" s="762"/>
      <c r="R56" s="762"/>
      <c r="S56" s="763"/>
      <c r="T56" s="885" t="s">
        <v>614</v>
      </c>
      <c r="U56" s="772" t="s">
        <v>1930</v>
      </c>
      <c r="V56" s="630" t="s">
        <v>1275</v>
      </c>
      <c r="W56" s="780" t="s">
        <v>2213</v>
      </c>
      <c r="X56" s="781" t="s">
        <v>2037</v>
      </c>
      <c r="Y56" s="770" t="s">
        <v>116</v>
      </c>
      <c r="Z56" s="764"/>
    </row>
    <row r="57" spans="1:26" ht="15" customHeight="1" x14ac:dyDescent="0.2">
      <c r="T57" s="885" t="s">
        <v>615</v>
      </c>
      <c r="U57" s="772" t="s">
        <v>1931</v>
      </c>
      <c r="V57" s="630" t="s">
        <v>1275</v>
      </c>
      <c r="W57" s="780" t="s">
        <v>2214</v>
      </c>
      <c r="X57" s="781" t="s">
        <v>2037</v>
      </c>
      <c r="Y57" s="770" t="s">
        <v>116</v>
      </c>
      <c r="Z57" s="764"/>
    </row>
    <row r="58" spans="1:26" ht="15" customHeight="1" x14ac:dyDescent="0.2">
      <c r="T58" s="885" t="s">
        <v>616</v>
      </c>
      <c r="U58" s="772" t="s">
        <v>1932</v>
      </c>
      <c r="V58" s="630" t="s">
        <v>1275</v>
      </c>
      <c r="W58" s="780" t="s">
        <v>2215</v>
      </c>
      <c r="X58" s="781" t="s">
        <v>2037</v>
      </c>
      <c r="Y58" s="770" t="s">
        <v>116</v>
      </c>
      <c r="Z58" s="764"/>
    </row>
    <row r="59" spans="1:26" ht="15" customHeight="1" x14ac:dyDescent="0.2">
      <c r="T59" s="885" t="s">
        <v>617</v>
      </c>
      <c r="U59" s="772" t="s">
        <v>1933</v>
      </c>
      <c r="V59" s="630" t="s">
        <v>1275</v>
      </c>
      <c r="W59" s="780" t="s">
        <v>2216</v>
      </c>
      <c r="X59" s="781" t="s">
        <v>2037</v>
      </c>
      <c r="Y59" s="770" t="s">
        <v>116</v>
      </c>
      <c r="Z59" s="764"/>
    </row>
    <row r="60" spans="1:26" ht="15" customHeight="1" x14ac:dyDescent="0.2">
      <c r="T60" s="885" t="s">
        <v>618</v>
      </c>
      <c r="U60" s="772" t="s">
        <v>1934</v>
      </c>
      <c r="V60" s="630" t="s">
        <v>1275</v>
      </c>
      <c r="W60" s="780" t="s">
        <v>2217</v>
      </c>
      <c r="X60" s="781" t="s">
        <v>2037</v>
      </c>
      <c r="Y60" s="770" t="s">
        <v>116</v>
      </c>
      <c r="Z60" s="764"/>
    </row>
    <row r="61" spans="1:26" ht="15" customHeight="1" x14ac:dyDescent="0.2">
      <c r="T61" s="885" t="s">
        <v>619</v>
      </c>
      <c r="U61" s="772" t="s">
        <v>1935</v>
      </c>
      <c r="V61" s="630" t="s">
        <v>1275</v>
      </c>
      <c r="W61" s="780" t="s">
        <v>2218</v>
      </c>
      <c r="X61" s="781" t="s">
        <v>2037</v>
      </c>
      <c r="Y61" s="770" t="s">
        <v>116</v>
      </c>
      <c r="Z61" s="764"/>
    </row>
    <row r="62" spans="1:26" ht="15" customHeight="1" x14ac:dyDescent="0.2">
      <c r="T62" s="885" t="s">
        <v>620</v>
      </c>
      <c r="U62" s="772" t="s">
        <v>1936</v>
      </c>
      <c r="V62" s="630" t="s">
        <v>1275</v>
      </c>
      <c r="W62" s="782" t="s">
        <v>2219</v>
      </c>
      <c r="X62" s="781" t="s">
        <v>2037</v>
      </c>
      <c r="Y62" s="770" t="s">
        <v>116</v>
      </c>
      <c r="Z62" s="764"/>
    </row>
    <row r="63" spans="1:26" ht="15" customHeight="1" x14ac:dyDescent="0.2">
      <c r="T63" s="885" t="s">
        <v>621</v>
      </c>
      <c r="U63" s="772" t="s">
        <v>1937</v>
      </c>
      <c r="V63" s="630" t="s">
        <v>1275</v>
      </c>
      <c r="W63" s="782" t="s">
        <v>2220</v>
      </c>
      <c r="X63" s="781" t="s">
        <v>2037</v>
      </c>
      <c r="Y63" s="770" t="s">
        <v>116</v>
      </c>
      <c r="Z63" s="764"/>
    </row>
    <row r="64" spans="1:26" ht="15" customHeight="1" x14ac:dyDescent="0.2">
      <c r="T64" s="885" t="s">
        <v>622</v>
      </c>
      <c r="U64" s="772" t="s">
        <v>1938</v>
      </c>
      <c r="V64" s="630" t="s">
        <v>1275</v>
      </c>
      <c r="W64" s="782" t="s">
        <v>2221</v>
      </c>
      <c r="X64" s="781" t="s">
        <v>2037</v>
      </c>
      <c r="Y64" s="770" t="s">
        <v>116</v>
      </c>
      <c r="Z64" s="764"/>
    </row>
    <row r="65" spans="20:26" ht="15" customHeight="1" x14ac:dyDescent="0.2">
      <c r="T65" s="885" t="s">
        <v>623</v>
      </c>
      <c r="U65" s="772" t="s">
        <v>1939</v>
      </c>
      <c r="V65" s="630" t="s">
        <v>1275</v>
      </c>
      <c r="W65" s="783" t="s">
        <v>2222</v>
      </c>
      <c r="X65" s="781" t="s">
        <v>2037</v>
      </c>
      <c r="Y65" s="770" t="s">
        <v>116</v>
      </c>
      <c r="Z65" s="764"/>
    </row>
    <row r="66" spans="20:26" ht="15" customHeight="1" x14ac:dyDescent="0.2">
      <c r="T66" s="885" t="s">
        <v>624</v>
      </c>
      <c r="U66" s="772" t="s">
        <v>2019</v>
      </c>
      <c r="V66" s="630" t="s">
        <v>1275</v>
      </c>
      <c r="W66" s="783" t="s">
        <v>2223</v>
      </c>
      <c r="X66" s="781" t="s">
        <v>2037</v>
      </c>
      <c r="Y66" s="770" t="s">
        <v>116</v>
      </c>
      <c r="Z66" s="764"/>
    </row>
    <row r="67" spans="20:26" ht="15" customHeight="1" x14ac:dyDescent="0.2">
      <c r="T67" s="885" t="s">
        <v>625</v>
      </c>
      <c r="U67" s="772" t="s">
        <v>2020</v>
      </c>
      <c r="V67" s="630" t="s">
        <v>1275</v>
      </c>
      <c r="W67" s="783" t="s">
        <v>2224</v>
      </c>
      <c r="X67" s="781" t="s">
        <v>2037</v>
      </c>
      <c r="Y67" s="770" t="s">
        <v>116</v>
      </c>
      <c r="Z67" s="764"/>
    </row>
    <row r="68" spans="20:26" ht="15" customHeight="1" x14ac:dyDescent="0.2">
      <c r="T68" s="885" t="s">
        <v>626</v>
      </c>
      <c r="U68" s="772" t="s">
        <v>1954</v>
      </c>
      <c r="V68" s="630" t="s">
        <v>1275</v>
      </c>
      <c r="W68" s="782" t="s">
        <v>2225</v>
      </c>
      <c r="X68" s="781">
        <v>2.1</v>
      </c>
      <c r="Y68" s="770" t="s">
        <v>116</v>
      </c>
      <c r="Z68" s="764"/>
    </row>
    <row r="69" spans="20:26" ht="15" customHeight="1" x14ac:dyDescent="0.2">
      <c r="T69" s="885" t="s">
        <v>627</v>
      </c>
      <c r="U69" s="772" t="s">
        <v>1940</v>
      </c>
      <c r="V69" s="770" t="s">
        <v>1267</v>
      </c>
      <c r="W69" s="772" t="s">
        <v>94</v>
      </c>
      <c r="X69" s="767" t="s">
        <v>1130</v>
      </c>
      <c r="Y69" s="766" t="s">
        <v>1130</v>
      </c>
      <c r="Z69" s="764"/>
    </row>
    <row r="70" spans="20:26" ht="15" customHeight="1" x14ac:dyDescent="0.2">
      <c r="T70" s="885" t="s">
        <v>628</v>
      </c>
      <c r="U70" s="772" t="s">
        <v>1941</v>
      </c>
      <c r="V70" s="630" t="s">
        <v>1275</v>
      </c>
      <c r="W70" s="780" t="s">
        <v>2256</v>
      </c>
      <c r="X70" s="781" t="s">
        <v>2037</v>
      </c>
      <c r="Y70" s="770" t="s">
        <v>116</v>
      </c>
      <c r="Z70" s="764"/>
    </row>
    <row r="71" spans="20:26" ht="15" customHeight="1" x14ac:dyDescent="0.2">
      <c r="T71" s="885" t="s">
        <v>629</v>
      </c>
      <c r="U71" s="772" t="s">
        <v>1942</v>
      </c>
      <c r="V71" s="630" t="s">
        <v>1275</v>
      </c>
      <c r="W71" s="780" t="s">
        <v>2257</v>
      </c>
      <c r="X71" s="781" t="s">
        <v>2037</v>
      </c>
      <c r="Y71" s="770" t="s">
        <v>116</v>
      </c>
      <c r="Z71" s="764"/>
    </row>
    <row r="72" spans="20:26" ht="15" customHeight="1" x14ac:dyDescent="0.2">
      <c r="T72" s="885" t="s">
        <v>630</v>
      </c>
      <c r="U72" s="772" t="s">
        <v>1943</v>
      </c>
      <c r="V72" s="630" t="s">
        <v>1275</v>
      </c>
      <c r="W72" s="780" t="s">
        <v>2258</v>
      </c>
      <c r="X72" s="781" t="s">
        <v>2037</v>
      </c>
      <c r="Y72" s="770" t="s">
        <v>116</v>
      </c>
      <c r="Z72" s="764"/>
    </row>
    <row r="73" spans="20:26" ht="15" customHeight="1" x14ac:dyDescent="0.2">
      <c r="T73" s="885" t="s">
        <v>631</v>
      </c>
      <c r="U73" s="772" t="s">
        <v>1944</v>
      </c>
      <c r="V73" s="630" t="s">
        <v>1275</v>
      </c>
      <c r="W73" s="780" t="s">
        <v>2259</v>
      </c>
      <c r="X73" s="781" t="s">
        <v>2037</v>
      </c>
      <c r="Y73" s="770" t="s">
        <v>116</v>
      </c>
      <c r="Z73" s="764"/>
    </row>
    <row r="74" spans="20:26" ht="15" customHeight="1" x14ac:dyDescent="0.2">
      <c r="T74" s="885" t="s">
        <v>632</v>
      </c>
      <c r="U74" s="772" t="s">
        <v>1945</v>
      </c>
      <c r="V74" s="630" t="s">
        <v>1275</v>
      </c>
      <c r="W74" s="780" t="s">
        <v>2260</v>
      </c>
      <c r="X74" s="781" t="s">
        <v>2037</v>
      </c>
      <c r="Y74" s="770" t="s">
        <v>116</v>
      </c>
      <c r="Z74" s="764"/>
    </row>
    <row r="75" spans="20:26" ht="15" customHeight="1" x14ac:dyDescent="0.2">
      <c r="T75" s="885" t="s">
        <v>633</v>
      </c>
      <c r="U75" s="772" t="s">
        <v>1946</v>
      </c>
      <c r="V75" s="630" t="s">
        <v>1275</v>
      </c>
      <c r="W75" s="780" t="s">
        <v>2261</v>
      </c>
      <c r="X75" s="781" t="s">
        <v>2037</v>
      </c>
      <c r="Y75" s="770" t="s">
        <v>116</v>
      </c>
      <c r="Z75" s="764"/>
    </row>
    <row r="76" spans="20:26" ht="15" customHeight="1" x14ac:dyDescent="0.2">
      <c r="T76" s="885" t="s">
        <v>634</v>
      </c>
      <c r="U76" s="772" t="s">
        <v>1947</v>
      </c>
      <c r="V76" s="630" t="s">
        <v>1275</v>
      </c>
      <c r="W76" s="780" t="s">
        <v>2262</v>
      </c>
      <c r="X76" s="781" t="s">
        <v>2037</v>
      </c>
      <c r="Y76" s="770" t="s">
        <v>116</v>
      </c>
      <c r="Z76" s="764"/>
    </row>
    <row r="77" spans="20:26" ht="15" customHeight="1" x14ac:dyDescent="0.2">
      <c r="T77" s="885" t="s">
        <v>635</v>
      </c>
      <c r="U77" s="772" t="s">
        <v>1948</v>
      </c>
      <c r="V77" s="630" t="s">
        <v>1275</v>
      </c>
      <c r="W77" s="782" t="s">
        <v>2263</v>
      </c>
      <c r="X77" s="781" t="s">
        <v>2037</v>
      </c>
      <c r="Y77" s="770" t="s">
        <v>116</v>
      </c>
      <c r="Z77" s="764"/>
    </row>
    <row r="78" spans="20:26" ht="15" customHeight="1" x14ac:dyDescent="0.2">
      <c r="T78" s="885" t="s">
        <v>636</v>
      </c>
      <c r="U78" s="772" t="s">
        <v>1949</v>
      </c>
      <c r="V78" s="630" t="s">
        <v>1275</v>
      </c>
      <c r="W78" s="782" t="s">
        <v>2264</v>
      </c>
      <c r="X78" s="781" t="s">
        <v>2037</v>
      </c>
      <c r="Y78" s="770" t="s">
        <v>116</v>
      </c>
      <c r="Z78" s="764"/>
    </row>
    <row r="79" spans="20:26" ht="15" customHeight="1" x14ac:dyDescent="0.2">
      <c r="T79" s="885" t="s">
        <v>637</v>
      </c>
      <c r="U79" s="772" t="s">
        <v>1950</v>
      </c>
      <c r="V79" s="630" t="s">
        <v>1275</v>
      </c>
      <c r="W79" s="782" t="s">
        <v>2265</v>
      </c>
      <c r="X79" s="781" t="s">
        <v>2037</v>
      </c>
      <c r="Y79" s="770" t="s">
        <v>116</v>
      </c>
      <c r="Z79" s="764"/>
    </row>
    <row r="80" spans="20:26" ht="15" customHeight="1" x14ac:dyDescent="0.2">
      <c r="T80" s="885" t="s">
        <v>638</v>
      </c>
      <c r="U80" s="772" t="s">
        <v>1951</v>
      </c>
      <c r="V80" s="630" t="s">
        <v>1275</v>
      </c>
      <c r="W80" s="783" t="s">
        <v>2266</v>
      </c>
      <c r="X80" s="781" t="s">
        <v>2037</v>
      </c>
      <c r="Y80" s="770" t="s">
        <v>116</v>
      </c>
      <c r="Z80" s="764"/>
    </row>
    <row r="81" spans="20:26" ht="15" customHeight="1" x14ac:dyDescent="0.2">
      <c r="T81" s="885" t="s">
        <v>639</v>
      </c>
      <c r="U81" s="772" t="s">
        <v>2021</v>
      </c>
      <c r="V81" s="630" t="s">
        <v>1275</v>
      </c>
      <c r="W81" s="783" t="s">
        <v>2267</v>
      </c>
      <c r="X81" s="781" t="s">
        <v>2037</v>
      </c>
      <c r="Y81" s="770" t="s">
        <v>116</v>
      </c>
      <c r="Z81" s="764"/>
    </row>
    <row r="82" spans="20:26" ht="15" customHeight="1" x14ac:dyDescent="0.2">
      <c r="T82" s="885" t="s">
        <v>640</v>
      </c>
      <c r="U82" s="772" t="s">
        <v>2022</v>
      </c>
      <c r="V82" s="630" t="s">
        <v>1275</v>
      </c>
      <c r="W82" s="783" t="s">
        <v>2268</v>
      </c>
      <c r="X82" s="781" t="s">
        <v>2037</v>
      </c>
      <c r="Y82" s="770" t="s">
        <v>116</v>
      </c>
      <c r="Z82" s="764"/>
    </row>
    <row r="83" spans="20:26" ht="15" customHeight="1" x14ac:dyDescent="0.2">
      <c r="T83" s="885" t="s">
        <v>641</v>
      </c>
      <c r="U83" s="772" t="s">
        <v>2023</v>
      </c>
      <c r="V83" s="630" t="s">
        <v>1275</v>
      </c>
      <c r="W83" s="782" t="s">
        <v>2269</v>
      </c>
      <c r="X83" s="781">
        <v>2.1</v>
      </c>
      <c r="Y83" s="770" t="s">
        <v>116</v>
      </c>
      <c r="Z83" s="764"/>
    </row>
    <row r="84" spans="20:26" ht="15" customHeight="1" x14ac:dyDescent="0.2">
      <c r="T84" s="885" t="s">
        <v>642</v>
      </c>
      <c r="U84" s="772" t="s">
        <v>2024</v>
      </c>
      <c r="V84" s="770" t="s">
        <v>1267</v>
      </c>
      <c r="W84" s="784" t="s">
        <v>1899</v>
      </c>
      <c r="X84" s="767" t="s">
        <v>1130</v>
      </c>
      <c r="Y84" s="766" t="s">
        <v>1130</v>
      </c>
      <c r="Z84" s="785"/>
    </row>
    <row r="85" spans="20:26" ht="15" customHeight="1" x14ac:dyDescent="0.2">
      <c r="T85" s="885" t="s">
        <v>643</v>
      </c>
      <c r="U85" s="772" t="s">
        <v>2025</v>
      </c>
      <c r="V85" s="770" t="s">
        <v>1267</v>
      </c>
      <c r="W85" s="779" t="s">
        <v>171</v>
      </c>
      <c r="X85" s="767" t="s">
        <v>1130</v>
      </c>
      <c r="Y85" s="766" t="s">
        <v>1130</v>
      </c>
      <c r="Z85" s="785"/>
    </row>
    <row r="86" spans="20:26" ht="15" customHeight="1" x14ac:dyDescent="0.2">
      <c r="T86" s="885" t="s">
        <v>644</v>
      </c>
      <c r="U86" s="769" t="s">
        <v>2026</v>
      </c>
      <c r="V86" s="768" t="s">
        <v>1270</v>
      </c>
      <c r="W86" s="779" t="s">
        <v>997</v>
      </c>
      <c r="X86" s="771">
        <v>256</v>
      </c>
      <c r="Y86" s="766" t="s">
        <v>1130</v>
      </c>
      <c r="Z86" s="785"/>
    </row>
    <row r="87" spans="20:26" ht="15" customHeight="1" x14ac:dyDescent="0.2">
      <c r="T87" s="885" t="s">
        <v>645</v>
      </c>
      <c r="U87" s="772" t="s">
        <v>1955</v>
      </c>
      <c r="V87" s="770" t="s">
        <v>1267</v>
      </c>
      <c r="W87" s="779" t="s">
        <v>172</v>
      </c>
      <c r="X87" s="767" t="s">
        <v>1130</v>
      </c>
      <c r="Y87" s="766" t="s">
        <v>1130</v>
      </c>
      <c r="Z87" s="785"/>
    </row>
    <row r="88" spans="20:26" ht="15" customHeight="1" x14ac:dyDescent="0.2">
      <c r="T88" s="885" t="s">
        <v>646</v>
      </c>
      <c r="U88" s="772" t="s">
        <v>1956</v>
      </c>
      <c r="V88" s="630" t="s">
        <v>1270</v>
      </c>
      <c r="W88" s="779" t="s">
        <v>178</v>
      </c>
      <c r="X88" s="771">
        <v>10</v>
      </c>
      <c r="Y88" s="766" t="s">
        <v>2042</v>
      </c>
      <c r="Z88" s="785"/>
    </row>
    <row r="89" spans="20:26" ht="15" customHeight="1" x14ac:dyDescent="0.2">
      <c r="T89" s="885" t="s">
        <v>647</v>
      </c>
      <c r="U89" s="772" t="s">
        <v>1957</v>
      </c>
      <c r="V89" s="630" t="s">
        <v>1275</v>
      </c>
      <c r="W89" s="786" t="s">
        <v>184</v>
      </c>
      <c r="X89" s="771" t="s">
        <v>2043</v>
      </c>
      <c r="Y89" s="766" t="s">
        <v>116</v>
      </c>
      <c r="Z89" s="785"/>
    </row>
    <row r="90" spans="20:26" ht="15" customHeight="1" x14ac:dyDescent="0.2">
      <c r="T90" s="885" t="s">
        <v>648</v>
      </c>
      <c r="U90" s="772" t="s">
        <v>1958</v>
      </c>
      <c r="V90" s="630" t="s">
        <v>1275</v>
      </c>
      <c r="W90" s="779" t="s">
        <v>186</v>
      </c>
      <c r="X90" s="771" t="s">
        <v>2043</v>
      </c>
      <c r="Y90" s="766" t="s">
        <v>116</v>
      </c>
      <c r="Z90" s="785"/>
    </row>
    <row r="91" spans="20:26" ht="15" customHeight="1" x14ac:dyDescent="0.2">
      <c r="T91" s="885" t="s">
        <v>649</v>
      </c>
      <c r="U91" s="772" t="s">
        <v>1974</v>
      </c>
      <c r="V91" s="630" t="s">
        <v>1275</v>
      </c>
      <c r="W91" s="779" t="s">
        <v>193</v>
      </c>
      <c r="X91" s="771" t="s">
        <v>2043</v>
      </c>
      <c r="Y91" s="766" t="s">
        <v>116</v>
      </c>
      <c r="Z91" s="785"/>
    </row>
    <row r="92" spans="20:26" ht="15" customHeight="1" x14ac:dyDescent="0.2">
      <c r="T92" s="885" t="s">
        <v>650</v>
      </c>
      <c r="U92" s="772" t="s">
        <v>1975</v>
      </c>
      <c r="V92" s="630" t="s">
        <v>1275</v>
      </c>
      <c r="W92" s="779" t="s">
        <v>143</v>
      </c>
      <c r="X92" s="771" t="s">
        <v>2044</v>
      </c>
      <c r="Y92" s="766" t="s">
        <v>116</v>
      </c>
      <c r="Z92" s="785"/>
    </row>
    <row r="93" spans="20:26" ht="15" customHeight="1" x14ac:dyDescent="0.2">
      <c r="T93" s="885" t="s">
        <v>651</v>
      </c>
      <c r="U93" s="772" t="s">
        <v>1976</v>
      </c>
      <c r="V93" s="630" t="s">
        <v>1275</v>
      </c>
      <c r="W93" s="779" t="s">
        <v>142</v>
      </c>
      <c r="X93" s="771" t="s">
        <v>2044</v>
      </c>
      <c r="Y93" s="766" t="s">
        <v>116</v>
      </c>
      <c r="Z93" s="785"/>
    </row>
    <row r="94" spans="20:26" ht="15" customHeight="1" x14ac:dyDescent="0.2">
      <c r="T94" s="885" t="s">
        <v>652</v>
      </c>
      <c r="U94" s="772" t="s">
        <v>1977</v>
      </c>
      <c r="V94" s="630" t="s">
        <v>1275</v>
      </c>
      <c r="W94" s="779" t="s">
        <v>198</v>
      </c>
      <c r="X94" s="771" t="s">
        <v>2045</v>
      </c>
      <c r="Y94" s="766" t="s">
        <v>2183</v>
      </c>
      <c r="Z94" s="785"/>
    </row>
    <row r="95" spans="20:26" ht="15" customHeight="1" x14ac:dyDescent="0.2">
      <c r="T95" s="885" t="s">
        <v>653</v>
      </c>
      <c r="U95" s="772" t="s">
        <v>1978</v>
      </c>
      <c r="V95" s="630" t="s">
        <v>1275</v>
      </c>
      <c r="W95" s="779" t="s">
        <v>1959</v>
      </c>
      <c r="X95" s="771" t="s">
        <v>2044</v>
      </c>
      <c r="Y95" s="766" t="s">
        <v>116</v>
      </c>
      <c r="Z95" s="785"/>
    </row>
    <row r="96" spans="20:26" ht="15" customHeight="1" x14ac:dyDescent="0.2">
      <c r="T96" s="885" t="s">
        <v>654</v>
      </c>
      <c r="U96" s="772" t="s">
        <v>1979</v>
      </c>
      <c r="V96" s="630" t="s">
        <v>1275</v>
      </c>
      <c r="W96" s="779" t="s">
        <v>1960</v>
      </c>
      <c r="X96" s="771" t="s">
        <v>2044</v>
      </c>
      <c r="Y96" s="766" t="s">
        <v>116</v>
      </c>
      <c r="Z96" s="785"/>
    </row>
    <row r="97" spans="20:26" ht="15" customHeight="1" x14ac:dyDescent="0.2">
      <c r="T97" s="885" t="s">
        <v>655</v>
      </c>
      <c r="U97" s="772" t="s">
        <v>1980</v>
      </c>
      <c r="V97" s="630" t="s">
        <v>1275</v>
      </c>
      <c r="W97" s="779" t="s">
        <v>202</v>
      </c>
      <c r="X97" s="771" t="s">
        <v>2044</v>
      </c>
      <c r="Y97" s="766" t="s">
        <v>116</v>
      </c>
      <c r="Z97" s="785"/>
    </row>
    <row r="98" spans="20:26" ht="15" customHeight="1" x14ac:dyDescent="0.2">
      <c r="T98" s="885" t="s">
        <v>656</v>
      </c>
      <c r="U98" s="772" t="s">
        <v>1981</v>
      </c>
      <c r="V98" s="630" t="s">
        <v>1275</v>
      </c>
      <c r="W98" s="779" t="s">
        <v>1961</v>
      </c>
      <c r="X98" s="771" t="s">
        <v>2046</v>
      </c>
      <c r="Y98" s="766" t="s">
        <v>2184</v>
      </c>
      <c r="Z98" s="764"/>
    </row>
    <row r="99" spans="20:26" ht="15" customHeight="1" x14ac:dyDescent="0.2">
      <c r="T99" s="885" t="s">
        <v>657</v>
      </c>
      <c r="U99" s="772" t="s">
        <v>1982</v>
      </c>
      <c r="V99" s="630" t="s">
        <v>1275</v>
      </c>
      <c r="W99" s="779" t="s">
        <v>133</v>
      </c>
      <c r="X99" s="771" t="s">
        <v>2044</v>
      </c>
      <c r="Y99" s="766" t="s">
        <v>116</v>
      </c>
      <c r="Z99" s="785"/>
    </row>
    <row r="100" spans="20:26" ht="15" customHeight="1" x14ac:dyDescent="0.2">
      <c r="T100" s="885" t="s">
        <v>658</v>
      </c>
      <c r="U100" s="772" t="s">
        <v>1983</v>
      </c>
      <c r="V100" s="630" t="s">
        <v>1275</v>
      </c>
      <c r="W100" s="784" t="s">
        <v>204</v>
      </c>
      <c r="X100" s="771" t="s">
        <v>2044</v>
      </c>
      <c r="Y100" s="766" t="s">
        <v>116</v>
      </c>
      <c r="Z100" s="785"/>
    </row>
    <row r="101" spans="20:26" ht="15" customHeight="1" x14ac:dyDescent="0.2">
      <c r="T101" s="885" t="s">
        <v>659</v>
      </c>
      <c r="U101" s="772" t="s">
        <v>1984</v>
      </c>
      <c r="V101" s="630" t="s">
        <v>1275</v>
      </c>
      <c r="W101" s="779" t="s">
        <v>205</v>
      </c>
      <c r="X101" s="771" t="s">
        <v>2047</v>
      </c>
      <c r="Y101" s="766" t="s">
        <v>2183</v>
      </c>
      <c r="Z101" s="785"/>
    </row>
    <row r="102" spans="20:26" ht="15" customHeight="1" x14ac:dyDescent="0.2">
      <c r="T102" s="885" t="s">
        <v>660</v>
      </c>
      <c r="U102" s="772" t="s">
        <v>1985</v>
      </c>
      <c r="V102" s="630" t="s">
        <v>1275</v>
      </c>
      <c r="W102" s="784" t="s">
        <v>206</v>
      </c>
      <c r="X102" s="771" t="s">
        <v>2041</v>
      </c>
      <c r="Y102" s="766" t="s">
        <v>116</v>
      </c>
      <c r="Z102" s="785"/>
    </row>
    <row r="103" spans="20:26" ht="15" customHeight="1" x14ac:dyDescent="0.2">
      <c r="T103" s="885" t="s">
        <v>661</v>
      </c>
      <c r="U103" s="772" t="s">
        <v>1986</v>
      </c>
      <c r="V103" s="630" t="s">
        <v>1275</v>
      </c>
      <c r="W103" s="779" t="s">
        <v>1962</v>
      </c>
      <c r="X103" s="771" t="s">
        <v>2041</v>
      </c>
      <c r="Y103" s="766" t="s">
        <v>2183</v>
      </c>
      <c r="Z103" s="785"/>
    </row>
    <row r="104" spans="20:26" ht="15" customHeight="1" x14ac:dyDescent="0.2">
      <c r="T104" s="885" t="s">
        <v>662</v>
      </c>
      <c r="U104" s="772" t="s">
        <v>1987</v>
      </c>
      <c r="V104" s="630" t="s">
        <v>1275</v>
      </c>
      <c r="W104" s="779" t="s">
        <v>1963</v>
      </c>
      <c r="X104" s="771" t="s">
        <v>2047</v>
      </c>
      <c r="Y104" s="766" t="s">
        <v>2183</v>
      </c>
      <c r="Z104" s="785"/>
    </row>
    <row r="105" spans="20:26" ht="15" customHeight="1" x14ac:dyDescent="0.2">
      <c r="T105" s="885" t="s">
        <v>663</v>
      </c>
      <c r="U105" s="772" t="s">
        <v>1988</v>
      </c>
      <c r="V105" s="630" t="s">
        <v>1275</v>
      </c>
      <c r="W105" s="779" t="s">
        <v>209</v>
      </c>
      <c r="X105" s="771" t="s">
        <v>2044</v>
      </c>
      <c r="Y105" s="777" t="s">
        <v>156</v>
      </c>
      <c r="Z105" s="785"/>
    </row>
    <row r="106" spans="20:26" ht="15" customHeight="1" x14ac:dyDescent="0.2">
      <c r="T106" s="885" t="s">
        <v>664</v>
      </c>
      <c r="U106" s="772" t="s">
        <v>1989</v>
      </c>
      <c r="V106" s="630" t="s">
        <v>1275</v>
      </c>
      <c r="W106" s="779" t="s">
        <v>210</v>
      </c>
      <c r="X106" s="771" t="s">
        <v>2048</v>
      </c>
      <c r="Y106" s="766" t="s">
        <v>2185</v>
      </c>
      <c r="Z106" s="785"/>
    </row>
    <row r="107" spans="20:26" ht="15" customHeight="1" x14ac:dyDescent="0.2">
      <c r="T107" s="885" t="s">
        <v>665</v>
      </c>
      <c r="U107" s="772" t="s">
        <v>1990</v>
      </c>
      <c r="V107" s="630" t="s">
        <v>1275</v>
      </c>
      <c r="W107" s="784" t="s">
        <v>211</v>
      </c>
      <c r="X107" s="771" t="s">
        <v>2048</v>
      </c>
      <c r="Y107" s="766" t="s">
        <v>2185</v>
      </c>
      <c r="Z107" s="785"/>
    </row>
    <row r="108" spans="20:26" ht="15" customHeight="1" x14ac:dyDescent="0.2">
      <c r="T108" s="885" t="s">
        <v>666</v>
      </c>
      <c r="U108" s="772" t="s">
        <v>1991</v>
      </c>
      <c r="V108" s="630" t="s">
        <v>1275</v>
      </c>
      <c r="W108" s="779" t="s">
        <v>212</v>
      </c>
      <c r="X108" s="771" t="s">
        <v>2043</v>
      </c>
      <c r="Y108" s="766" t="s">
        <v>116</v>
      </c>
      <c r="Z108" s="785"/>
    </row>
    <row r="109" spans="20:26" ht="15" customHeight="1" x14ac:dyDescent="0.2">
      <c r="T109" s="885" t="s">
        <v>667</v>
      </c>
      <c r="U109" s="772" t="s">
        <v>1992</v>
      </c>
      <c r="V109" s="630" t="s">
        <v>1275</v>
      </c>
      <c r="W109" s="779" t="s">
        <v>213</v>
      </c>
      <c r="X109" s="771" t="s">
        <v>2043</v>
      </c>
      <c r="Y109" s="766" t="s">
        <v>116</v>
      </c>
      <c r="Z109" s="785"/>
    </row>
    <row r="110" spans="20:26" ht="15" customHeight="1" x14ac:dyDescent="0.2">
      <c r="T110" s="885" t="s">
        <v>668</v>
      </c>
      <c r="U110" s="772" t="s">
        <v>1993</v>
      </c>
      <c r="V110" s="630" t="s">
        <v>1275</v>
      </c>
      <c r="W110" s="784" t="s">
        <v>214</v>
      </c>
      <c r="X110" s="771" t="s">
        <v>2041</v>
      </c>
      <c r="Y110" s="766" t="s">
        <v>116</v>
      </c>
      <c r="Z110" s="785"/>
    </row>
    <row r="111" spans="20:26" ht="15" customHeight="1" x14ac:dyDescent="0.2">
      <c r="T111" s="885" t="s">
        <v>669</v>
      </c>
      <c r="U111" s="772" t="s">
        <v>1994</v>
      </c>
      <c r="V111" s="770" t="s">
        <v>1270</v>
      </c>
      <c r="W111" s="779" t="s">
        <v>215</v>
      </c>
      <c r="X111" s="771">
        <v>15</v>
      </c>
      <c r="Y111" s="766" t="s">
        <v>1130</v>
      </c>
      <c r="Z111" s="785"/>
    </row>
    <row r="112" spans="20:26" ht="15" customHeight="1" x14ac:dyDescent="0.2">
      <c r="T112" s="885" t="s">
        <v>670</v>
      </c>
      <c r="U112" s="772" t="s">
        <v>2027</v>
      </c>
      <c r="V112" s="770" t="s">
        <v>1267</v>
      </c>
      <c r="W112" s="770" t="s">
        <v>173</v>
      </c>
      <c r="X112" s="771">
        <v>20</v>
      </c>
      <c r="Y112" s="766" t="s">
        <v>1130</v>
      </c>
      <c r="Z112" s="785"/>
    </row>
    <row r="113" spans="20:26" ht="15" customHeight="1" x14ac:dyDescent="0.2">
      <c r="T113" s="885" t="s">
        <v>671</v>
      </c>
      <c r="U113" s="772" t="s">
        <v>2028</v>
      </c>
      <c r="V113" s="770" t="s">
        <v>1270</v>
      </c>
      <c r="W113" s="782" t="s">
        <v>2270</v>
      </c>
      <c r="X113" s="771">
        <v>20</v>
      </c>
      <c r="Y113" s="766" t="s">
        <v>1130</v>
      </c>
      <c r="Z113" s="764"/>
    </row>
    <row r="114" spans="20:26" ht="15" customHeight="1" x14ac:dyDescent="0.2">
      <c r="T114" s="885" t="s">
        <v>672</v>
      </c>
      <c r="U114" s="772" t="s">
        <v>2029</v>
      </c>
      <c r="V114" s="770" t="s">
        <v>1270</v>
      </c>
      <c r="W114" s="787" t="s">
        <v>2271</v>
      </c>
      <c r="X114" s="771">
        <v>20</v>
      </c>
      <c r="Y114" s="766" t="s">
        <v>1130</v>
      </c>
      <c r="Z114" s="764"/>
    </row>
    <row r="115" spans="20:26" ht="15" customHeight="1" x14ac:dyDescent="0.2">
      <c r="T115" s="885" t="s">
        <v>673</v>
      </c>
      <c r="U115" s="772" t="s">
        <v>2030</v>
      </c>
      <c r="V115" s="770" t="s">
        <v>1270</v>
      </c>
      <c r="W115" s="782" t="s">
        <v>2272</v>
      </c>
      <c r="X115" s="771">
        <v>20</v>
      </c>
      <c r="Y115" s="766" t="s">
        <v>1130</v>
      </c>
      <c r="Z115" s="764"/>
    </row>
    <row r="116" spans="20:26" ht="15" customHeight="1" x14ac:dyDescent="0.2">
      <c r="T116" s="885" t="s">
        <v>674</v>
      </c>
      <c r="U116" s="772" t="s">
        <v>2031</v>
      </c>
      <c r="V116" s="770" t="s">
        <v>1270</v>
      </c>
      <c r="W116" s="782" t="s">
        <v>2273</v>
      </c>
      <c r="X116" s="771">
        <v>20</v>
      </c>
      <c r="Y116" s="766" t="s">
        <v>1130</v>
      </c>
      <c r="Z116" s="764"/>
    </row>
    <row r="117" spans="20:26" ht="15" customHeight="1" x14ac:dyDescent="0.2">
      <c r="T117" s="885" t="s">
        <v>675</v>
      </c>
      <c r="U117" s="772" t="s">
        <v>2032</v>
      </c>
      <c r="V117" s="770" t="s">
        <v>1270</v>
      </c>
      <c r="W117" s="782" t="s">
        <v>2274</v>
      </c>
      <c r="X117" s="771">
        <v>20</v>
      </c>
      <c r="Y117" s="766" t="s">
        <v>1130</v>
      </c>
      <c r="Z117" s="764"/>
    </row>
    <row r="118" spans="20:26" ht="15" customHeight="1" x14ac:dyDescent="0.2">
      <c r="T118" s="885" t="s">
        <v>676</v>
      </c>
      <c r="U118" s="772" t="s">
        <v>2033</v>
      </c>
      <c r="V118" s="770" t="s">
        <v>1270</v>
      </c>
      <c r="W118" s="782" t="s">
        <v>2275</v>
      </c>
      <c r="X118" s="771">
        <v>20</v>
      </c>
      <c r="Y118" s="766" t="s">
        <v>1130</v>
      </c>
      <c r="Z118" s="764"/>
    </row>
    <row r="119" spans="20:26" ht="15" customHeight="1" x14ac:dyDescent="0.2">
      <c r="T119" s="885" t="s">
        <v>677</v>
      </c>
      <c r="U119" s="772" t="s">
        <v>2034</v>
      </c>
      <c r="V119" s="770" t="s">
        <v>1270</v>
      </c>
      <c r="W119" s="782" t="s">
        <v>2276</v>
      </c>
      <c r="X119" s="771">
        <v>20</v>
      </c>
      <c r="Y119" s="766" t="s">
        <v>1130</v>
      </c>
      <c r="Z119" s="764"/>
    </row>
    <row r="120" spans="20:26" ht="15" customHeight="1" x14ac:dyDescent="0.2">
      <c r="T120" s="885" t="s">
        <v>678</v>
      </c>
      <c r="U120" s="772" t="s">
        <v>2035</v>
      </c>
      <c r="V120" s="770" t="s">
        <v>1270</v>
      </c>
      <c r="W120" s="782" t="s">
        <v>1964</v>
      </c>
      <c r="X120" s="771">
        <v>20</v>
      </c>
      <c r="Y120" s="766" t="s">
        <v>1130</v>
      </c>
      <c r="Z120" s="764"/>
    </row>
    <row r="121" spans="20:26" ht="15" customHeight="1" x14ac:dyDescent="0.2">
      <c r="T121" s="885" t="s">
        <v>679</v>
      </c>
      <c r="U121" s="772" t="s">
        <v>2036</v>
      </c>
      <c r="V121" s="770" t="s">
        <v>1270</v>
      </c>
      <c r="W121" s="782" t="s">
        <v>1965</v>
      </c>
      <c r="X121" s="771">
        <v>20</v>
      </c>
      <c r="Y121" s="766" t="s">
        <v>1130</v>
      </c>
      <c r="Z121" s="764"/>
    </row>
    <row r="122" spans="20:26" ht="15" customHeight="1" x14ac:dyDescent="0.2">
      <c r="T122" s="885" t="s">
        <v>680</v>
      </c>
      <c r="U122" s="772" t="s">
        <v>2062</v>
      </c>
      <c r="V122" s="770" t="s">
        <v>1270</v>
      </c>
      <c r="W122" s="782" t="s">
        <v>993</v>
      </c>
      <c r="X122" s="771">
        <v>20</v>
      </c>
      <c r="Y122" s="766" t="s">
        <v>1130</v>
      </c>
      <c r="Z122" s="764"/>
    </row>
    <row r="123" spans="20:26" ht="15" customHeight="1" x14ac:dyDescent="0.2">
      <c r="T123" s="885" t="s">
        <v>681</v>
      </c>
      <c r="U123" s="772" t="s">
        <v>2063</v>
      </c>
      <c r="V123" s="770" t="s">
        <v>1270</v>
      </c>
      <c r="W123" s="782" t="s">
        <v>994</v>
      </c>
      <c r="X123" s="771">
        <v>20</v>
      </c>
      <c r="Y123" s="766" t="s">
        <v>1130</v>
      </c>
      <c r="Z123" s="764"/>
    </row>
    <row r="124" spans="20:26" ht="15" customHeight="1" x14ac:dyDescent="0.2">
      <c r="T124" s="885" t="s">
        <v>682</v>
      </c>
      <c r="U124" s="772" t="s">
        <v>2064</v>
      </c>
      <c r="V124" s="770" t="s">
        <v>1270</v>
      </c>
      <c r="W124" s="782" t="s">
        <v>995</v>
      </c>
      <c r="X124" s="771">
        <v>20</v>
      </c>
      <c r="Y124" s="766" t="s">
        <v>1130</v>
      </c>
      <c r="Z124" s="764"/>
    </row>
    <row r="125" spans="20:26" ht="15" customHeight="1" x14ac:dyDescent="0.2">
      <c r="T125" s="885" t="s">
        <v>683</v>
      </c>
      <c r="U125" s="772" t="s">
        <v>2065</v>
      </c>
      <c r="V125" s="770" t="s">
        <v>1270</v>
      </c>
      <c r="W125" s="782" t="s">
        <v>996</v>
      </c>
      <c r="X125" s="771">
        <v>20</v>
      </c>
      <c r="Y125" s="766" t="s">
        <v>1130</v>
      </c>
      <c r="Z125" s="764"/>
    </row>
    <row r="126" spans="20:26" ht="15" customHeight="1" x14ac:dyDescent="0.2">
      <c r="T126" s="885" t="s">
        <v>684</v>
      </c>
      <c r="U126" s="772" t="s">
        <v>1294</v>
      </c>
      <c r="V126" s="770" t="s">
        <v>1267</v>
      </c>
      <c r="W126" s="770" t="s">
        <v>174</v>
      </c>
      <c r="X126" s="771" t="s">
        <v>1130</v>
      </c>
      <c r="Y126" s="766" t="s">
        <v>1130</v>
      </c>
      <c r="Z126" s="764"/>
    </row>
    <row r="127" spans="20:26" ht="15" customHeight="1" x14ac:dyDescent="0.2">
      <c r="T127" s="885" t="s">
        <v>685</v>
      </c>
      <c r="U127" s="769" t="s">
        <v>1910</v>
      </c>
      <c r="V127" s="768" t="s">
        <v>1270</v>
      </c>
      <c r="W127" s="768" t="s">
        <v>2049</v>
      </c>
      <c r="X127" s="775">
        <v>60</v>
      </c>
      <c r="Y127" s="766" t="s">
        <v>1130</v>
      </c>
      <c r="Z127" s="764"/>
    </row>
    <row r="128" spans="20:26" ht="15" customHeight="1" x14ac:dyDescent="0.2">
      <c r="T128" s="885" t="s">
        <v>686</v>
      </c>
      <c r="U128" s="772" t="s">
        <v>2066</v>
      </c>
      <c r="V128" s="770" t="s">
        <v>1270</v>
      </c>
      <c r="W128" s="770" t="s">
        <v>80</v>
      </c>
      <c r="X128" s="771">
        <v>50</v>
      </c>
      <c r="Y128" s="766" t="s">
        <v>1130</v>
      </c>
      <c r="Z128" s="764"/>
    </row>
    <row r="129" spans="20:26" ht="15" customHeight="1" x14ac:dyDescent="0.2">
      <c r="T129" s="885" t="s">
        <v>687</v>
      </c>
      <c r="U129" s="772" t="s">
        <v>2067</v>
      </c>
      <c r="V129" s="770" t="s">
        <v>1270</v>
      </c>
      <c r="W129" s="770" t="s">
        <v>2186</v>
      </c>
      <c r="X129" s="771">
        <v>50</v>
      </c>
      <c r="Y129" s="766" t="s">
        <v>1130</v>
      </c>
      <c r="Z129" s="764"/>
    </row>
    <row r="130" spans="20:26" ht="15" customHeight="1" x14ac:dyDescent="0.2">
      <c r="T130" s="885" t="s">
        <v>688</v>
      </c>
      <c r="U130" s="772" t="s">
        <v>2068</v>
      </c>
      <c r="V130" s="770" t="s">
        <v>1270</v>
      </c>
      <c r="W130" s="776" t="s">
        <v>187</v>
      </c>
      <c r="X130" s="771">
        <v>50</v>
      </c>
      <c r="Y130" s="766" t="s">
        <v>1130</v>
      </c>
      <c r="Z130" s="764"/>
    </row>
    <row r="131" spans="20:26" ht="15" customHeight="1" x14ac:dyDescent="0.2">
      <c r="T131" s="885" t="s">
        <v>689</v>
      </c>
      <c r="U131" s="772" t="s">
        <v>1286</v>
      </c>
      <c r="V131" s="630" t="s">
        <v>1275</v>
      </c>
      <c r="W131" s="770" t="s">
        <v>194</v>
      </c>
      <c r="X131" s="771" t="s">
        <v>86</v>
      </c>
      <c r="Y131" s="766" t="s">
        <v>1130</v>
      </c>
      <c r="Z131" s="901" t="s">
        <v>913</v>
      </c>
    </row>
    <row r="132" spans="20:26" ht="15" customHeight="1" x14ac:dyDescent="0.2">
      <c r="T132" s="885" t="s">
        <v>690</v>
      </c>
      <c r="U132" s="772" t="s">
        <v>1287</v>
      </c>
      <c r="V132" s="630" t="s">
        <v>1270</v>
      </c>
      <c r="W132" s="770" t="s">
        <v>2187</v>
      </c>
      <c r="X132" s="771" t="s">
        <v>2050</v>
      </c>
      <c r="Y132" s="766" t="s">
        <v>116</v>
      </c>
      <c r="Z132" s="764"/>
    </row>
    <row r="133" spans="20:26" ht="15" customHeight="1" x14ac:dyDescent="0.2">
      <c r="T133" s="885" t="s">
        <v>691</v>
      </c>
      <c r="U133" s="772" t="s">
        <v>1288</v>
      </c>
      <c r="V133" s="770" t="s">
        <v>1270</v>
      </c>
      <c r="W133" s="770" t="s">
        <v>197</v>
      </c>
      <c r="X133" s="771" t="s">
        <v>2050</v>
      </c>
      <c r="Y133" s="766" t="s">
        <v>1130</v>
      </c>
      <c r="Z133" s="764"/>
    </row>
    <row r="134" spans="20:26" ht="15" customHeight="1" x14ac:dyDescent="0.2">
      <c r="T134" s="885" t="s">
        <v>692</v>
      </c>
      <c r="U134" s="772" t="s">
        <v>2069</v>
      </c>
      <c r="V134" s="770" t="s">
        <v>1267</v>
      </c>
      <c r="W134" s="770" t="s">
        <v>2188</v>
      </c>
      <c r="X134" s="771" t="s">
        <v>1130</v>
      </c>
      <c r="Y134" s="766" t="s">
        <v>1130</v>
      </c>
      <c r="Z134" s="764"/>
    </row>
    <row r="135" spans="20:26" ht="15" customHeight="1" x14ac:dyDescent="0.2">
      <c r="T135" s="885" t="s">
        <v>693</v>
      </c>
      <c r="U135" s="769" t="s">
        <v>1290</v>
      </c>
      <c r="V135" s="630" t="s">
        <v>1275</v>
      </c>
      <c r="W135" s="770" t="s">
        <v>2189</v>
      </c>
      <c r="X135" s="771" t="s">
        <v>2044</v>
      </c>
      <c r="Y135" s="766" t="s">
        <v>116</v>
      </c>
      <c r="Z135" s="764"/>
    </row>
    <row r="136" spans="20:26" ht="15" customHeight="1" x14ac:dyDescent="0.2">
      <c r="T136" s="885" t="s">
        <v>694</v>
      </c>
      <c r="U136" s="772" t="s">
        <v>1291</v>
      </c>
      <c r="V136" s="630" t="s">
        <v>1275</v>
      </c>
      <c r="W136" s="770" t="s">
        <v>2190</v>
      </c>
      <c r="X136" s="771" t="s">
        <v>2044</v>
      </c>
      <c r="Y136" s="766" t="s">
        <v>116</v>
      </c>
      <c r="Z136" s="764"/>
    </row>
    <row r="137" spans="20:26" ht="15" customHeight="1" x14ac:dyDescent="0.2">
      <c r="T137" s="885" t="s">
        <v>695</v>
      </c>
      <c r="U137" s="772" t="s">
        <v>1292</v>
      </c>
      <c r="V137" s="630" t="s">
        <v>1275</v>
      </c>
      <c r="W137" s="770" t="s">
        <v>2191</v>
      </c>
      <c r="X137" s="771" t="s">
        <v>2044</v>
      </c>
      <c r="Y137" s="766" t="s">
        <v>116</v>
      </c>
      <c r="Z137" s="764"/>
    </row>
    <row r="138" spans="20:26" ht="15" customHeight="1" x14ac:dyDescent="0.2">
      <c r="T138" s="885" t="s">
        <v>696</v>
      </c>
      <c r="U138" s="772" t="s">
        <v>2070</v>
      </c>
      <c r="V138" s="630" t="s">
        <v>1275</v>
      </c>
      <c r="W138" s="770" t="s">
        <v>2192</v>
      </c>
      <c r="X138" s="771" t="s">
        <v>2044</v>
      </c>
      <c r="Y138" s="766" t="s">
        <v>116</v>
      </c>
      <c r="Z138" s="764"/>
    </row>
    <row r="139" spans="20:26" ht="15" customHeight="1" x14ac:dyDescent="0.2">
      <c r="T139" s="885" t="s">
        <v>697</v>
      </c>
      <c r="U139" s="772" t="s">
        <v>2071</v>
      </c>
      <c r="V139" s="770" t="s">
        <v>1270</v>
      </c>
      <c r="W139" s="770" t="s">
        <v>2193</v>
      </c>
      <c r="X139" s="771">
        <v>5</v>
      </c>
      <c r="Y139" s="766" t="s">
        <v>1130</v>
      </c>
      <c r="Z139" s="764"/>
    </row>
    <row r="140" spans="20:26" ht="15" customHeight="1" x14ac:dyDescent="0.2">
      <c r="T140" s="885" t="s">
        <v>83</v>
      </c>
      <c r="U140" s="772" t="s">
        <v>534</v>
      </c>
      <c r="V140" s="770" t="s">
        <v>1270</v>
      </c>
      <c r="W140" s="776" t="s">
        <v>536</v>
      </c>
      <c r="X140" s="771" t="s">
        <v>535</v>
      </c>
      <c r="Y140" s="766" t="s">
        <v>1130</v>
      </c>
      <c r="Z140" s="764"/>
    </row>
    <row r="141" spans="20:26" ht="15" customHeight="1" x14ac:dyDescent="0.2">
      <c r="T141" s="885" t="s">
        <v>698</v>
      </c>
      <c r="U141" s="772" t="s">
        <v>2072</v>
      </c>
      <c r="V141" s="770" t="s">
        <v>1270</v>
      </c>
      <c r="W141" s="776" t="s">
        <v>998</v>
      </c>
      <c r="X141" s="771">
        <v>5</v>
      </c>
      <c r="Y141" s="766" t="s">
        <v>1130</v>
      </c>
      <c r="Z141" s="764"/>
    </row>
    <row r="142" spans="20:26" ht="15" customHeight="1" x14ac:dyDescent="0.2">
      <c r="T142" s="885" t="s">
        <v>699</v>
      </c>
      <c r="U142" s="788" t="s">
        <v>2073</v>
      </c>
      <c r="V142" s="789" t="s">
        <v>1275</v>
      </c>
      <c r="W142" s="900" t="s">
        <v>2040</v>
      </c>
      <c r="X142" s="790" t="s">
        <v>2041</v>
      </c>
      <c r="Y142" s="789" t="s">
        <v>1130</v>
      </c>
      <c r="Z142" s="785"/>
    </row>
    <row r="143" spans="20:26" ht="15" customHeight="1" x14ac:dyDescent="0.2">
      <c r="T143" s="885" t="s">
        <v>700</v>
      </c>
      <c r="U143" s="788" t="s">
        <v>2074</v>
      </c>
      <c r="V143" s="789" t="s">
        <v>1267</v>
      </c>
      <c r="W143" s="789" t="s">
        <v>1906</v>
      </c>
      <c r="X143" s="790" t="s">
        <v>1130</v>
      </c>
      <c r="Y143" s="766" t="s">
        <v>1130</v>
      </c>
      <c r="Z143" s="785"/>
    </row>
    <row r="144" spans="20:26" ht="15" customHeight="1" x14ac:dyDescent="0.2">
      <c r="T144" s="885" t="s">
        <v>701</v>
      </c>
      <c r="U144" s="769" t="s">
        <v>1295</v>
      </c>
      <c r="V144" s="768" t="s">
        <v>1270</v>
      </c>
      <c r="W144" s="768" t="s">
        <v>1538</v>
      </c>
      <c r="X144" s="775">
        <v>1</v>
      </c>
      <c r="Y144" s="766" t="s">
        <v>1130</v>
      </c>
      <c r="Z144" s="785"/>
    </row>
    <row r="145" spans="20:26" ht="15" customHeight="1" x14ac:dyDescent="0.2">
      <c r="T145" s="885" t="s">
        <v>702</v>
      </c>
      <c r="U145" s="772" t="s">
        <v>1952</v>
      </c>
      <c r="V145" s="770" t="s">
        <v>1270</v>
      </c>
      <c r="W145" s="770" t="s">
        <v>217</v>
      </c>
      <c r="X145" s="771">
        <v>1</v>
      </c>
      <c r="Y145" s="766" t="s">
        <v>1130</v>
      </c>
      <c r="Z145" s="785"/>
    </row>
    <row r="146" spans="20:26" ht="15" customHeight="1" x14ac:dyDescent="0.2">
      <c r="T146" s="885" t="s">
        <v>703</v>
      </c>
      <c r="U146" s="772" t="s">
        <v>1953</v>
      </c>
      <c r="V146" s="770" t="s">
        <v>1270</v>
      </c>
      <c r="W146" s="770" t="s">
        <v>219</v>
      </c>
      <c r="X146" s="771">
        <v>1</v>
      </c>
      <c r="Y146" s="766" t="s">
        <v>1130</v>
      </c>
      <c r="Z146" s="785"/>
    </row>
    <row r="147" spans="20:26" ht="15" customHeight="1" x14ac:dyDescent="0.2">
      <c r="T147" s="885" t="s">
        <v>704</v>
      </c>
      <c r="U147" s="769" t="s">
        <v>2075</v>
      </c>
      <c r="V147" s="768" t="s">
        <v>1270</v>
      </c>
      <c r="W147" s="768" t="s">
        <v>2195</v>
      </c>
      <c r="X147" s="775">
        <v>1</v>
      </c>
      <c r="Y147" s="766" t="s">
        <v>1130</v>
      </c>
      <c r="Z147" s="785"/>
    </row>
    <row r="148" spans="20:26" ht="15" customHeight="1" x14ac:dyDescent="0.2">
      <c r="T148" s="885" t="s">
        <v>705</v>
      </c>
      <c r="U148" s="772" t="s">
        <v>2076</v>
      </c>
      <c r="V148" s="770" t="s">
        <v>1270</v>
      </c>
      <c r="W148" s="770" t="s">
        <v>218</v>
      </c>
      <c r="X148" s="771">
        <v>1</v>
      </c>
      <c r="Y148" s="766" t="s">
        <v>1130</v>
      </c>
      <c r="Z148" s="791"/>
    </row>
    <row r="149" spans="20:26" ht="15" customHeight="1" x14ac:dyDescent="0.2">
      <c r="T149" s="885" t="s">
        <v>706</v>
      </c>
      <c r="U149" s="772" t="s">
        <v>2077</v>
      </c>
      <c r="V149" s="770" t="s">
        <v>1270</v>
      </c>
      <c r="W149" s="770" t="s">
        <v>220</v>
      </c>
      <c r="X149" s="771">
        <v>1</v>
      </c>
      <c r="Y149" s="766" t="s">
        <v>1130</v>
      </c>
      <c r="Z149" s="785"/>
    </row>
    <row r="150" spans="20:26" ht="15" customHeight="1" x14ac:dyDescent="0.2">
      <c r="T150" s="885" t="s">
        <v>707</v>
      </c>
      <c r="U150" s="772" t="s">
        <v>2078</v>
      </c>
      <c r="V150" s="770" t="s">
        <v>1270</v>
      </c>
      <c r="W150" s="770" t="s">
        <v>2194</v>
      </c>
      <c r="X150" s="771">
        <v>5</v>
      </c>
      <c r="Y150" s="766" t="s">
        <v>116</v>
      </c>
      <c r="Z150" s="785"/>
    </row>
    <row r="151" spans="20:26" ht="15" customHeight="1" x14ac:dyDescent="0.2">
      <c r="T151" s="885" t="s">
        <v>708</v>
      </c>
      <c r="U151" s="772" t="s">
        <v>2079</v>
      </c>
      <c r="V151" s="770" t="s">
        <v>1267</v>
      </c>
      <c r="W151" s="770" t="s">
        <v>1905</v>
      </c>
      <c r="X151" s="771" t="s">
        <v>1130</v>
      </c>
      <c r="Y151" s="766" t="s">
        <v>1130</v>
      </c>
      <c r="Z151" s="785"/>
    </row>
    <row r="152" spans="20:26" ht="15" customHeight="1" x14ac:dyDescent="0.2">
      <c r="T152" s="885" t="s">
        <v>709</v>
      </c>
      <c r="U152" s="769" t="s">
        <v>2080</v>
      </c>
      <c r="V152" s="630" t="s">
        <v>1275</v>
      </c>
      <c r="W152" s="770" t="s">
        <v>2196</v>
      </c>
      <c r="X152" s="771" t="s">
        <v>2044</v>
      </c>
      <c r="Y152" s="766" t="s">
        <v>116</v>
      </c>
      <c r="Z152" s="785"/>
    </row>
    <row r="153" spans="20:26" ht="15" customHeight="1" x14ac:dyDescent="0.2">
      <c r="T153" s="885" t="s">
        <v>710</v>
      </c>
      <c r="U153" s="769" t="s">
        <v>2081</v>
      </c>
      <c r="V153" s="630" t="s">
        <v>1270</v>
      </c>
      <c r="W153" s="792" t="s">
        <v>426</v>
      </c>
      <c r="X153" s="771">
        <v>5</v>
      </c>
      <c r="Y153" s="766" t="s">
        <v>116</v>
      </c>
      <c r="Z153" s="785"/>
    </row>
    <row r="154" spans="20:26" ht="15" customHeight="1" x14ac:dyDescent="0.2">
      <c r="T154" s="885" t="s">
        <v>711</v>
      </c>
      <c r="U154" s="769" t="s">
        <v>1289</v>
      </c>
      <c r="V154" s="768" t="s">
        <v>1270</v>
      </c>
      <c r="W154" s="768" t="s">
        <v>429</v>
      </c>
      <c r="X154" s="775">
        <v>30</v>
      </c>
      <c r="Y154" s="766" t="s">
        <v>1130</v>
      </c>
      <c r="Z154" s="785"/>
    </row>
    <row r="155" spans="20:26" ht="15" customHeight="1" x14ac:dyDescent="0.2">
      <c r="T155" s="885" t="s">
        <v>712</v>
      </c>
      <c r="U155" s="772" t="s">
        <v>2082</v>
      </c>
      <c r="V155" s="630" t="s">
        <v>1275</v>
      </c>
      <c r="W155" s="792" t="s">
        <v>1548</v>
      </c>
      <c r="X155" s="771" t="s">
        <v>2044</v>
      </c>
      <c r="Y155" s="766" t="s">
        <v>116</v>
      </c>
      <c r="Z155" s="791"/>
    </row>
    <row r="156" spans="20:26" ht="15" customHeight="1" x14ac:dyDescent="0.2">
      <c r="T156" s="885" t="s">
        <v>713</v>
      </c>
      <c r="U156" s="772" t="s">
        <v>2083</v>
      </c>
      <c r="V156" s="630" t="s">
        <v>1275</v>
      </c>
      <c r="W156" s="792" t="s">
        <v>1547</v>
      </c>
      <c r="X156" s="771" t="s">
        <v>2044</v>
      </c>
      <c r="Y156" s="766" t="s">
        <v>116</v>
      </c>
      <c r="Z156" s="785"/>
    </row>
    <row r="157" spans="20:26" ht="15" customHeight="1" x14ac:dyDescent="0.2">
      <c r="T157" s="885" t="s">
        <v>714</v>
      </c>
      <c r="U157" s="772" t="s">
        <v>2084</v>
      </c>
      <c r="V157" s="630" t="s">
        <v>1275</v>
      </c>
      <c r="W157" s="792" t="s">
        <v>1546</v>
      </c>
      <c r="X157" s="771" t="s">
        <v>2046</v>
      </c>
      <c r="Y157" s="766" t="s">
        <v>116</v>
      </c>
      <c r="Z157" s="791"/>
    </row>
    <row r="158" spans="20:26" ht="15" customHeight="1" x14ac:dyDescent="0.2">
      <c r="T158" s="885" t="s">
        <v>715</v>
      </c>
      <c r="U158" s="772" t="s">
        <v>2086</v>
      </c>
      <c r="V158" s="630" t="s">
        <v>1275</v>
      </c>
      <c r="W158" s="792" t="s">
        <v>1545</v>
      </c>
      <c r="X158" s="771" t="s">
        <v>2046</v>
      </c>
      <c r="Y158" s="766" t="s">
        <v>116</v>
      </c>
      <c r="Z158" s="791"/>
    </row>
    <row r="159" spans="20:26" ht="15" customHeight="1" x14ac:dyDescent="0.2">
      <c r="T159" s="885" t="s">
        <v>716</v>
      </c>
      <c r="U159" s="772" t="s">
        <v>2087</v>
      </c>
      <c r="V159" s="630" t="s">
        <v>1275</v>
      </c>
      <c r="W159" s="792" t="s">
        <v>1544</v>
      </c>
      <c r="X159" s="771" t="s">
        <v>2046</v>
      </c>
      <c r="Y159" s="766" t="s">
        <v>58</v>
      </c>
      <c r="Z159" s="791"/>
    </row>
    <row r="160" spans="20:26" ht="15" customHeight="1" x14ac:dyDescent="0.2">
      <c r="T160" s="885" t="s">
        <v>717</v>
      </c>
      <c r="U160" s="772" t="s">
        <v>2088</v>
      </c>
      <c r="V160" s="630" t="s">
        <v>1275</v>
      </c>
      <c r="W160" s="792" t="s">
        <v>1886</v>
      </c>
      <c r="X160" s="771" t="s">
        <v>2043</v>
      </c>
      <c r="Y160" s="766" t="s">
        <v>58</v>
      </c>
      <c r="Z160" s="791"/>
    </row>
    <row r="161" spans="20:26" ht="15" customHeight="1" x14ac:dyDescent="0.2">
      <c r="T161" s="885" t="s">
        <v>718</v>
      </c>
      <c r="U161" s="769" t="s">
        <v>2089</v>
      </c>
      <c r="V161" s="630" t="s">
        <v>1275</v>
      </c>
      <c r="W161" s="792" t="s">
        <v>1881</v>
      </c>
      <c r="X161" s="771" t="s">
        <v>2044</v>
      </c>
      <c r="Y161" s="766" t="s">
        <v>116</v>
      </c>
      <c r="Z161" s="791"/>
    </row>
    <row r="162" spans="20:26" ht="15" customHeight="1" x14ac:dyDescent="0.2">
      <c r="T162" s="885" t="s">
        <v>719</v>
      </c>
      <c r="U162" s="793" t="s">
        <v>2090</v>
      </c>
      <c r="V162" s="630" t="s">
        <v>1275</v>
      </c>
      <c r="W162" s="792" t="s">
        <v>1882</v>
      </c>
      <c r="X162" s="771" t="s">
        <v>2044</v>
      </c>
      <c r="Y162" s="766" t="s">
        <v>116</v>
      </c>
      <c r="Z162" s="785"/>
    </row>
    <row r="163" spans="20:26" ht="15" customHeight="1" x14ac:dyDescent="0.2">
      <c r="T163" s="885" t="s">
        <v>720</v>
      </c>
      <c r="U163" s="793" t="s">
        <v>2091</v>
      </c>
      <c r="V163" s="630" t="s">
        <v>1275</v>
      </c>
      <c r="W163" s="792" t="s">
        <v>1883</v>
      </c>
      <c r="X163" s="771" t="s">
        <v>2046</v>
      </c>
      <c r="Y163" s="766" t="s">
        <v>116</v>
      </c>
      <c r="Z163" s="785"/>
    </row>
    <row r="164" spans="20:26" ht="15" customHeight="1" x14ac:dyDescent="0.2">
      <c r="T164" s="885" t="s">
        <v>721</v>
      </c>
      <c r="U164" s="793" t="s">
        <v>2092</v>
      </c>
      <c r="V164" s="630" t="s">
        <v>1275</v>
      </c>
      <c r="W164" s="792" t="s">
        <v>1884</v>
      </c>
      <c r="X164" s="771" t="s">
        <v>2046</v>
      </c>
      <c r="Y164" s="766" t="s">
        <v>58</v>
      </c>
      <c r="Z164" s="785"/>
    </row>
    <row r="165" spans="20:26" ht="15" customHeight="1" x14ac:dyDescent="0.2">
      <c r="T165" s="885" t="s">
        <v>722</v>
      </c>
      <c r="U165" s="793" t="s">
        <v>2093</v>
      </c>
      <c r="V165" s="630" t="s">
        <v>1275</v>
      </c>
      <c r="W165" s="792" t="s">
        <v>1885</v>
      </c>
      <c r="X165" s="771" t="s">
        <v>2046</v>
      </c>
      <c r="Y165" s="766" t="s">
        <v>58</v>
      </c>
      <c r="Z165" s="764"/>
    </row>
    <row r="166" spans="20:26" ht="15" customHeight="1" x14ac:dyDescent="0.2">
      <c r="T166" s="885" t="s">
        <v>723</v>
      </c>
      <c r="U166" s="793" t="s">
        <v>2094</v>
      </c>
      <c r="V166" s="630" t="s">
        <v>1275</v>
      </c>
      <c r="W166" s="792" t="s">
        <v>1887</v>
      </c>
      <c r="X166" s="771" t="s">
        <v>2043</v>
      </c>
      <c r="Y166" s="794" t="s">
        <v>116</v>
      </c>
      <c r="Z166" s="764"/>
    </row>
    <row r="167" spans="20:26" ht="15" customHeight="1" x14ac:dyDescent="0.2">
      <c r="T167" s="885" t="s">
        <v>724</v>
      </c>
      <c r="U167" s="793" t="s">
        <v>2095</v>
      </c>
      <c r="V167" s="795" t="s">
        <v>1267</v>
      </c>
      <c r="W167" s="792" t="s">
        <v>1898</v>
      </c>
      <c r="X167" s="796" t="s">
        <v>1130</v>
      </c>
      <c r="Y167" s="766" t="s">
        <v>1130</v>
      </c>
      <c r="Z167" s="764"/>
    </row>
    <row r="168" spans="20:26" ht="15" customHeight="1" x14ac:dyDescent="0.2">
      <c r="T168" s="885" t="s">
        <v>725</v>
      </c>
      <c r="U168" s="769" t="s">
        <v>2096</v>
      </c>
      <c r="V168" s="768" t="s">
        <v>1270</v>
      </c>
      <c r="W168" s="792" t="s">
        <v>111</v>
      </c>
      <c r="X168" s="771">
        <v>10</v>
      </c>
      <c r="Y168" s="766" t="s">
        <v>1130</v>
      </c>
      <c r="Z168" s="764"/>
    </row>
    <row r="169" spans="20:26" ht="15" customHeight="1" x14ac:dyDescent="0.2">
      <c r="T169" s="885" t="s">
        <v>726</v>
      </c>
      <c r="U169" s="772" t="s">
        <v>2097</v>
      </c>
      <c r="V169" s="770" t="s">
        <v>1270</v>
      </c>
      <c r="W169" s="797" t="s">
        <v>1001</v>
      </c>
      <c r="X169" s="771">
        <v>10</v>
      </c>
      <c r="Y169" s="766" t="s">
        <v>1130</v>
      </c>
      <c r="Z169" s="764"/>
    </row>
    <row r="170" spans="20:26" ht="15" customHeight="1" x14ac:dyDescent="0.2">
      <c r="T170" s="885" t="s">
        <v>727</v>
      </c>
      <c r="U170" s="772" t="s">
        <v>2098</v>
      </c>
      <c r="V170" s="770" t="s">
        <v>1270</v>
      </c>
      <c r="W170" s="797" t="s">
        <v>1002</v>
      </c>
      <c r="X170" s="771">
        <v>10</v>
      </c>
      <c r="Y170" s="766" t="s">
        <v>1130</v>
      </c>
      <c r="Z170" s="764"/>
    </row>
    <row r="171" spans="20:26" ht="15" customHeight="1" x14ac:dyDescent="0.2">
      <c r="T171" s="885" t="s">
        <v>728</v>
      </c>
      <c r="U171" s="772" t="s">
        <v>2099</v>
      </c>
      <c r="V171" s="770" t="s">
        <v>1270</v>
      </c>
      <c r="W171" s="797" t="s">
        <v>1003</v>
      </c>
      <c r="X171" s="771">
        <v>10</v>
      </c>
      <c r="Y171" s="766" t="s">
        <v>1130</v>
      </c>
      <c r="Z171" s="764"/>
    </row>
    <row r="172" spans="20:26" ht="15" customHeight="1" x14ac:dyDescent="0.2">
      <c r="T172" s="885" t="s">
        <v>729</v>
      </c>
      <c r="U172" s="772" t="s">
        <v>2100</v>
      </c>
      <c r="V172" s="770" t="s">
        <v>1270</v>
      </c>
      <c r="W172" s="797" t="s">
        <v>1004</v>
      </c>
      <c r="X172" s="771">
        <v>10</v>
      </c>
      <c r="Y172" s="766" t="s">
        <v>1130</v>
      </c>
      <c r="Z172" s="764"/>
    </row>
    <row r="173" spans="20:26" ht="15" customHeight="1" x14ac:dyDescent="0.2">
      <c r="T173" s="885" t="s">
        <v>730</v>
      </c>
      <c r="U173" s="772" t="s">
        <v>2101</v>
      </c>
      <c r="V173" s="770" t="s">
        <v>1270</v>
      </c>
      <c r="W173" s="797" t="s">
        <v>1005</v>
      </c>
      <c r="X173" s="771">
        <v>10</v>
      </c>
      <c r="Y173" s="766" t="s">
        <v>1130</v>
      </c>
      <c r="Z173" s="764"/>
    </row>
    <row r="174" spans="20:26" ht="15" customHeight="1" x14ac:dyDescent="0.2">
      <c r="T174" s="885" t="s">
        <v>731</v>
      </c>
      <c r="U174" s="769" t="s">
        <v>2102</v>
      </c>
      <c r="V174" s="768" t="s">
        <v>1270</v>
      </c>
      <c r="W174" s="768" t="s">
        <v>112</v>
      </c>
      <c r="X174" s="775">
        <v>75</v>
      </c>
      <c r="Y174" s="766" t="s">
        <v>1130</v>
      </c>
      <c r="Z174" s="764"/>
    </row>
    <row r="175" spans="20:26" ht="15" customHeight="1" x14ac:dyDescent="0.2">
      <c r="T175" s="885" t="s">
        <v>732</v>
      </c>
      <c r="U175" s="772" t="s">
        <v>2103</v>
      </c>
      <c r="V175" s="770" t="s">
        <v>1270</v>
      </c>
      <c r="W175" s="776" t="s">
        <v>1006</v>
      </c>
      <c r="X175" s="771">
        <v>75</v>
      </c>
      <c r="Y175" s="766" t="s">
        <v>1130</v>
      </c>
      <c r="Z175" s="764"/>
    </row>
    <row r="176" spans="20:26" ht="15" customHeight="1" x14ac:dyDescent="0.2">
      <c r="T176" s="885" t="s">
        <v>733</v>
      </c>
      <c r="U176" s="772" t="s">
        <v>2104</v>
      </c>
      <c r="V176" s="770" t="s">
        <v>1270</v>
      </c>
      <c r="W176" s="776" t="s">
        <v>1007</v>
      </c>
      <c r="X176" s="771">
        <v>75</v>
      </c>
      <c r="Y176" s="766" t="s">
        <v>1130</v>
      </c>
      <c r="Z176" s="764"/>
    </row>
    <row r="177" spans="20:26" ht="15" customHeight="1" x14ac:dyDescent="0.2">
      <c r="T177" s="885" t="s">
        <v>734</v>
      </c>
      <c r="U177" s="772" t="s">
        <v>2105</v>
      </c>
      <c r="V177" s="770" t="s">
        <v>1270</v>
      </c>
      <c r="W177" s="776" t="s">
        <v>1036</v>
      </c>
      <c r="X177" s="771">
        <v>75</v>
      </c>
      <c r="Y177" s="766" t="s">
        <v>1130</v>
      </c>
      <c r="Z177" s="764"/>
    </row>
    <row r="178" spans="20:26" ht="15" customHeight="1" x14ac:dyDescent="0.2">
      <c r="T178" s="885" t="s">
        <v>735</v>
      </c>
      <c r="U178" s="772" t="s">
        <v>2106</v>
      </c>
      <c r="V178" s="770" t="s">
        <v>1270</v>
      </c>
      <c r="W178" s="776" t="s">
        <v>1037</v>
      </c>
      <c r="X178" s="771">
        <v>75</v>
      </c>
      <c r="Y178" s="766" t="s">
        <v>1130</v>
      </c>
      <c r="Z178" s="764"/>
    </row>
    <row r="179" spans="20:26" ht="15" customHeight="1" x14ac:dyDescent="0.2">
      <c r="T179" s="885" t="s">
        <v>736</v>
      </c>
      <c r="U179" s="772" t="s">
        <v>2107</v>
      </c>
      <c r="V179" s="770" t="s">
        <v>1270</v>
      </c>
      <c r="W179" s="776" t="s">
        <v>37</v>
      </c>
      <c r="X179" s="771">
        <v>75</v>
      </c>
      <c r="Y179" s="766" t="s">
        <v>1130</v>
      </c>
      <c r="Z179" s="764"/>
    </row>
    <row r="180" spans="20:26" ht="15" customHeight="1" x14ac:dyDescent="0.2">
      <c r="T180" s="885" t="s">
        <v>737</v>
      </c>
      <c r="U180" s="769" t="s">
        <v>2108</v>
      </c>
      <c r="V180" s="768" t="s">
        <v>1270</v>
      </c>
      <c r="W180" s="768" t="s">
        <v>2197</v>
      </c>
      <c r="X180" s="775">
        <v>10</v>
      </c>
      <c r="Y180" s="766" t="s">
        <v>1130</v>
      </c>
      <c r="Z180" s="764"/>
    </row>
    <row r="181" spans="20:26" ht="15" customHeight="1" x14ac:dyDescent="0.2">
      <c r="T181" s="885" t="s">
        <v>738</v>
      </c>
      <c r="U181" s="772" t="s">
        <v>2109</v>
      </c>
      <c r="V181" s="770" t="s">
        <v>1270</v>
      </c>
      <c r="W181" s="776" t="s">
        <v>38</v>
      </c>
      <c r="X181" s="771">
        <v>10</v>
      </c>
      <c r="Y181" s="766" t="s">
        <v>1130</v>
      </c>
      <c r="Z181" s="764"/>
    </row>
    <row r="182" spans="20:26" ht="15" customHeight="1" x14ac:dyDescent="0.2">
      <c r="T182" s="885" t="s">
        <v>739</v>
      </c>
      <c r="U182" s="772" t="s">
        <v>2110</v>
      </c>
      <c r="V182" s="770" t="s">
        <v>1270</v>
      </c>
      <c r="W182" s="776" t="s">
        <v>39</v>
      </c>
      <c r="X182" s="771">
        <v>10</v>
      </c>
      <c r="Y182" s="766" t="s">
        <v>1130</v>
      </c>
      <c r="Z182" s="764"/>
    </row>
    <row r="183" spans="20:26" ht="15" customHeight="1" x14ac:dyDescent="0.2">
      <c r="T183" s="885" t="s">
        <v>740</v>
      </c>
      <c r="U183" s="772" t="s">
        <v>2111</v>
      </c>
      <c r="V183" s="770" t="s">
        <v>1270</v>
      </c>
      <c r="W183" s="776" t="s">
        <v>40</v>
      </c>
      <c r="X183" s="771">
        <v>10</v>
      </c>
      <c r="Y183" s="766" t="s">
        <v>1130</v>
      </c>
      <c r="Z183" s="764"/>
    </row>
    <row r="184" spans="20:26" ht="15" customHeight="1" x14ac:dyDescent="0.2">
      <c r="T184" s="885" t="s">
        <v>741</v>
      </c>
      <c r="U184" s="772" t="s">
        <v>2112</v>
      </c>
      <c r="V184" s="770" t="s">
        <v>1270</v>
      </c>
      <c r="W184" s="776" t="s">
        <v>41</v>
      </c>
      <c r="X184" s="771">
        <v>10</v>
      </c>
      <c r="Y184" s="766" t="s">
        <v>1130</v>
      </c>
      <c r="Z184" s="764"/>
    </row>
    <row r="185" spans="20:26" ht="15" customHeight="1" x14ac:dyDescent="0.2">
      <c r="T185" s="885" t="s">
        <v>742</v>
      </c>
      <c r="U185" s="772" t="s">
        <v>2113</v>
      </c>
      <c r="V185" s="770" t="s">
        <v>1270</v>
      </c>
      <c r="W185" s="776" t="s">
        <v>42</v>
      </c>
      <c r="X185" s="771">
        <v>10</v>
      </c>
      <c r="Y185" s="766" t="s">
        <v>1130</v>
      </c>
      <c r="Z185" s="764"/>
    </row>
    <row r="186" spans="20:26" ht="15" customHeight="1" x14ac:dyDescent="0.2">
      <c r="T186" s="885" t="s">
        <v>743</v>
      </c>
      <c r="U186" s="769" t="s">
        <v>2114</v>
      </c>
      <c r="V186" s="768" t="s">
        <v>1270</v>
      </c>
      <c r="W186" s="768" t="s">
        <v>114</v>
      </c>
      <c r="X186" s="775">
        <v>25</v>
      </c>
      <c r="Y186" s="766" t="s">
        <v>1130</v>
      </c>
      <c r="Z186" s="764"/>
    </row>
    <row r="187" spans="20:26" ht="15" customHeight="1" x14ac:dyDescent="0.2">
      <c r="T187" s="885" t="s">
        <v>744</v>
      </c>
      <c r="U187" s="772" t="s">
        <v>2115</v>
      </c>
      <c r="V187" s="770" t="s">
        <v>1270</v>
      </c>
      <c r="W187" s="776" t="s">
        <v>43</v>
      </c>
      <c r="X187" s="771">
        <v>25</v>
      </c>
      <c r="Y187" s="766" t="s">
        <v>1130</v>
      </c>
      <c r="Z187" s="773"/>
    </row>
    <row r="188" spans="20:26" ht="15" customHeight="1" x14ac:dyDescent="0.2">
      <c r="T188" s="885" t="s">
        <v>745</v>
      </c>
      <c r="U188" s="772" t="s">
        <v>2116</v>
      </c>
      <c r="V188" s="770" t="s">
        <v>1270</v>
      </c>
      <c r="W188" s="776" t="s">
        <v>44</v>
      </c>
      <c r="X188" s="771">
        <v>25</v>
      </c>
      <c r="Y188" s="766" t="s">
        <v>1130</v>
      </c>
      <c r="Z188" s="764"/>
    </row>
    <row r="189" spans="20:26" ht="15" customHeight="1" x14ac:dyDescent="0.2">
      <c r="T189" s="885" t="s">
        <v>746</v>
      </c>
      <c r="U189" s="772" t="s">
        <v>2117</v>
      </c>
      <c r="V189" s="770" t="s">
        <v>1270</v>
      </c>
      <c r="W189" s="776" t="s">
        <v>45</v>
      </c>
      <c r="X189" s="771">
        <v>25</v>
      </c>
      <c r="Y189" s="766" t="s">
        <v>1130</v>
      </c>
      <c r="Z189" s="764"/>
    </row>
    <row r="190" spans="20:26" ht="15" customHeight="1" x14ac:dyDescent="0.2">
      <c r="T190" s="885" t="s">
        <v>750</v>
      </c>
      <c r="U190" s="772" t="s">
        <v>2118</v>
      </c>
      <c r="V190" s="770" t="s">
        <v>1270</v>
      </c>
      <c r="W190" s="776" t="s">
        <v>46</v>
      </c>
      <c r="X190" s="771">
        <v>25</v>
      </c>
      <c r="Y190" s="766" t="s">
        <v>1130</v>
      </c>
      <c r="Z190" s="764"/>
    </row>
    <row r="191" spans="20:26" ht="15" customHeight="1" x14ac:dyDescent="0.2">
      <c r="T191" s="885" t="s">
        <v>751</v>
      </c>
      <c r="U191" s="772" t="s">
        <v>2119</v>
      </c>
      <c r="V191" s="770" t="s">
        <v>1270</v>
      </c>
      <c r="W191" s="776" t="s">
        <v>47</v>
      </c>
      <c r="X191" s="771">
        <v>25</v>
      </c>
      <c r="Y191" s="766" t="s">
        <v>1130</v>
      </c>
      <c r="Z191" s="798"/>
    </row>
    <row r="192" spans="20:26" ht="15" customHeight="1" x14ac:dyDescent="0.2">
      <c r="T192" s="885" t="s">
        <v>752</v>
      </c>
      <c r="U192" s="769" t="s">
        <v>2120</v>
      </c>
      <c r="V192" s="630" t="s">
        <v>1275</v>
      </c>
      <c r="W192" s="770" t="s">
        <v>1966</v>
      </c>
      <c r="X192" s="771" t="s">
        <v>2041</v>
      </c>
      <c r="Y192" s="766" t="s">
        <v>1130</v>
      </c>
      <c r="Z192" s="785"/>
    </row>
    <row r="193" spans="20:26" ht="15" customHeight="1" x14ac:dyDescent="0.2">
      <c r="T193" s="885" t="s">
        <v>753</v>
      </c>
      <c r="U193" s="772" t="s">
        <v>2121</v>
      </c>
      <c r="V193" s="630" t="s">
        <v>1275</v>
      </c>
      <c r="W193" s="776" t="s">
        <v>1967</v>
      </c>
      <c r="X193" s="771" t="s">
        <v>2041</v>
      </c>
      <c r="Y193" s="766" t="s">
        <v>1130</v>
      </c>
      <c r="Z193" s="764"/>
    </row>
    <row r="194" spans="20:26" ht="15" customHeight="1" x14ac:dyDescent="0.2">
      <c r="T194" s="885" t="s">
        <v>754</v>
      </c>
      <c r="U194" s="772" t="s">
        <v>2122</v>
      </c>
      <c r="V194" s="630" t="s">
        <v>1275</v>
      </c>
      <c r="W194" s="776" t="s">
        <v>1968</v>
      </c>
      <c r="X194" s="771" t="s">
        <v>2041</v>
      </c>
      <c r="Y194" s="766" t="s">
        <v>1130</v>
      </c>
      <c r="Z194" s="764"/>
    </row>
    <row r="195" spans="20:26" ht="15" customHeight="1" x14ac:dyDescent="0.2">
      <c r="T195" s="885" t="s">
        <v>755</v>
      </c>
      <c r="U195" s="772" t="s">
        <v>2123</v>
      </c>
      <c r="V195" s="630" t="s">
        <v>1275</v>
      </c>
      <c r="W195" s="776" t="s">
        <v>1969</v>
      </c>
      <c r="X195" s="771" t="s">
        <v>2041</v>
      </c>
      <c r="Y195" s="766" t="s">
        <v>1130</v>
      </c>
      <c r="Z195" s="764"/>
    </row>
    <row r="196" spans="20:26" ht="15" customHeight="1" x14ac:dyDescent="0.2">
      <c r="T196" s="885" t="s">
        <v>756</v>
      </c>
      <c r="U196" s="772" t="s">
        <v>2124</v>
      </c>
      <c r="V196" s="630" t="s">
        <v>1275</v>
      </c>
      <c r="W196" s="776" t="s">
        <v>1970</v>
      </c>
      <c r="X196" s="771" t="s">
        <v>2041</v>
      </c>
      <c r="Y196" s="766" t="s">
        <v>1130</v>
      </c>
      <c r="Z196" s="764"/>
    </row>
    <row r="197" spans="20:26" ht="15" customHeight="1" x14ac:dyDescent="0.2">
      <c r="T197" s="885" t="s">
        <v>757</v>
      </c>
      <c r="U197" s="772" t="s">
        <v>2125</v>
      </c>
      <c r="V197" s="630" t="s">
        <v>1275</v>
      </c>
      <c r="W197" s="776" t="s">
        <v>1971</v>
      </c>
      <c r="X197" s="771" t="s">
        <v>2041</v>
      </c>
      <c r="Y197" s="766" t="s">
        <v>1130</v>
      </c>
      <c r="Z197" s="764"/>
    </row>
    <row r="198" spans="20:26" ht="15" customHeight="1" x14ac:dyDescent="0.2">
      <c r="T198" s="885" t="s">
        <v>758</v>
      </c>
      <c r="U198" s="769" t="s">
        <v>2126</v>
      </c>
      <c r="V198" s="630" t="s">
        <v>1275</v>
      </c>
      <c r="W198" s="770" t="s">
        <v>116</v>
      </c>
      <c r="X198" s="771" t="s">
        <v>2037</v>
      </c>
      <c r="Y198" s="766" t="s">
        <v>116</v>
      </c>
      <c r="Z198" s="764"/>
    </row>
    <row r="199" spans="20:26" ht="15" customHeight="1" x14ac:dyDescent="0.2">
      <c r="T199" s="885" t="s">
        <v>759</v>
      </c>
      <c r="U199" s="772" t="s">
        <v>2127</v>
      </c>
      <c r="V199" s="630" t="s">
        <v>1275</v>
      </c>
      <c r="W199" s="776" t="s">
        <v>48</v>
      </c>
      <c r="X199" s="771" t="s">
        <v>2037</v>
      </c>
      <c r="Y199" s="766" t="s">
        <v>116</v>
      </c>
      <c r="Z199" s="764"/>
    </row>
    <row r="200" spans="20:26" ht="15" customHeight="1" x14ac:dyDescent="0.2">
      <c r="T200" s="885" t="s">
        <v>760</v>
      </c>
      <c r="U200" s="772" t="s">
        <v>2128</v>
      </c>
      <c r="V200" s="630" t="s">
        <v>1275</v>
      </c>
      <c r="W200" s="776" t="s">
        <v>49</v>
      </c>
      <c r="X200" s="771" t="s">
        <v>2037</v>
      </c>
      <c r="Y200" s="766" t="s">
        <v>116</v>
      </c>
      <c r="Z200" s="785"/>
    </row>
    <row r="201" spans="20:26" ht="15" customHeight="1" x14ac:dyDescent="0.2">
      <c r="T201" s="885" t="s">
        <v>761</v>
      </c>
      <c r="U201" s="772" t="s">
        <v>2129</v>
      </c>
      <c r="V201" s="630" t="s">
        <v>1275</v>
      </c>
      <c r="W201" s="776" t="s">
        <v>50</v>
      </c>
      <c r="X201" s="771" t="s">
        <v>2037</v>
      </c>
      <c r="Y201" s="766" t="s">
        <v>116</v>
      </c>
      <c r="Z201" s="785"/>
    </row>
    <row r="202" spans="20:26" ht="15" customHeight="1" x14ac:dyDescent="0.2">
      <c r="T202" s="885" t="s">
        <v>762</v>
      </c>
      <c r="U202" s="772" t="s">
        <v>2130</v>
      </c>
      <c r="V202" s="630" t="s">
        <v>1275</v>
      </c>
      <c r="W202" s="776" t="s">
        <v>51</v>
      </c>
      <c r="X202" s="771" t="s">
        <v>2037</v>
      </c>
      <c r="Y202" s="766" t="s">
        <v>116</v>
      </c>
      <c r="Z202" s="785"/>
    </row>
    <row r="203" spans="20:26" ht="15" customHeight="1" x14ac:dyDescent="0.2">
      <c r="T203" s="885" t="s">
        <v>763</v>
      </c>
      <c r="U203" s="772" t="s">
        <v>2131</v>
      </c>
      <c r="V203" s="630" t="s">
        <v>1275</v>
      </c>
      <c r="W203" s="776" t="s">
        <v>52</v>
      </c>
      <c r="X203" s="771" t="s">
        <v>2037</v>
      </c>
      <c r="Y203" s="766" t="s">
        <v>116</v>
      </c>
      <c r="Z203" s="785"/>
    </row>
    <row r="204" spans="20:26" ht="15" customHeight="1" x14ac:dyDescent="0.2">
      <c r="T204" s="885" t="s">
        <v>764</v>
      </c>
      <c r="U204" s="769" t="s">
        <v>2132</v>
      </c>
      <c r="V204" s="768" t="s">
        <v>1270</v>
      </c>
      <c r="W204" s="768" t="s">
        <v>1261</v>
      </c>
      <c r="X204" s="775">
        <v>1</v>
      </c>
      <c r="Y204" s="766" t="s">
        <v>1130</v>
      </c>
      <c r="Z204" s="764"/>
    </row>
    <row r="205" spans="20:26" ht="15" customHeight="1" x14ac:dyDescent="0.2">
      <c r="T205" s="885" t="s">
        <v>765</v>
      </c>
      <c r="U205" s="772" t="s">
        <v>2133</v>
      </c>
      <c r="V205" s="770" t="s">
        <v>1270</v>
      </c>
      <c r="W205" s="776" t="s">
        <v>64</v>
      </c>
      <c r="X205" s="771">
        <v>1</v>
      </c>
      <c r="Y205" s="766" t="s">
        <v>1130</v>
      </c>
      <c r="Z205" s="764"/>
    </row>
    <row r="206" spans="20:26" ht="15" customHeight="1" x14ac:dyDescent="0.2">
      <c r="T206" s="885" t="s">
        <v>766</v>
      </c>
      <c r="U206" s="772" t="s">
        <v>2134</v>
      </c>
      <c r="V206" s="770" t="s">
        <v>1270</v>
      </c>
      <c r="W206" s="776" t="s">
        <v>65</v>
      </c>
      <c r="X206" s="771">
        <v>1</v>
      </c>
      <c r="Y206" s="766" t="s">
        <v>1130</v>
      </c>
      <c r="Z206" s="773"/>
    </row>
    <row r="207" spans="20:26" ht="15" customHeight="1" x14ac:dyDescent="0.2">
      <c r="T207" s="885" t="s">
        <v>767</v>
      </c>
      <c r="U207" s="772" t="s">
        <v>2135</v>
      </c>
      <c r="V207" s="770" t="s">
        <v>1270</v>
      </c>
      <c r="W207" s="776" t="s">
        <v>66</v>
      </c>
      <c r="X207" s="771">
        <v>1</v>
      </c>
      <c r="Y207" s="766" t="s">
        <v>1130</v>
      </c>
      <c r="Z207" s="773"/>
    </row>
    <row r="208" spans="20:26" ht="15" customHeight="1" x14ac:dyDescent="0.2">
      <c r="T208" s="885" t="s">
        <v>768</v>
      </c>
      <c r="U208" s="772" t="s">
        <v>2136</v>
      </c>
      <c r="V208" s="770" t="s">
        <v>1270</v>
      </c>
      <c r="W208" s="776" t="s">
        <v>67</v>
      </c>
      <c r="X208" s="771">
        <v>1</v>
      </c>
      <c r="Y208" s="766" t="s">
        <v>1130</v>
      </c>
      <c r="Z208" s="764"/>
    </row>
    <row r="209" spans="20:26" ht="15" customHeight="1" x14ac:dyDescent="0.2">
      <c r="T209" s="885" t="s">
        <v>769</v>
      </c>
      <c r="U209" s="772" t="s">
        <v>2137</v>
      </c>
      <c r="V209" s="770" t="s">
        <v>1270</v>
      </c>
      <c r="W209" s="776" t="s">
        <v>68</v>
      </c>
      <c r="X209" s="771">
        <v>1</v>
      </c>
      <c r="Y209" s="766" t="s">
        <v>1130</v>
      </c>
      <c r="Z209" s="764"/>
    </row>
    <row r="210" spans="20:26" ht="15" customHeight="1" x14ac:dyDescent="0.2">
      <c r="T210" s="885" t="s">
        <v>770</v>
      </c>
      <c r="U210" s="769" t="s">
        <v>2138</v>
      </c>
      <c r="V210" s="768" t="s">
        <v>1270</v>
      </c>
      <c r="W210" s="768" t="s">
        <v>1996</v>
      </c>
      <c r="X210" s="781">
        <v>18</v>
      </c>
      <c r="Y210" s="766" t="s">
        <v>1130</v>
      </c>
      <c r="Z210" s="764"/>
    </row>
    <row r="211" spans="20:26" ht="15" customHeight="1" x14ac:dyDescent="0.2">
      <c r="T211" s="885" t="s">
        <v>771</v>
      </c>
      <c r="U211" s="772" t="s">
        <v>2139</v>
      </c>
      <c r="V211" s="770" t="s">
        <v>1270</v>
      </c>
      <c r="W211" s="776" t="s">
        <v>53</v>
      </c>
      <c r="X211" s="781">
        <v>18</v>
      </c>
      <c r="Y211" s="766" t="s">
        <v>1130</v>
      </c>
      <c r="Z211" s="764"/>
    </row>
    <row r="212" spans="20:26" ht="15" customHeight="1" x14ac:dyDescent="0.2">
      <c r="T212" s="885" t="s">
        <v>772</v>
      </c>
      <c r="U212" s="772" t="s">
        <v>2140</v>
      </c>
      <c r="V212" s="770" t="s">
        <v>1270</v>
      </c>
      <c r="W212" s="776" t="s">
        <v>54</v>
      </c>
      <c r="X212" s="781">
        <v>18</v>
      </c>
      <c r="Y212" s="766" t="s">
        <v>1130</v>
      </c>
      <c r="Z212" s="764"/>
    </row>
    <row r="213" spans="20:26" ht="15" customHeight="1" x14ac:dyDescent="0.2">
      <c r="T213" s="885" t="s">
        <v>773</v>
      </c>
      <c r="U213" s="772" t="s">
        <v>2141</v>
      </c>
      <c r="V213" s="770" t="s">
        <v>1270</v>
      </c>
      <c r="W213" s="776" t="s">
        <v>55</v>
      </c>
      <c r="X213" s="781">
        <v>18</v>
      </c>
      <c r="Y213" s="766" t="s">
        <v>1130</v>
      </c>
      <c r="Z213" s="764"/>
    </row>
    <row r="214" spans="20:26" ht="15" customHeight="1" x14ac:dyDescent="0.2">
      <c r="T214" s="885" t="s">
        <v>774</v>
      </c>
      <c r="U214" s="772" t="s">
        <v>2142</v>
      </c>
      <c r="V214" s="770" t="s">
        <v>1270</v>
      </c>
      <c r="W214" s="776" t="s">
        <v>56</v>
      </c>
      <c r="X214" s="781">
        <v>18</v>
      </c>
      <c r="Y214" s="766" t="s">
        <v>1130</v>
      </c>
      <c r="Z214" s="764"/>
    </row>
    <row r="215" spans="20:26" ht="15" customHeight="1" x14ac:dyDescent="0.2">
      <c r="T215" s="885" t="s">
        <v>775</v>
      </c>
      <c r="U215" s="772" t="s">
        <v>2143</v>
      </c>
      <c r="V215" s="770" t="s">
        <v>1270</v>
      </c>
      <c r="W215" s="776" t="s">
        <v>57</v>
      </c>
      <c r="X215" s="781">
        <v>18</v>
      </c>
      <c r="Y215" s="766" t="s">
        <v>1130</v>
      </c>
      <c r="Z215" s="764"/>
    </row>
    <row r="216" spans="20:26" ht="15" customHeight="1" x14ac:dyDescent="0.2">
      <c r="T216" s="885" t="s">
        <v>776</v>
      </c>
      <c r="U216" s="772" t="s">
        <v>2144</v>
      </c>
      <c r="V216" s="770" t="s">
        <v>1267</v>
      </c>
      <c r="W216" s="770" t="s">
        <v>2198</v>
      </c>
      <c r="X216" s="771" t="s">
        <v>1130</v>
      </c>
      <c r="Y216" s="766" t="s">
        <v>1130</v>
      </c>
      <c r="Z216" s="764"/>
    </row>
    <row r="217" spans="20:26" ht="15" customHeight="1" x14ac:dyDescent="0.2">
      <c r="T217" s="885" t="s">
        <v>777</v>
      </c>
      <c r="U217" s="769" t="s">
        <v>2145</v>
      </c>
      <c r="V217" s="630" t="s">
        <v>1275</v>
      </c>
      <c r="W217" s="799" t="s">
        <v>1972</v>
      </c>
      <c r="X217" s="771" t="s">
        <v>2046</v>
      </c>
      <c r="Y217" s="766" t="s">
        <v>2184</v>
      </c>
      <c r="Z217" s="764"/>
    </row>
    <row r="218" spans="20:26" ht="15" customHeight="1" x14ac:dyDescent="0.2">
      <c r="T218" s="885" t="s">
        <v>778</v>
      </c>
      <c r="U218" s="772" t="s">
        <v>2146</v>
      </c>
      <c r="V218" s="630" t="s">
        <v>1275</v>
      </c>
      <c r="W218" s="799" t="s">
        <v>381</v>
      </c>
      <c r="X218" s="771" t="s">
        <v>2044</v>
      </c>
      <c r="Y218" s="766" t="s">
        <v>116</v>
      </c>
      <c r="Z218" s="764"/>
    </row>
    <row r="219" spans="20:26" ht="15" customHeight="1" x14ac:dyDescent="0.2">
      <c r="T219" s="885" t="s">
        <v>779</v>
      </c>
      <c r="U219" s="772" t="s">
        <v>2147</v>
      </c>
      <c r="V219" s="630" t="s">
        <v>1275</v>
      </c>
      <c r="W219" s="799" t="s">
        <v>384</v>
      </c>
      <c r="X219" s="771" t="s">
        <v>2044</v>
      </c>
      <c r="Y219" s="766" t="s">
        <v>116</v>
      </c>
      <c r="Z219" s="764"/>
    </row>
    <row r="220" spans="20:26" ht="15" customHeight="1" x14ac:dyDescent="0.2">
      <c r="T220" s="885" t="s">
        <v>780</v>
      </c>
      <c r="U220" s="772" t="s">
        <v>2148</v>
      </c>
      <c r="V220" s="630" t="s">
        <v>1275</v>
      </c>
      <c r="W220" s="799" t="s">
        <v>1973</v>
      </c>
      <c r="X220" s="771" t="s">
        <v>2041</v>
      </c>
      <c r="Y220" s="766" t="s">
        <v>1130</v>
      </c>
      <c r="Z220" s="764"/>
    </row>
    <row r="221" spans="20:26" ht="15" customHeight="1" x14ac:dyDescent="0.2">
      <c r="T221" s="885" t="s">
        <v>781</v>
      </c>
      <c r="U221" s="769" t="s">
        <v>2149</v>
      </c>
      <c r="V221" s="630" t="s">
        <v>1275</v>
      </c>
      <c r="W221" s="799" t="s">
        <v>379</v>
      </c>
      <c r="X221" s="771" t="s">
        <v>2045</v>
      </c>
      <c r="Y221" s="770" t="s">
        <v>1130</v>
      </c>
      <c r="Z221" s="764"/>
    </row>
    <row r="222" spans="20:26" ht="15" customHeight="1" x14ac:dyDescent="0.2">
      <c r="T222" s="885" t="s">
        <v>782</v>
      </c>
      <c r="U222" s="772" t="s">
        <v>2150</v>
      </c>
      <c r="V222" s="630" t="s">
        <v>1275</v>
      </c>
      <c r="W222" s="799" t="s">
        <v>2199</v>
      </c>
      <c r="X222" s="771" t="s">
        <v>2047</v>
      </c>
      <c r="Y222" s="770" t="s">
        <v>1130</v>
      </c>
      <c r="Z222" s="764"/>
    </row>
    <row r="223" spans="20:26" ht="15" customHeight="1" x14ac:dyDescent="0.2">
      <c r="T223" s="885" t="s">
        <v>783</v>
      </c>
      <c r="U223" s="772" t="s">
        <v>2151</v>
      </c>
      <c r="V223" s="630" t="s">
        <v>1275</v>
      </c>
      <c r="W223" s="799" t="s">
        <v>385</v>
      </c>
      <c r="X223" s="771" t="s">
        <v>2044</v>
      </c>
      <c r="Y223" s="770" t="s">
        <v>116</v>
      </c>
      <c r="Z223" s="764"/>
    </row>
    <row r="224" spans="20:26" ht="15" customHeight="1" x14ac:dyDescent="0.2">
      <c r="T224" s="885" t="s">
        <v>784</v>
      </c>
      <c r="U224" s="772" t="s">
        <v>2152</v>
      </c>
      <c r="V224" s="630" t="s">
        <v>1275</v>
      </c>
      <c r="W224" s="799" t="s">
        <v>2200</v>
      </c>
      <c r="X224" s="771" t="s">
        <v>2047</v>
      </c>
      <c r="Y224" s="770" t="s">
        <v>1130</v>
      </c>
      <c r="Z224" s="764"/>
    </row>
    <row r="225" spans="20:26" ht="15" customHeight="1" x14ac:dyDescent="0.2">
      <c r="T225" s="885" t="s">
        <v>785</v>
      </c>
      <c r="U225" s="769" t="s">
        <v>2156</v>
      </c>
      <c r="V225" s="630" t="s">
        <v>1275</v>
      </c>
      <c r="W225" s="800" t="s">
        <v>380</v>
      </c>
      <c r="X225" s="771" t="s">
        <v>2044</v>
      </c>
      <c r="Y225" s="770" t="s">
        <v>116</v>
      </c>
      <c r="Z225" s="785"/>
    </row>
    <row r="226" spans="20:26" ht="15" customHeight="1" x14ac:dyDescent="0.2">
      <c r="T226" s="885" t="s">
        <v>786</v>
      </c>
      <c r="U226" s="772" t="s">
        <v>2157</v>
      </c>
      <c r="V226" s="630" t="s">
        <v>1275</v>
      </c>
      <c r="W226" s="799" t="s">
        <v>383</v>
      </c>
      <c r="X226" s="771" t="s">
        <v>2044</v>
      </c>
      <c r="Y226" s="770" t="s">
        <v>116</v>
      </c>
      <c r="Z226" s="764"/>
    </row>
    <row r="227" spans="20:26" ht="15" customHeight="1" x14ac:dyDescent="0.2">
      <c r="T227" s="885" t="s">
        <v>787</v>
      </c>
      <c r="U227" s="772" t="s">
        <v>2158</v>
      </c>
      <c r="V227" s="630" t="s">
        <v>1275</v>
      </c>
      <c r="W227" s="799" t="s">
        <v>386</v>
      </c>
      <c r="X227" s="771" t="s">
        <v>2041</v>
      </c>
      <c r="Y227" s="770" t="s">
        <v>116</v>
      </c>
      <c r="Z227" s="764"/>
    </row>
    <row r="228" spans="20:26" ht="15" customHeight="1" x14ac:dyDescent="0.2">
      <c r="T228" s="885" t="s">
        <v>788</v>
      </c>
      <c r="U228" s="772" t="s">
        <v>2159</v>
      </c>
      <c r="V228" s="770" t="s">
        <v>1270</v>
      </c>
      <c r="W228" s="799" t="s">
        <v>389</v>
      </c>
      <c r="X228" s="771">
        <v>5</v>
      </c>
      <c r="Y228" s="770" t="s">
        <v>1130</v>
      </c>
      <c r="Z228" s="764"/>
    </row>
    <row r="229" spans="20:26" ht="15" customHeight="1" x14ac:dyDescent="0.2">
      <c r="T229" s="885" t="s">
        <v>789</v>
      </c>
      <c r="U229" s="772" t="s">
        <v>2160</v>
      </c>
      <c r="V229" s="770" t="s">
        <v>1267</v>
      </c>
      <c r="W229" s="777" t="s">
        <v>1901</v>
      </c>
      <c r="X229" s="801" t="s">
        <v>1130</v>
      </c>
      <c r="Y229" s="766" t="s">
        <v>1130</v>
      </c>
      <c r="Z229" s="764"/>
    </row>
    <row r="230" spans="20:26" ht="15" customHeight="1" x14ac:dyDescent="0.2">
      <c r="T230" s="885" t="s">
        <v>790</v>
      </c>
      <c r="U230" s="769" t="s">
        <v>2161</v>
      </c>
      <c r="V230" s="768" t="s">
        <v>1270</v>
      </c>
      <c r="W230" s="777" t="s">
        <v>1264</v>
      </c>
      <c r="X230" s="771">
        <v>50</v>
      </c>
      <c r="Y230" s="766" t="s">
        <v>1130</v>
      </c>
      <c r="Z230" s="764"/>
    </row>
    <row r="231" spans="20:26" ht="15" customHeight="1" x14ac:dyDescent="0.2">
      <c r="T231" s="885" t="s">
        <v>791</v>
      </c>
      <c r="U231" s="772" t="s">
        <v>2162</v>
      </c>
      <c r="V231" s="770" t="s">
        <v>1270</v>
      </c>
      <c r="W231" s="782" t="s">
        <v>59</v>
      </c>
      <c r="X231" s="771">
        <v>50</v>
      </c>
      <c r="Y231" s="766" t="s">
        <v>1130</v>
      </c>
      <c r="Z231" s="764"/>
    </row>
    <row r="232" spans="20:26" ht="15" customHeight="1" x14ac:dyDescent="0.2">
      <c r="T232" s="885" t="s">
        <v>792</v>
      </c>
      <c r="U232" s="772" t="s">
        <v>2163</v>
      </c>
      <c r="V232" s="770" t="s">
        <v>1270</v>
      </c>
      <c r="W232" s="782" t="s">
        <v>60</v>
      </c>
      <c r="X232" s="771">
        <v>50</v>
      </c>
      <c r="Y232" s="766" t="s">
        <v>1130</v>
      </c>
      <c r="Z232" s="764"/>
    </row>
    <row r="233" spans="20:26" ht="15" customHeight="1" x14ac:dyDescent="0.2">
      <c r="T233" s="885" t="s">
        <v>793</v>
      </c>
      <c r="U233" s="772" t="s">
        <v>2164</v>
      </c>
      <c r="V233" s="770" t="s">
        <v>1270</v>
      </c>
      <c r="W233" s="782" t="s">
        <v>61</v>
      </c>
      <c r="X233" s="771">
        <v>50</v>
      </c>
      <c r="Y233" s="766" t="s">
        <v>1130</v>
      </c>
      <c r="Z233" s="785"/>
    </row>
    <row r="234" spans="20:26" ht="15" customHeight="1" x14ac:dyDescent="0.2">
      <c r="T234" s="885" t="s">
        <v>794</v>
      </c>
      <c r="U234" s="772" t="s">
        <v>2165</v>
      </c>
      <c r="V234" s="770" t="s">
        <v>1270</v>
      </c>
      <c r="W234" s="782" t="s">
        <v>62</v>
      </c>
      <c r="X234" s="771">
        <v>50</v>
      </c>
      <c r="Y234" s="766" t="s">
        <v>1130</v>
      </c>
      <c r="Z234" s="764"/>
    </row>
    <row r="235" spans="20:26" ht="15" customHeight="1" x14ac:dyDescent="0.2">
      <c r="T235" s="885" t="s">
        <v>795</v>
      </c>
      <c r="U235" s="772" t="s">
        <v>2166</v>
      </c>
      <c r="V235" s="770" t="s">
        <v>1270</v>
      </c>
      <c r="W235" s="782" t="s">
        <v>63</v>
      </c>
      <c r="X235" s="771">
        <v>50</v>
      </c>
      <c r="Y235" s="766" t="s">
        <v>1130</v>
      </c>
      <c r="Z235" s="764"/>
    </row>
    <row r="236" spans="20:26" ht="15" customHeight="1" x14ac:dyDescent="0.2">
      <c r="T236" s="885" t="s">
        <v>796</v>
      </c>
      <c r="U236" s="769" t="s">
        <v>2167</v>
      </c>
      <c r="V236" s="768" t="s">
        <v>1270</v>
      </c>
      <c r="W236" s="799" t="s">
        <v>1261</v>
      </c>
      <c r="X236" s="771">
        <v>1</v>
      </c>
      <c r="Y236" s="766" t="s">
        <v>1130</v>
      </c>
      <c r="Z236" s="785"/>
    </row>
    <row r="237" spans="20:26" ht="15" customHeight="1" x14ac:dyDescent="0.2">
      <c r="T237" s="885" t="s">
        <v>797</v>
      </c>
      <c r="U237" s="772" t="s">
        <v>2168</v>
      </c>
      <c r="V237" s="770" t="s">
        <v>1270</v>
      </c>
      <c r="W237" s="802" t="s">
        <v>69</v>
      </c>
      <c r="X237" s="771">
        <v>1</v>
      </c>
      <c r="Y237" s="766" t="s">
        <v>1130</v>
      </c>
      <c r="Z237" s="785"/>
    </row>
    <row r="238" spans="20:26" ht="15" customHeight="1" x14ac:dyDescent="0.2">
      <c r="T238" s="885" t="s">
        <v>798</v>
      </c>
      <c r="U238" s="772" t="s">
        <v>2169</v>
      </c>
      <c r="V238" s="770" t="s">
        <v>1270</v>
      </c>
      <c r="W238" s="802" t="s">
        <v>70</v>
      </c>
      <c r="X238" s="771">
        <v>1</v>
      </c>
      <c r="Y238" s="766" t="s">
        <v>1130</v>
      </c>
      <c r="Z238" s="785"/>
    </row>
    <row r="239" spans="20:26" ht="15" customHeight="1" x14ac:dyDescent="0.2">
      <c r="T239" s="885" t="s">
        <v>799</v>
      </c>
      <c r="U239" s="772" t="s">
        <v>2170</v>
      </c>
      <c r="V239" s="770" t="s">
        <v>1270</v>
      </c>
      <c r="W239" s="802" t="s">
        <v>71</v>
      </c>
      <c r="X239" s="771">
        <v>1</v>
      </c>
      <c r="Y239" s="766" t="s">
        <v>1130</v>
      </c>
      <c r="Z239" s="785"/>
    </row>
    <row r="240" spans="20:26" ht="15" customHeight="1" x14ac:dyDescent="0.2">
      <c r="T240" s="885" t="s">
        <v>800</v>
      </c>
      <c r="U240" s="772" t="s">
        <v>2171</v>
      </c>
      <c r="V240" s="770" t="s">
        <v>1270</v>
      </c>
      <c r="W240" s="802" t="s">
        <v>72</v>
      </c>
      <c r="X240" s="771">
        <v>1</v>
      </c>
      <c r="Y240" s="766" t="s">
        <v>1130</v>
      </c>
      <c r="Z240" s="791"/>
    </row>
    <row r="241" spans="20:26" ht="15" customHeight="1" x14ac:dyDescent="0.2">
      <c r="T241" s="885" t="s">
        <v>801</v>
      </c>
      <c r="U241" s="772" t="s">
        <v>2172</v>
      </c>
      <c r="V241" s="770" t="s">
        <v>1270</v>
      </c>
      <c r="W241" s="802" t="s">
        <v>73</v>
      </c>
      <c r="X241" s="771">
        <v>1</v>
      </c>
      <c r="Y241" s="766" t="s">
        <v>1130</v>
      </c>
      <c r="Z241" s="791"/>
    </row>
    <row r="242" spans="20:26" ht="15" customHeight="1" x14ac:dyDescent="0.2">
      <c r="T242" s="885" t="s">
        <v>802</v>
      </c>
      <c r="U242" s="769" t="s">
        <v>2173</v>
      </c>
      <c r="V242" s="768" t="s">
        <v>1270</v>
      </c>
      <c r="W242" s="799" t="s">
        <v>1998</v>
      </c>
      <c r="X242" s="781">
        <v>18</v>
      </c>
      <c r="Y242" s="766" t="s">
        <v>1130</v>
      </c>
      <c r="Z242" s="764"/>
    </row>
    <row r="243" spans="20:26" ht="15" customHeight="1" x14ac:dyDescent="0.2">
      <c r="T243" s="885" t="s">
        <v>803</v>
      </c>
      <c r="U243" s="772" t="s">
        <v>2174</v>
      </c>
      <c r="V243" s="770" t="s">
        <v>1270</v>
      </c>
      <c r="W243" s="802" t="s">
        <v>2051</v>
      </c>
      <c r="X243" s="781">
        <v>18</v>
      </c>
      <c r="Y243" s="766" t="s">
        <v>1130</v>
      </c>
      <c r="Z243" s="764"/>
    </row>
    <row r="244" spans="20:26" ht="15" customHeight="1" x14ac:dyDescent="0.2">
      <c r="T244" s="885" t="s">
        <v>804</v>
      </c>
      <c r="U244" s="772" t="s">
        <v>2175</v>
      </c>
      <c r="V244" s="770" t="s">
        <v>1270</v>
      </c>
      <c r="W244" s="802" t="s">
        <v>2052</v>
      </c>
      <c r="X244" s="781">
        <v>18</v>
      </c>
      <c r="Y244" s="766" t="s">
        <v>1130</v>
      </c>
      <c r="Z244" s="764"/>
    </row>
    <row r="245" spans="20:26" ht="15" customHeight="1" x14ac:dyDescent="0.2">
      <c r="T245" s="885" t="s">
        <v>805</v>
      </c>
      <c r="U245" s="772" t="s">
        <v>2176</v>
      </c>
      <c r="V245" s="770" t="s">
        <v>1270</v>
      </c>
      <c r="W245" s="802" t="s">
        <v>2053</v>
      </c>
      <c r="X245" s="781">
        <v>18</v>
      </c>
      <c r="Y245" s="766" t="s">
        <v>1130</v>
      </c>
      <c r="Z245" s="764"/>
    </row>
    <row r="246" spans="20:26" ht="15" customHeight="1" x14ac:dyDescent="0.2">
      <c r="T246" s="885" t="s">
        <v>806</v>
      </c>
      <c r="U246" s="772" t="s">
        <v>2177</v>
      </c>
      <c r="V246" s="770" t="s">
        <v>1270</v>
      </c>
      <c r="W246" s="802" t="s">
        <v>2054</v>
      </c>
      <c r="X246" s="781">
        <v>18</v>
      </c>
      <c r="Y246" s="766" t="s">
        <v>1130</v>
      </c>
      <c r="Z246" s="764"/>
    </row>
    <row r="247" spans="20:26" ht="15" customHeight="1" x14ac:dyDescent="0.2">
      <c r="T247" s="885" t="s">
        <v>807</v>
      </c>
      <c r="U247" s="772" t="s">
        <v>2178</v>
      </c>
      <c r="V247" s="770" t="s">
        <v>1270</v>
      </c>
      <c r="W247" s="802" t="s">
        <v>2061</v>
      </c>
      <c r="X247" s="781">
        <v>18</v>
      </c>
      <c r="Y247" s="766" t="s">
        <v>1130</v>
      </c>
      <c r="Z247" s="949" t="s">
        <v>1828</v>
      </c>
    </row>
    <row r="248" spans="20:26" ht="15" customHeight="1" x14ac:dyDescent="0.2">
      <c r="T248" s="885" t="s">
        <v>808</v>
      </c>
      <c r="U248" s="630" t="s">
        <v>999</v>
      </c>
      <c r="V248" s="630" t="s">
        <v>1275</v>
      </c>
      <c r="W248" s="630" t="s">
        <v>1995</v>
      </c>
      <c r="X248" s="781">
        <v>11.2</v>
      </c>
      <c r="Y248" s="630" t="s">
        <v>1000</v>
      </c>
      <c r="Z248" s="785"/>
    </row>
    <row r="249" spans="20:26" ht="15" customHeight="1" x14ac:dyDescent="0.2">
      <c r="T249" s="764"/>
      <c r="U249" s="770"/>
      <c r="V249" s="770"/>
      <c r="W249" s="770"/>
      <c r="X249" s="771"/>
      <c r="Y249" s="770"/>
      <c r="Z249" s="785"/>
    </row>
    <row r="250" spans="20:26" ht="15" customHeight="1" x14ac:dyDescent="0.2">
      <c r="Z250" s="727"/>
    </row>
    <row r="251" spans="20:26" ht="15" customHeight="1" x14ac:dyDescent="0.2">
      <c r="Z251" s="728"/>
    </row>
    <row r="252" spans="20:26" ht="15" customHeight="1" x14ac:dyDescent="0.2">
      <c r="Z252" s="728"/>
    </row>
    <row r="253" spans="20:26" ht="15" customHeight="1" x14ac:dyDescent="0.2">
      <c r="Z253" s="727"/>
    </row>
    <row r="254" spans="20:26" ht="15" customHeight="1" x14ac:dyDescent="0.2"/>
    <row r="255" spans="20:26" ht="15" customHeight="1" x14ac:dyDescent="0.2"/>
    <row r="256" spans="20:26" ht="15" customHeight="1" x14ac:dyDescent="0.2"/>
    <row r="257" ht="15" customHeight="1" x14ac:dyDescent="0.2"/>
    <row r="258" ht="15" customHeight="1" x14ac:dyDescent="0.2"/>
    <row r="259" ht="15" customHeight="1" x14ac:dyDescent="0.2"/>
    <row r="260" ht="15" customHeight="1" x14ac:dyDescent="0.2"/>
    <row r="261" ht="15" customHeight="1" x14ac:dyDescent="0.2"/>
    <row r="262" ht="15" customHeight="1" x14ac:dyDescent="0.2"/>
    <row r="263" ht="15" customHeight="1" x14ac:dyDescent="0.2"/>
    <row r="264" ht="15" customHeight="1" x14ac:dyDescent="0.2"/>
    <row r="265" ht="15" customHeight="1" x14ac:dyDescent="0.2"/>
    <row r="266" ht="15" customHeight="1" x14ac:dyDescent="0.2"/>
    <row r="267" ht="15" customHeight="1" x14ac:dyDescent="0.2"/>
    <row r="268" ht="15" customHeight="1" x14ac:dyDescent="0.2"/>
    <row r="269" ht="15" customHeight="1" x14ac:dyDescent="0.2"/>
    <row r="270" ht="15" customHeight="1" x14ac:dyDescent="0.2"/>
    <row r="271" ht="15" customHeight="1" x14ac:dyDescent="0.2"/>
    <row r="272" ht="15" customHeight="1" x14ac:dyDescent="0.2"/>
    <row r="273" spans="26:26" ht="15" customHeight="1" x14ac:dyDescent="0.2"/>
    <row r="274" spans="26:26" ht="15" customHeight="1" x14ac:dyDescent="0.2"/>
    <row r="275" spans="26:26" ht="15" customHeight="1" x14ac:dyDescent="0.2"/>
    <row r="276" spans="26:26" ht="15" customHeight="1" x14ac:dyDescent="0.2"/>
    <row r="277" spans="26:26" ht="15" customHeight="1" x14ac:dyDescent="0.2"/>
    <row r="278" spans="26:26" ht="15" customHeight="1" x14ac:dyDescent="0.2"/>
    <row r="279" spans="26:26" ht="15" customHeight="1" x14ac:dyDescent="0.2"/>
    <row r="280" spans="26:26" ht="15" customHeight="1" x14ac:dyDescent="0.2"/>
    <row r="281" spans="26:26" ht="15" customHeight="1" x14ac:dyDescent="0.2"/>
    <row r="282" spans="26:26" ht="15" customHeight="1" x14ac:dyDescent="0.2"/>
    <row r="283" spans="26:26" ht="15" customHeight="1" x14ac:dyDescent="0.2">
      <c r="Z283" s="728"/>
    </row>
    <row r="284" spans="26:26" ht="15" customHeight="1" x14ac:dyDescent="0.2">
      <c r="Z284" s="728"/>
    </row>
    <row r="285" spans="26:26" ht="15" customHeight="1" x14ac:dyDescent="0.2">
      <c r="Z285" s="728"/>
    </row>
    <row r="286" spans="26:26" ht="15" customHeight="1" x14ac:dyDescent="0.2">
      <c r="Z286" s="728"/>
    </row>
    <row r="287" spans="26:26" ht="15" customHeight="1" x14ac:dyDescent="0.2">
      <c r="Z287" s="728"/>
    </row>
    <row r="288" spans="26:26" ht="15" customHeight="1" x14ac:dyDescent="0.2">
      <c r="Z288" s="728"/>
    </row>
    <row r="289" spans="26:26" ht="15" customHeight="1" x14ac:dyDescent="0.2">
      <c r="Z289" s="728"/>
    </row>
    <row r="290" spans="26:26" ht="15" customHeight="1" x14ac:dyDescent="0.2"/>
    <row r="291" spans="26:26" ht="15" customHeight="1" x14ac:dyDescent="0.2">
      <c r="Z291" s="727"/>
    </row>
    <row r="292" spans="26:26" ht="15" customHeight="1" x14ac:dyDescent="0.2">
      <c r="Z292" s="727"/>
    </row>
    <row r="293" spans="26:26" ht="15" customHeight="1" x14ac:dyDescent="0.2">
      <c r="Z293" s="727"/>
    </row>
    <row r="294" spans="26:26" ht="15" customHeight="1" x14ac:dyDescent="0.2">
      <c r="Z294" s="727"/>
    </row>
    <row r="295" spans="26:26" ht="15" customHeight="1" x14ac:dyDescent="0.2">
      <c r="Z295" s="727"/>
    </row>
    <row r="296" spans="26:26" ht="15" customHeight="1" x14ac:dyDescent="0.2">
      <c r="Z296" s="727"/>
    </row>
    <row r="297" spans="26:26" ht="15" customHeight="1" x14ac:dyDescent="0.2"/>
    <row r="298" spans="26:26" ht="15" customHeight="1" x14ac:dyDescent="0.2"/>
    <row r="299" spans="26:26" ht="15" customHeight="1" x14ac:dyDescent="0.2"/>
    <row r="300" spans="26:26" ht="15" customHeight="1" x14ac:dyDescent="0.2"/>
    <row r="301" spans="26:26" ht="15" customHeight="1" x14ac:dyDescent="0.2"/>
    <row r="302" spans="26:26" ht="15" customHeight="1" x14ac:dyDescent="0.2"/>
    <row r="303" spans="26:26" ht="15" customHeight="1" x14ac:dyDescent="0.2"/>
    <row r="304" spans="26:26" ht="15" customHeight="1" x14ac:dyDescent="0.2"/>
    <row r="305" spans="26:26" ht="15" customHeight="1" x14ac:dyDescent="0.2"/>
    <row r="306" spans="26:26" ht="15" customHeight="1" x14ac:dyDescent="0.2"/>
    <row r="307" spans="26:26" ht="15" customHeight="1" x14ac:dyDescent="0.2"/>
    <row r="308" spans="26:26" ht="15" customHeight="1" x14ac:dyDescent="0.2"/>
    <row r="309" spans="26:26" ht="15" customHeight="1" x14ac:dyDescent="0.2"/>
    <row r="310" spans="26:26" ht="15" customHeight="1" x14ac:dyDescent="0.2"/>
    <row r="311" spans="26:26" ht="15" customHeight="1" x14ac:dyDescent="0.2"/>
    <row r="312" spans="26:26" ht="15" customHeight="1" x14ac:dyDescent="0.2"/>
    <row r="313" spans="26:26" ht="15" customHeight="1" x14ac:dyDescent="0.2"/>
    <row r="314" spans="26:26" ht="15" customHeight="1" x14ac:dyDescent="0.2"/>
    <row r="315" spans="26:26" ht="15" customHeight="1" x14ac:dyDescent="0.2"/>
    <row r="316" spans="26:26" ht="15" customHeight="1" x14ac:dyDescent="0.2">
      <c r="Z316" s="728"/>
    </row>
    <row r="317" spans="26:26" ht="15" customHeight="1" x14ac:dyDescent="0.2">
      <c r="Z317" s="727"/>
    </row>
    <row r="318" spans="26:26" ht="15" customHeight="1" x14ac:dyDescent="0.2">
      <c r="Z318" s="727"/>
    </row>
    <row r="319" spans="26:26" ht="15" customHeight="1" x14ac:dyDescent="0.2">
      <c r="Z319" s="728"/>
    </row>
    <row r="320" spans="26:26" ht="15" customHeight="1" x14ac:dyDescent="0.2"/>
    <row r="321" spans="26:29" ht="15" customHeight="1" x14ac:dyDescent="0.2"/>
    <row r="322" spans="26:29" ht="15" customHeight="1" x14ac:dyDescent="0.2"/>
    <row r="323" spans="26:29" ht="15" customHeight="1" x14ac:dyDescent="0.2"/>
    <row r="324" spans="26:29" ht="15" customHeight="1" x14ac:dyDescent="0.2">
      <c r="Z324" s="728"/>
    </row>
    <row r="325" spans="26:29" ht="15" customHeight="1" x14ac:dyDescent="0.2">
      <c r="Z325" s="728"/>
    </row>
    <row r="326" spans="26:29" ht="15" customHeight="1" x14ac:dyDescent="0.2">
      <c r="Z326" s="727"/>
    </row>
    <row r="327" spans="26:29" ht="15" customHeight="1" x14ac:dyDescent="0.2">
      <c r="Z327" s="728"/>
    </row>
    <row r="328" spans="26:29" ht="15" customHeight="1" x14ac:dyDescent="0.2"/>
    <row r="329" spans="26:29" ht="15" customHeight="1" x14ac:dyDescent="0.2"/>
    <row r="330" spans="26:29" ht="15" customHeight="1" x14ac:dyDescent="0.2"/>
    <row r="331" spans="26:29" ht="15" customHeight="1" x14ac:dyDescent="0.2"/>
    <row r="332" spans="26:29" ht="15" customHeight="1" x14ac:dyDescent="0.2">
      <c r="Z332" s="727"/>
    </row>
    <row r="333" spans="26:29" ht="15" customHeight="1" x14ac:dyDescent="0.2">
      <c r="Z333" s="727"/>
    </row>
    <row r="334" spans="26:29" ht="15" customHeight="1" x14ac:dyDescent="0.2">
      <c r="Z334" s="727"/>
    </row>
    <row r="335" spans="26:29" ht="15" customHeight="1" x14ac:dyDescent="0.2">
      <c r="Z335" s="670"/>
      <c r="AA335" s="726"/>
      <c r="AB335" s="726"/>
      <c r="AC335" s="726"/>
    </row>
    <row r="336" spans="26:29" ht="15" customHeight="1" x14ac:dyDescent="0.2">
      <c r="Z336" s="726"/>
    </row>
    <row r="337" spans="26:26" ht="15" customHeight="1" x14ac:dyDescent="0.2"/>
    <row r="338" spans="26:26" ht="15" customHeight="1" x14ac:dyDescent="0.2"/>
    <row r="339" spans="26:26" ht="15" customHeight="1" x14ac:dyDescent="0.2"/>
    <row r="340" spans="26:26" ht="15" customHeight="1" x14ac:dyDescent="0.2"/>
    <row r="341" spans="26:26" ht="15" customHeight="1" x14ac:dyDescent="0.2"/>
    <row r="342" spans="26:26" ht="15" customHeight="1" x14ac:dyDescent="0.2"/>
    <row r="343" spans="26:26" ht="15" customHeight="1" x14ac:dyDescent="0.2"/>
    <row r="344" spans="26:26" ht="15" customHeight="1" x14ac:dyDescent="0.2"/>
    <row r="345" spans="26:26" ht="15" customHeight="1" x14ac:dyDescent="0.2"/>
    <row r="346" spans="26:26" ht="15" customHeight="1" x14ac:dyDescent="0.2"/>
    <row r="347" spans="26:26" ht="15" customHeight="1" x14ac:dyDescent="0.2"/>
    <row r="348" spans="26:26" ht="15" customHeight="1" x14ac:dyDescent="0.2"/>
    <row r="349" spans="26:26" ht="15" customHeight="1" x14ac:dyDescent="0.2"/>
    <row r="350" spans="26:26" ht="15" customHeight="1" x14ac:dyDescent="0.2"/>
    <row r="351" spans="26:26" ht="15" customHeight="1" x14ac:dyDescent="0.2"/>
    <row r="352" spans="26:26" ht="15" customHeight="1" x14ac:dyDescent="0.2">
      <c r="Z352" s="727"/>
    </row>
    <row r="353" ht="15" customHeight="1" x14ac:dyDescent="0.2"/>
    <row r="354" ht="15" customHeight="1" x14ac:dyDescent="0.2"/>
    <row r="355" ht="15" customHeight="1" x14ac:dyDescent="0.2"/>
    <row r="356" ht="15" customHeight="1" x14ac:dyDescent="0.2"/>
    <row r="357" ht="15" customHeight="1" x14ac:dyDescent="0.2"/>
    <row r="358" ht="15" customHeight="1" x14ac:dyDescent="0.2"/>
    <row r="359" ht="15" customHeight="1" x14ac:dyDescent="0.2"/>
    <row r="360" ht="15" customHeight="1" x14ac:dyDescent="0.2"/>
    <row r="361" ht="15" customHeight="1" x14ac:dyDescent="0.2"/>
    <row r="362" ht="15" customHeight="1" x14ac:dyDescent="0.2"/>
    <row r="363" ht="15" customHeight="1" x14ac:dyDescent="0.2"/>
    <row r="364" ht="15" customHeight="1" x14ac:dyDescent="0.2"/>
  </sheetData>
  <mergeCells count="160">
    <mergeCell ref="F22:K22"/>
    <mergeCell ref="D3:F3"/>
    <mergeCell ref="C25:D25"/>
    <mergeCell ref="B8:F8"/>
    <mergeCell ref="B22:D22"/>
    <mergeCell ref="F25:G25"/>
    <mergeCell ref="D4:F4"/>
    <mergeCell ref="C23:D23"/>
    <mergeCell ref="I25:J25"/>
    <mergeCell ref="M2:R2"/>
    <mergeCell ref="H2:K2"/>
    <mergeCell ref="H3:K3"/>
    <mergeCell ref="B39:R39"/>
    <mergeCell ref="C24:D24"/>
    <mergeCell ref="B32:C32"/>
    <mergeCell ref="B33:C33"/>
    <mergeCell ref="B29:D29"/>
    <mergeCell ref="B2:F2"/>
    <mergeCell ref="D6:F6"/>
    <mergeCell ref="B28:C28"/>
    <mergeCell ref="H5:J5"/>
    <mergeCell ref="F23:G23"/>
    <mergeCell ref="F24:G24"/>
    <mergeCell ref="B26:C26"/>
    <mergeCell ref="I23:J23"/>
    <mergeCell ref="I24:J24"/>
    <mergeCell ref="D5:F5"/>
    <mergeCell ref="D7:F7"/>
    <mergeCell ref="B10:F10"/>
    <mergeCell ref="B27:C27"/>
    <mergeCell ref="I37:J37"/>
    <mergeCell ref="Q4:R4"/>
    <mergeCell ref="Q5:R5"/>
    <mergeCell ref="P40:R40"/>
    <mergeCell ref="N28:R29"/>
    <mergeCell ref="F26:J26"/>
    <mergeCell ref="F37:G37"/>
    <mergeCell ref="I36:J36"/>
    <mergeCell ref="G30:H30"/>
    <mergeCell ref="G31:H31"/>
    <mergeCell ref="F32:G32"/>
    <mergeCell ref="I30:K30"/>
    <mergeCell ref="I31:K31"/>
    <mergeCell ref="I32:J32"/>
    <mergeCell ref="I33:J33"/>
    <mergeCell ref="K40:L40"/>
    <mergeCell ref="F29:K29"/>
    <mergeCell ref="F33:G33"/>
    <mergeCell ref="I34:J34"/>
    <mergeCell ref="D40:H40"/>
    <mergeCell ref="F34:G34"/>
    <mergeCell ref="M31:O31"/>
    <mergeCell ref="Q26:R26"/>
    <mergeCell ref="F36:G36"/>
    <mergeCell ref="M32:O32"/>
    <mergeCell ref="I35:J35"/>
    <mergeCell ref="I46:J46"/>
    <mergeCell ref="K44:L44"/>
    <mergeCell ref="I43:J43"/>
    <mergeCell ref="I44:J44"/>
    <mergeCell ref="I45:J45"/>
    <mergeCell ref="K45:L45"/>
    <mergeCell ref="K43:L43"/>
    <mergeCell ref="B46:C46"/>
    <mergeCell ref="D45:H45"/>
    <mergeCell ref="D46:H46"/>
    <mergeCell ref="B45:C45"/>
    <mergeCell ref="B43:C43"/>
    <mergeCell ref="B34:C34"/>
    <mergeCell ref="B44:C44"/>
    <mergeCell ref="I41:J41"/>
    <mergeCell ref="I42:J42"/>
    <mergeCell ref="D44:H44"/>
    <mergeCell ref="I40:J40"/>
    <mergeCell ref="B40:C40"/>
    <mergeCell ref="D41:H41"/>
    <mergeCell ref="D42:H42"/>
    <mergeCell ref="D43:H43"/>
    <mergeCell ref="B35:C35"/>
    <mergeCell ref="F35:G35"/>
    <mergeCell ref="P55:R55"/>
    <mergeCell ref="P45:R45"/>
    <mergeCell ref="P46:R46"/>
    <mergeCell ref="P50:R50"/>
    <mergeCell ref="P51:R51"/>
    <mergeCell ref="P52:R52"/>
    <mergeCell ref="P54:R54"/>
    <mergeCell ref="L54:N54"/>
    <mergeCell ref="L51:N51"/>
    <mergeCell ref="L52:N52"/>
    <mergeCell ref="L55:N55"/>
    <mergeCell ref="P41:R41"/>
    <mergeCell ref="P42:R42"/>
    <mergeCell ref="P43:R43"/>
    <mergeCell ref="P44:R44"/>
    <mergeCell ref="K46:L46"/>
    <mergeCell ref="K41:L41"/>
    <mergeCell ref="K42:L42"/>
    <mergeCell ref="G52:H52"/>
    <mergeCell ref="L53:N53"/>
    <mergeCell ref="L48:R48"/>
    <mergeCell ref="L49:N49"/>
    <mergeCell ref="P49:R49"/>
    <mergeCell ref="P53:R53"/>
    <mergeCell ref="B48:I48"/>
    <mergeCell ref="B49:C49"/>
    <mergeCell ref="B50:C50"/>
    <mergeCell ref="B51:C51"/>
    <mergeCell ref="B52:C52"/>
    <mergeCell ref="G49:H49"/>
    <mergeCell ref="G50:H50"/>
    <mergeCell ref="G51:H51"/>
    <mergeCell ref="L50:N50"/>
    <mergeCell ref="B41:C41"/>
    <mergeCell ref="B42:C42"/>
    <mergeCell ref="Q10:R10"/>
    <mergeCell ref="Q9:R9"/>
    <mergeCell ref="Q8:R8"/>
    <mergeCell ref="Q25:R25"/>
    <mergeCell ref="Q24:R24"/>
    <mergeCell ref="Q23:R23"/>
    <mergeCell ref="Q22:R22"/>
    <mergeCell ref="Q21:R21"/>
    <mergeCell ref="Q20:R20"/>
    <mergeCell ref="Q19:R19"/>
    <mergeCell ref="Q18:R18"/>
    <mergeCell ref="Q17:R17"/>
    <mergeCell ref="M13:O13"/>
    <mergeCell ref="M12:O12"/>
    <mergeCell ref="M11:O11"/>
    <mergeCell ref="Q16:R16"/>
    <mergeCell ref="Q15:R15"/>
    <mergeCell ref="Q14:R14"/>
    <mergeCell ref="Q13:R13"/>
    <mergeCell ref="Q12:R12"/>
    <mergeCell ref="Q11:R11"/>
    <mergeCell ref="M10:O10"/>
    <mergeCell ref="M9:O9"/>
    <mergeCell ref="M8:O8"/>
    <mergeCell ref="Q7:R7"/>
    <mergeCell ref="Q6:R6"/>
    <mergeCell ref="Q3:R3"/>
    <mergeCell ref="M27:O27"/>
    <mergeCell ref="M26:O26"/>
    <mergeCell ref="M25:O25"/>
    <mergeCell ref="M24:O24"/>
    <mergeCell ref="M23:O23"/>
    <mergeCell ref="M22:O22"/>
    <mergeCell ref="M21:O21"/>
    <mergeCell ref="M20:O20"/>
    <mergeCell ref="M19:O19"/>
    <mergeCell ref="M18:O18"/>
    <mergeCell ref="M17:O17"/>
    <mergeCell ref="M16:O16"/>
    <mergeCell ref="M15:O15"/>
    <mergeCell ref="M14:O14"/>
    <mergeCell ref="M7:O7"/>
    <mergeCell ref="M6:O6"/>
    <mergeCell ref="M5:O5"/>
    <mergeCell ref="M4:O4"/>
  </mergeCells>
  <phoneticPr fontId="16" type="noConversion"/>
  <conditionalFormatting sqref="Q4:Q26">
    <cfRule type="cellIs" dxfId="177" priority="1" stopIfTrue="1" operator="equal">
      <formula>"ENTER"</formula>
    </cfRule>
  </conditionalFormatting>
  <printOptions horizontalCentered="1"/>
  <pageMargins left="0.75" right="0.75" top="1" bottom="1" header="0.5" footer="0.5"/>
  <pageSetup scale="56" orientation="landscape" r:id="rId1"/>
  <headerFooter alignWithMargins="0"/>
  <rowBreaks count="1" manualBreakCount="1">
    <brk id="56" max="25" man="1"/>
  </rowBreaks>
  <colBreaks count="1" manualBreakCount="1">
    <brk id="19" max="247" man="1"/>
  </colBreaks>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indexed="45"/>
    <pageSetUpPr fitToPage="1"/>
  </sheetPr>
  <dimension ref="A1:BC8"/>
  <sheetViews>
    <sheetView zoomScale="75" workbookViewId="0">
      <pane xSplit="2" topLeftCell="C1" activePane="topRight" state="frozen"/>
      <selection activeCell="C9" sqref="C9"/>
      <selection pane="topRight" activeCell="C10" sqref="C10"/>
      <extLst>
        <ext xmlns:xlsdti="http://schemas.microsoft.com/office/spreadsheetml/2023/showDataTypeIcons" uri="{77bfe23e-c014-4d31-8a63-9c772dbf06b6}">
          <xlsdti:showDataTypeIcons visible="0"/>
        </ext>
      </extLst>
    </sheetView>
  </sheetViews>
  <sheetFormatPr defaultRowHeight="12.75" x14ac:dyDescent="0.2"/>
  <cols>
    <col min="1" max="1" width="45.7109375" customWidth="1"/>
    <col min="2" max="2" width="20.7109375" customWidth="1"/>
    <col min="3" max="3" width="32.5703125" customWidth="1"/>
    <col min="4" max="4" width="54.85546875" customWidth="1"/>
    <col min="5" max="5" width="41.7109375" customWidth="1"/>
    <col min="6" max="6" width="29.28515625" customWidth="1"/>
    <col min="7" max="7" width="13.5703125" customWidth="1"/>
    <col min="8" max="8" width="11" customWidth="1"/>
    <col min="9" max="9" width="35.28515625" customWidth="1"/>
    <col min="10" max="10" width="14.7109375" customWidth="1"/>
    <col min="11" max="11" width="16.7109375" customWidth="1"/>
    <col min="12" max="12" width="17.7109375" customWidth="1"/>
    <col min="13" max="13" width="13.5703125" customWidth="1"/>
    <col min="14" max="14" width="26.5703125" customWidth="1"/>
    <col min="15" max="16" width="13.5703125" customWidth="1"/>
    <col min="17" max="17" width="33.140625" customWidth="1"/>
    <col min="18" max="18" width="23.7109375" customWidth="1"/>
    <col min="19" max="19" width="31.140625" customWidth="1"/>
    <col min="20" max="20" width="30.7109375" customWidth="1"/>
    <col min="21" max="21" width="14.85546875" customWidth="1"/>
    <col min="22" max="22" width="23.140625" customWidth="1"/>
    <col min="23" max="23" width="11.140625" customWidth="1"/>
    <col min="24" max="24" width="54.5703125" customWidth="1"/>
    <col min="25" max="25" width="13.5703125" customWidth="1"/>
    <col min="26" max="26" width="10.42578125" customWidth="1"/>
    <col min="27" max="27" width="21.28515625" customWidth="1"/>
    <col min="28" max="29" width="13.5703125" customWidth="1"/>
    <col min="30" max="30" width="17.28515625" customWidth="1"/>
    <col min="31" max="31" width="14.140625" customWidth="1"/>
    <col min="32" max="32" width="14.85546875" customWidth="1"/>
    <col min="33" max="33" width="27.42578125" customWidth="1"/>
    <col min="34" max="34" width="14.5703125" customWidth="1"/>
    <col min="35" max="35" width="13.5703125" customWidth="1"/>
    <col min="36" max="36" width="14.7109375" customWidth="1"/>
    <col min="37" max="37" width="20" customWidth="1"/>
    <col min="38" max="41" width="13.5703125" customWidth="1"/>
    <col min="42" max="42" width="15" customWidth="1"/>
    <col min="43" max="43" width="16.5703125" customWidth="1"/>
    <col min="44" max="44" width="16.7109375" customWidth="1"/>
    <col min="45" max="45" width="17.7109375" customWidth="1"/>
    <col min="46" max="46" width="21.85546875" customWidth="1"/>
    <col min="47" max="51" width="13.5703125" customWidth="1"/>
    <col min="52" max="52" width="17.28515625" customWidth="1"/>
    <col min="53" max="55" width="17.85546875" customWidth="1"/>
  </cols>
  <sheetData>
    <row r="1" spans="1:55" s="6" customFormat="1" ht="12.75" customHeight="1" x14ac:dyDescent="0.2">
      <c r="A1" s="811" t="s">
        <v>1557</v>
      </c>
      <c r="B1" s="812"/>
      <c r="C1" s="812"/>
      <c r="D1" s="812"/>
      <c r="E1" s="813" t="s">
        <v>1558</v>
      </c>
      <c r="F1" s="812"/>
      <c r="G1" s="813" t="s">
        <v>1559</v>
      </c>
      <c r="H1" s="813" t="s">
        <v>1559</v>
      </c>
      <c r="I1" s="812"/>
      <c r="J1" s="813" t="s">
        <v>1559</v>
      </c>
      <c r="K1" s="813" t="s">
        <v>1558</v>
      </c>
      <c r="L1" s="812"/>
      <c r="M1" s="812"/>
      <c r="N1" s="812"/>
      <c r="O1" s="813" t="s">
        <v>1559</v>
      </c>
      <c r="P1" s="813" t="s">
        <v>1559</v>
      </c>
      <c r="Q1" s="812"/>
      <c r="R1" s="813" t="s">
        <v>1559</v>
      </c>
      <c r="S1" s="812"/>
      <c r="T1" s="812"/>
      <c r="U1" s="812"/>
      <c r="V1" s="812"/>
      <c r="W1" s="812"/>
      <c r="X1" s="812"/>
      <c r="Y1" s="813" t="s">
        <v>1559</v>
      </c>
      <c r="Z1" s="812"/>
      <c r="AA1" s="813" t="s">
        <v>1559</v>
      </c>
      <c r="AB1" s="813" t="s">
        <v>1559</v>
      </c>
      <c r="AC1" s="813" t="s">
        <v>1559</v>
      </c>
      <c r="AD1" s="813" t="s">
        <v>1559</v>
      </c>
      <c r="AE1" s="813" t="s">
        <v>1559</v>
      </c>
      <c r="AF1" s="813" t="s">
        <v>1559</v>
      </c>
      <c r="AG1" s="812"/>
      <c r="AH1" s="813" t="s">
        <v>1559</v>
      </c>
      <c r="AI1" s="813" t="s">
        <v>1559</v>
      </c>
      <c r="AJ1" s="813" t="s">
        <v>1559</v>
      </c>
      <c r="AK1" s="813" t="s">
        <v>1559</v>
      </c>
      <c r="AL1" s="812"/>
      <c r="AM1" s="813" t="s">
        <v>1559</v>
      </c>
      <c r="AN1" s="813" t="s">
        <v>1559</v>
      </c>
      <c r="AO1" s="813" t="s">
        <v>1559</v>
      </c>
      <c r="AP1" s="813" t="s">
        <v>1559</v>
      </c>
      <c r="AQ1" s="813" t="s">
        <v>1559</v>
      </c>
      <c r="AR1" s="813" t="s">
        <v>1559</v>
      </c>
      <c r="AS1" s="813" t="s">
        <v>1559</v>
      </c>
      <c r="AT1" s="813" t="s">
        <v>1559</v>
      </c>
      <c r="AU1" s="813" t="s">
        <v>1559</v>
      </c>
      <c r="AV1" s="813" t="s">
        <v>1559</v>
      </c>
      <c r="AW1" s="813" t="s">
        <v>1559</v>
      </c>
      <c r="AX1" s="813" t="s">
        <v>1559</v>
      </c>
      <c r="AY1" s="813" t="s">
        <v>1559</v>
      </c>
      <c r="AZ1" s="813" t="s">
        <v>1559</v>
      </c>
      <c r="BA1" s="813" t="s">
        <v>1559</v>
      </c>
      <c r="BB1" s="813" t="s">
        <v>1559</v>
      </c>
      <c r="BC1" s="813" t="s">
        <v>1559</v>
      </c>
    </row>
    <row r="2" spans="1:55" s="6" customFormat="1" ht="12.75" customHeight="1" x14ac:dyDescent="0.2">
      <c r="A2" s="811" t="s">
        <v>1560</v>
      </c>
      <c r="B2" s="814" t="s">
        <v>1561</v>
      </c>
      <c r="C2" s="815" t="s">
        <v>1561</v>
      </c>
      <c r="D2" s="815" t="s">
        <v>1561</v>
      </c>
      <c r="E2" s="815" t="s">
        <v>1561</v>
      </c>
      <c r="F2" s="815" t="s">
        <v>1561</v>
      </c>
      <c r="G2" s="815" t="s">
        <v>1561</v>
      </c>
      <c r="H2" s="815" t="s">
        <v>1561</v>
      </c>
      <c r="I2" s="815" t="s">
        <v>1561</v>
      </c>
      <c r="J2" s="815" t="s">
        <v>1561</v>
      </c>
      <c r="K2" s="815" t="s">
        <v>1561</v>
      </c>
      <c r="L2" s="815" t="s">
        <v>1561</v>
      </c>
      <c r="M2" s="815" t="s">
        <v>1561</v>
      </c>
      <c r="N2" s="815" t="s">
        <v>1561</v>
      </c>
      <c r="O2" s="815" t="s">
        <v>1561</v>
      </c>
      <c r="P2" s="815" t="s">
        <v>1561</v>
      </c>
      <c r="Q2" s="815" t="s">
        <v>1561</v>
      </c>
      <c r="R2" s="815" t="s">
        <v>1561</v>
      </c>
      <c r="S2" s="815" t="s">
        <v>1561</v>
      </c>
      <c r="T2" s="815" t="s">
        <v>1561</v>
      </c>
      <c r="U2" s="815" t="s">
        <v>1561</v>
      </c>
      <c r="V2" s="815" t="s">
        <v>1561</v>
      </c>
      <c r="W2" s="815" t="s">
        <v>1561</v>
      </c>
      <c r="X2" s="815" t="s">
        <v>1561</v>
      </c>
      <c r="Y2" s="815" t="s">
        <v>1561</v>
      </c>
      <c r="Z2" s="815" t="s">
        <v>1561</v>
      </c>
      <c r="AA2" s="815" t="s">
        <v>1561</v>
      </c>
      <c r="AB2" s="815" t="s">
        <v>1561</v>
      </c>
      <c r="AC2" s="815" t="s">
        <v>1561</v>
      </c>
      <c r="AD2" s="815" t="s">
        <v>1561</v>
      </c>
      <c r="AE2" s="815" t="s">
        <v>1561</v>
      </c>
      <c r="AF2" s="815" t="s">
        <v>1561</v>
      </c>
      <c r="AG2" s="815" t="s">
        <v>1561</v>
      </c>
      <c r="AH2" s="815" t="s">
        <v>1561</v>
      </c>
      <c r="AI2" s="815" t="s">
        <v>1561</v>
      </c>
      <c r="AJ2" s="815" t="s">
        <v>1561</v>
      </c>
      <c r="AK2" s="815" t="s">
        <v>1561</v>
      </c>
      <c r="AL2" s="815" t="s">
        <v>1561</v>
      </c>
      <c r="AM2" s="815" t="s">
        <v>1561</v>
      </c>
      <c r="AN2" s="815" t="s">
        <v>1561</v>
      </c>
      <c r="AO2" s="815" t="s">
        <v>1561</v>
      </c>
      <c r="AP2" s="815" t="s">
        <v>1561</v>
      </c>
      <c r="AQ2" s="815" t="s">
        <v>1561</v>
      </c>
      <c r="AR2" s="815" t="s">
        <v>1561</v>
      </c>
      <c r="AS2" s="815" t="s">
        <v>1561</v>
      </c>
      <c r="AT2" s="815" t="s">
        <v>1561</v>
      </c>
      <c r="AU2" s="815" t="s">
        <v>1561</v>
      </c>
      <c r="AV2" s="815" t="s">
        <v>1561</v>
      </c>
      <c r="AW2" s="815" t="s">
        <v>1561</v>
      </c>
      <c r="AX2" s="815" t="s">
        <v>1561</v>
      </c>
      <c r="AY2" s="815" t="s">
        <v>1561</v>
      </c>
      <c r="AZ2" s="815" t="s">
        <v>1561</v>
      </c>
      <c r="BA2" s="815" t="s">
        <v>1561</v>
      </c>
      <c r="BB2" s="815" t="s">
        <v>1561</v>
      </c>
      <c r="BC2" s="815" t="s">
        <v>1561</v>
      </c>
    </row>
    <row r="3" spans="1:55" s="6" customFormat="1" ht="12.75" customHeight="1" x14ac:dyDescent="0.2">
      <c r="A3" s="811" t="s">
        <v>1562</v>
      </c>
      <c r="B3" s="816" t="s">
        <v>1563</v>
      </c>
      <c r="C3" s="817" t="s">
        <v>1564</v>
      </c>
      <c r="D3" s="817" t="s">
        <v>1565</v>
      </c>
      <c r="E3" s="817" t="s">
        <v>1566</v>
      </c>
      <c r="F3" s="817" t="s">
        <v>1567</v>
      </c>
      <c r="G3" s="817" t="s">
        <v>1568</v>
      </c>
      <c r="H3" s="817" t="s">
        <v>1569</v>
      </c>
      <c r="I3" s="817" t="s">
        <v>1570</v>
      </c>
      <c r="J3" s="817" t="s">
        <v>1571</v>
      </c>
      <c r="K3" s="817" t="s">
        <v>1572</v>
      </c>
      <c r="L3" s="817" t="s">
        <v>1573</v>
      </c>
      <c r="M3" s="817" t="s">
        <v>1574</v>
      </c>
      <c r="N3" s="817" t="s">
        <v>1575</v>
      </c>
      <c r="O3" s="817" t="s">
        <v>1576</v>
      </c>
      <c r="P3" s="817" t="s">
        <v>1577</v>
      </c>
      <c r="Q3" s="817" t="s">
        <v>1578</v>
      </c>
      <c r="R3" s="817" t="s">
        <v>1579</v>
      </c>
      <c r="S3" s="817" t="s">
        <v>1580</v>
      </c>
      <c r="T3" s="817" t="s">
        <v>1581</v>
      </c>
      <c r="U3" s="817" t="s">
        <v>1582</v>
      </c>
      <c r="V3" s="817" t="s">
        <v>1583</v>
      </c>
      <c r="W3" s="817" t="s">
        <v>1584</v>
      </c>
      <c r="X3" s="817" t="s">
        <v>1585</v>
      </c>
      <c r="Y3" s="817" t="s">
        <v>1586</v>
      </c>
      <c r="Z3" s="817" t="s">
        <v>1587</v>
      </c>
      <c r="AA3" s="817" t="s">
        <v>1588</v>
      </c>
      <c r="AB3" s="817" t="s">
        <v>1589</v>
      </c>
      <c r="AC3" s="817" t="s">
        <v>1590</v>
      </c>
      <c r="AD3" s="817" t="s">
        <v>1591</v>
      </c>
      <c r="AE3" s="817" t="s">
        <v>1592</v>
      </c>
      <c r="AF3" s="817" t="s">
        <v>1593</v>
      </c>
      <c r="AG3" s="817" t="s">
        <v>1594</v>
      </c>
      <c r="AH3" s="817" t="s">
        <v>1595</v>
      </c>
      <c r="AI3" s="817" t="s">
        <v>1596</v>
      </c>
      <c r="AJ3" s="816" t="s">
        <v>1597</v>
      </c>
      <c r="AK3" s="817" t="s">
        <v>1598</v>
      </c>
      <c r="AL3" s="817" t="s">
        <v>1244</v>
      </c>
      <c r="AM3" s="817" t="s">
        <v>1599</v>
      </c>
      <c r="AN3" s="817" t="s">
        <v>1600</v>
      </c>
      <c r="AO3" s="817" t="s">
        <v>1601</v>
      </c>
      <c r="AP3" s="817" t="s">
        <v>1602</v>
      </c>
      <c r="AQ3" s="927" t="s">
        <v>1603</v>
      </c>
      <c r="AR3" s="817" t="s">
        <v>1604</v>
      </c>
      <c r="AS3" s="817" t="s">
        <v>1605</v>
      </c>
      <c r="AT3" s="817" t="s">
        <v>1606</v>
      </c>
      <c r="AU3" s="817" t="s">
        <v>1607</v>
      </c>
      <c r="AV3" s="817" t="s">
        <v>1608</v>
      </c>
      <c r="AW3" s="817" t="s">
        <v>1609</v>
      </c>
      <c r="AX3" s="817" t="s">
        <v>1610</v>
      </c>
      <c r="AY3" s="817" t="s">
        <v>1611</v>
      </c>
      <c r="AZ3" s="817" t="s">
        <v>1612</v>
      </c>
      <c r="BA3" s="817" t="s">
        <v>1613</v>
      </c>
      <c r="BB3" s="817" t="s">
        <v>1614</v>
      </c>
      <c r="BC3" s="817" t="s">
        <v>1615</v>
      </c>
    </row>
    <row r="4" spans="1:55" s="824" customFormat="1" ht="178.5" x14ac:dyDescent="0.2">
      <c r="A4" s="811" t="s">
        <v>1616</v>
      </c>
      <c r="B4" s="818" t="s">
        <v>1635</v>
      </c>
      <c r="C4" s="819" t="s">
        <v>1636</v>
      </c>
      <c r="D4" s="820" t="s">
        <v>281</v>
      </c>
      <c r="E4" s="943" t="s">
        <v>468</v>
      </c>
      <c r="F4" s="822" t="s">
        <v>1637</v>
      </c>
      <c r="G4" s="823"/>
      <c r="H4" s="823"/>
      <c r="I4" s="819" t="s">
        <v>1638</v>
      </c>
      <c r="J4" s="823"/>
      <c r="K4" s="821"/>
      <c r="L4" s="819"/>
      <c r="M4" s="819"/>
      <c r="N4" s="822" t="s">
        <v>1639</v>
      </c>
      <c r="O4" s="823"/>
      <c r="P4" s="821"/>
      <c r="Q4" s="822" t="s">
        <v>1640</v>
      </c>
      <c r="R4" s="823"/>
      <c r="S4" s="819"/>
      <c r="T4" s="822" t="s">
        <v>1641</v>
      </c>
      <c r="U4" s="819"/>
      <c r="V4" s="963"/>
      <c r="W4" s="819" t="s">
        <v>1642</v>
      </c>
      <c r="X4" s="820" t="s">
        <v>281</v>
      </c>
      <c r="Y4" s="823"/>
      <c r="Z4" s="819" t="s">
        <v>1643</v>
      </c>
      <c r="AA4" s="821"/>
      <c r="AB4" s="821"/>
      <c r="AC4" s="823"/>
      <c r="AD4" s="823"/>
      <c r="AE4" s="823"/>
      <c r="AF4" s="823"/>
      <c r="AG4" s="822" t="s">
        <v>571</v>
      </c>
      <c r="AH4" s="823"/>
      <c r="AI4" s="823"/>
      <c r="AJ4" s="823"/>
      <c r="AK4" s="823"/>
      <c r="AL4" s="867"/>
      <c r="AM4" s="823"/>
      <c r="AN4" s="823"/>
      <c r="AO4" s="823"/>
      <c r="AP4" s="823"/>
      <c r="AQ4" s="823"/>
      <c r="AR4" s="823"/>
      <c r="AS4" s="823"/>
      <c r="AT4" s="823"/>
      <c r="AU4" s="823"/>
      <c r="AV4" s="823"/>
      <c r="AW4" s="823"/>
      <c r="AX4" s="823"/>
      <c r="AY4" s="823"/>
      <c r="AZ4" s="823"/>
      <c r="BA4" s="823"/>
      <c r="BB4" s="823"/>
      <c r="BC4" s="823"/>
    </row>
    <row r="5" spans="1:55" s="6" customFormat="1" ht="132.75" customHeight="1" thickBot="1" x14ac:dyDescent="0.25">
      <c r="A5" s="811" t="s">
        <v>1644</v>
      </c>
      <c r="B5" s="825"/>
      <c r="C5" s="819" t="s">
        <v>1646</v>
      </c>
      <c r="D5" s="822" t="s">
        <v>1555</v>
      </c>
      <c r="E5" s="943"/>
      <c r="F5" s="822" t="s">
        <v>1647</v>
      </c>
      <c r="G5" s="826" t="s">
        <v>1806</v>
      </c>
      <c r="H5" s="826" t="s">
        <v>1806</v>
      </c>
      <c r="I5" s="822" t="s">
        <v>1649</v>
      </c>
      <c r="J5" s="826" t="s">
        <v>1806</v>
      </c>
      <c r="K5" s="821" t="s">
        <v>1648</v>
      </c>
      <c r="L5" s="819"/>
      <c r="M5" s="822" t="s">
        <v>1650</v>
      </c>
      <c r="N5" s="819"/>
      <c r="O5" s="826" t="s">
        <v>1806</v>
      </c>
      <c r="P5" s="826" t="s">
        <v>1806</v>
      </c>
      <c r="Q5" s="819"/>
      <c r="R5" s="826" t="s">
        <v>1806</v>
      </c>
      <c r="S5" s="827" t="s">
        <v>1651</v>
      </c>
      <c r="T5" s="819"/>
      <c r="U5" s="822" t="s">
        <v>1652</v>
      </c>
      <c r="V5" s="873"/>
      <c r="W5" s="819"/>
      <c r="X5" s="822" t="s">
        <v>1555</v>
      </c>
      <c r="Y5" s="826" t="s">
        <v>1806</v>
      </c>
      <c r="Z5" s="828"/>
      <c r="AA5" s="826" t="s">
        <v>1806</v>
      </c>
      <c r="AB5" s="826" t="s">
        <v>1806</v>
      </c>
      <c r="AC5" s="826" t="s">
        <v>1806</v>
      </c>
      <c r="AD5" s="826" t="s">
        <v>1806</v>
      </c>
      <c r="AE5" s="826" t="s">
        <v>1806</v>
      </c>
      <c r="AF5" s="826" t="s">
        <v>1806</v>
      </c>
      <c r="AG5" s="822" t="s">
        <v>570</v>
      </c>
      <c r="AH5" s="826" t="s">
        <v>1806</v>
      </c>
      <c r="AI5" s="826" t="s">
        <v>1806</v>
      </c>
      <c r="AJ5" s="826" t="s">
        <v>1806</v>
      </c>
      <c r="AK5" s="826" t="s">
        <v>1806</v>
      </c>
      <c r="AL5" s="822"/>
      <c r="AM5" s="826" t="s">
        <v>1806</v>
      </c>
      <c r="AN5" s="826" t="s">
        <v>1806</v>
      </c>
      <c r="AO5" s="826" t="s">
        <v>1806</v>
      </c>
      <c r="AP5" s="826" t="s">
        <v>1806</v>
      </c>
      <c r="AQ5" s="826" t="s">
        <v>1806</v>
      </c>
      <c r="AR5" s="826" t="s">
        <v>1806</v>
      </c>
      <c r="AS5" s="826" t="s">
        <v>1806</v>
      </c>
      <c r="AT5" s="826" t="s">
        <v>1806</v>
      </c>
      <c r="AU5" s="826" t="s">
        <v>1806</v>
      </c>
      <c r="AV5" s="826" t="s">
        <v>1806</v>
      </c>
      <c r="AW5" s="826" t="s">
        <v>1806</v>
      </c>
      <c r="AX5" s="826" t="s">
        <v>1806</v>
      </c>
      <c r="AY5" s="829" t="s">
        <v>1807</v>
      </c>
      <c r="AZ5" s="826" t="s">
        <v>1806</v>
      </c>
      <c r="BA5" s="826" t="s">
        <v>1806</v>
      </c>
      <c r="BB5" s="826" t="s">
        <v>1806</v>
      </c>
      <c r="BC5" s="826" t="s">
        <v>1806</v>
      </c>
    </row>
    <row r="6" spans="1:55" ht="54" customHeight="1" x14ac:dyDescent="0.2">
      <c r="A6" s="830" t="s">
        <v>1653</v>
      </c>
      <c r="B6" s="1006" t="s">
        <v>1654</v>
      </c>
      <c r="C6" s="1007" t="s">
        <v>1655</v>
      </c>
      <c r="D6" s="1007" t="s">
        <v>1656</v>
      </c>
      <c r="E6" s="1008" t="s">
        <v>1657</v>
      </c>
      <c r="F6" s="1006" t="s">
        <v>1658</v>
      </c>
      <c r="G6" s="1008" t="s">
        <v>1659</v>
      </c>
      <c r="H6" s="1008" t="s">
        <v>1660</v>
      </c>
      <c r="I6" s="1007" t="s">
        <v>1661</v>
      </c>
      <c r="J6" s="1009" t="s">
        <v>1662</v>
      </c>
      <c r="K6" s="1009" t="s">
        <v>1663</v>
      </c>
      <c r="L6" s="1006" t="s">
        <v>1664</v>
      </c>
      <c r="M6" s="1007" t="s">
        <v>1665</v>
      </c>
      <c r="N6" s="1007" t="s">
        <v>1666</v>
      </c>
      <c r="O6" s="1008" t="s">
        <v>1667</v>
      </c>
      <c r="P6" s="1008" t="s">
        <v>1668</v>
      </c>
      <c r="Q6" s="1007" t="s">
        <v>1669</v>
      </c>
      <c r="R6" s="1008" t="s">
        <v>1670</v>
      </c>
      <c r="S6" s="1007" t="s">
        <v>1671</v>
      </c>
      <c r="T6" s="1007" t="s">
        <v>1672</v>
      </c>
      <c r="U6" s="1007" t="s">
        <v>1673</v>
      </c>
      <c r="V6" s="1007" t="s">
        <v>1674</v>
      </c>
      <c r="W6" s="1007" t="s">
        <v>1675</v>
      </c>
      <c r="X6" s="1006" t="s">
        <v>1676</v>
      </c>
      <c r="Y6" s="1008" t="s">
        <v>1677</v>
      </c>
      <c r="Z6" s="1007" t="s">
        <v>1678</v>
      </c>
      <c r="AA6" s="1008" t="s">
        <v>1679</v>
      </c>
      <c r="AB6" s="1008" t="s">
        <v>1680</v>
      </c>
      <c r="AC6" s="1008" t="s">
        <v>1681</v>
      </c>
      <c r="AD6" s="1008" t="s">
        <v>1682</v>
      </c>
      <c r="AE6" s="1008" t="s">
        <v>1683</v>
      </c>
      <c r="AF6" s="1008" t="s">
        <v>1684</v>
      </c>
      <c r="AG6" s="1006" t="s">
        <v>1685</v>
      </c>
      <c r="AH6" s="1008" t="s">
        <v>1686</v>
      </c>
      <c r="AI6" s="1008" t="s">
        <v>1687</v>
      </c>
      <c r="AJ6" s="1008" t="s">
        <v>1688</v>
      </c>
      <c r="AK6" s="1009" t="s">
        <v>1689</v>
      </c>
      <c r="AL6" s="1006" t="s">
        <v>1690</v>
      </c>
      <c r="AM6" s="1008" t="s">
        <v>1691</v>
      </c>
      <c r="AN6" s="1009" t="s">
        <v>1717</v>
      </c>
      <c r="AO6" s="1008" t="s">
        <v>1718</v>
      </c>
      <c r="AP6" s="1008" t="s">
        <v>1719</v>
      </c>
      <c r="AQ6" s="1008" t="s">
        <v>1720</v>
      </c>
      <c r="AR6" s="1009" t="s">
        <v>1721</v>
      </c>
      <c r="AS6" s="1008" t="s">
        <v>1722</v>
      </c>
      <c r="AT6" s="1008" t="s">
        <v>1726</v>
      </c>
      <c r="AU6" s="1008" t="s">
        <v>1727</v>
      </c>
      <c r="AV6" s="1008" t="s">
        <v>1728</v>
      </c>
      <c r="AW6" s="1008" t="s">
        <v>1729</v>
      </c>
      <c r="AX6" s="1009" t="s">
        <v>1730</v>
      </c>
      <c r="AY6" s="1009" t="s">
        <v>1731</v>
      </c>
      <c r="AZ6" s="1008" t="s">
        <v>1732</v>
      </c>
      <c r="BA6" s="1009" t="s">
        <v>1733</v>
      </c>
      <c r="BB6" s="1009" t="s">
        <v>1734</v>
      </c>
      <c r="BC6" s="1009" t="s">
        <v>1735</v>
      </c>
    </row>
    <row r="7" spans="1:55" s="6" customFormat="1" ht="26.25" thickBot="1" x14ac:dyDescent="0.25">
      <c r="A7" s="831" t="s">
        <v>1808</v>
      </c>
      <c r="B7" s="1004" t="s">
        <v>1563</v>
      </c>
      <c r="C7" s="958" t="s">
        <v>1564</v>
      </c>
      <c r="D7" s="958" t="s">
        <v>1565</v>
      </c>
      <c r="E7" s="958" t="s">
        <v>1566</v>
      </c>
      <c r="F7" s="958" t="s">
        <v>1567</v>
      </c>
      <c r="G7" s="958" t="s">
        <v>1568</v>
      </c>
      <c r="H7" s="958" t="s">
        <v>1569</v>
      </c>
      <c r="I7" s="958" t="s">
        <v>1570</v>
      </c>
      <c r="J7" s="958" t="s">
        <v>1571</v>
      </c>
      <c r="K7" s="958" t="s">
        <v>1572</v>
      </c>
      <c r="L7" s="958" t="s">
        <v>1573</v>
      </c>
      <c r="M7" s="958" t="s">
        <v>1574</v>
      </c>
      <c r="N7" s="958" t="s">
        <v>1575</v>
      </c>
      <c r="O7" s="958" t="s">
        <v>1576</v>
      </c>
      <c r="P7" s="958" t="s">
        <v>1577</v>
      </c>
      <c r="Q7" s="958" t="s">
        <v>1578</v>
      </c>
      <c r="R7" s="958" t="s">
        <v>1579</v>
      </c>
      <c r="S7" s="958" t="s">
        <v>1580</v>
      </c>
      <c r="T7" s="958" t="s">
        <v>1581</v>
      </c>
      <c r="U7" s="958" t="s">
        <v>1582</v>
      </c>
      <c r="V7" s="958" t="s">
        <v>1583</v>
      </c>
      <c r="W7" s="958" t="s">
        <v>1584</v>
      </c>
      <c r="X7" s="958" t="s">
        <v>1585</v>
      </c>
      <c r="Y7" s="958" t="s">
        <v>1586</v>
      </c>
      <c r="Z7" s="958" t="s">
        <v>1587</v>
      </c>
      <c r="AA7" s="958" t="s">
        <v>1588</v>
      </c>
      <c r="AB7" s="958" t="s">
        <v>1589</v>
      </c>
      <c r="AC7" s="958" t="s">
        <v>1590</v>
      </c>
      <c r="AD7" s="958" t="s">
        <v>1591</v>
      </c>
      <c r="AE7" s="958" t="s">
        <v>1592</v>
      </c>
      <c r="AF7" s="958" t="s">
        <v>1593</v>
      </c>
      <c r="AG7" s="958" t="s">
        <v>1594</v>
      </c>
      <c r="AH7" s="958" t="s">
        <v>1595</v>
      </c>
      <c r="AI7" s="958" t="s">
        <v>1596</v>
      </c>
      <c r="AJ7" s="957" t="s">
        <v>1597</v>
      </c>
      <c r="AK7" s="958" t="s">
        <v>1598</v>
      </c>
      <c r="AL7" s="958" t="s">
        <v>1244</v>
      </c>
      <c r="AM7" s="958" t="s">
        <v>1599</v>
      </c>
      <c r="AN7" s="958" t="s">
        <v>1600</v>
      </c>
      <c r="AO7" s="958" t="s">
        <v>1601</v>
      </c>
      <c r="AP7" s="958" t="s">
        <v>1602</v>
      </c>
      <c r="AQ7" s="958" t="s">
        <v>1603</v>
      </c>
      <c r="AR7" s="958" t="s">
        <v>1604</v>
      </c>
      <c r="AS7" s="958" t="s">
        <v>1605</v>
      </c>
      <c r="AT7" s="958" t="s">
        <v>1606</v>
      </c>
      <c r="AU7" s="958" t="s">
        <v>1607</v>
      </c>
      <c r="AV7" s="958" t="s">
        <v>1608</v>
      </c>
      <c r="AW7" s="958" t="s">
        <v>1609</v>
      </c>
      <c r="AX7" s="958" t="s">
        <v>1610</v>
      </c>
      <c r="AY7" s="958" t="s">
        <v>1611</v>
      </c>
      <c r="AZ7" s="958" t="s">
        <v>1612</v>
      </c>
      <c r="BA7" s="958" t="s">
        <v>1613</v>
      </c>
      <c r="BB7" s="958" t="s">
        <v>1614</v>
      </c>
      <c r="BC7" s="1005" t="s">
        <v>1615</v>
      </c>
    </row>
    <row r="8" spans="1:55" x14ac:dyDescent="0.2">
      <c r="A8" s="832"/>
      <c r="B8" s="1010">
        <f>'Design Data'!C10</f>
        <v>0</v>
      </c>
      <c r="C8" s="1011" t="s">
        <v>1736</v>
      </c>
      <c r="D8" s="1011">
        <f>'Design Data'!S82</f>
        <v>0</v>
      </c>
      <c r="E8" s="1012">
        <f>'Design Data'!H16</f>
        <v>0</v>
      </c>
      <c r="F8" s="1011">
        <f>'Design Data'!S82</f>
        <v>0</v>
      </c>
      <c r="G8" s="1013" t="s">
        <v>74</v>
      </c>
      <c r="H8" s="1013" t="s">
        <v>74</v>
      </c>
      <c r="I8" s="1011" t="str">
        <f>LEFT('Design Data'!C10,2)</f>
        <v/>
      </c>
      <c r="J8" s="1013" t="s">
        <v>74</v>
      </c>
      <c r="K8" s="1014"/>
      <c r="L8" s="1011">
        <f>'Design Data'!S82</f>
        <v>0</v>
      </c>
      <c r="M8" s="1015">
        <f>'Design Data'!H14</f>
        <v>0</v>
      </c>
      <c r="N8" s="1011" t="str">
        <f>'Design Data'!Q16</f>
        <v/>
      </c>
      <c r="O8" s="1013" t="s">
        <v>74</v>
      </c>
      <c r="P8" s="1013" t="s">
        <v>74</v>
      </c>
      <c r="Q8" s="1016" t="e">
        <f>'Design Data'!Q14</f>
        <v>#N/A</v>
      </c>
      <c r="R8" s="1013" t="s">
        <v>74</v>
      </c>
      <c r="S8" s="1011" t="str">
        <f ca="1">t_rmks_dtl!B8</f>
        <v/>
      </c>
      <c r="T8" s="1011" t="s">
        <v>568</v>
      </c>
      <c r="U8" s="1017">
        <f>'Design Data'!H16</f>
        <v>0</v>
      </c>
      <c r="V8" s="1011">
        <f>'Design Data'!H10</f>
        <v>0</v>
      </c>
      <c r="W8" s="1018" t="s">
        <v>1736</v>
      </c>
      <c r="X8" s="1011">
        <f>'Design Data'!K16</f>
        <v>0</v>
      </c>
      <c r="Y8" s="1013" t="s">
        <v>74</v>
      </c>
      <c r="Z8" s="1019" t="s">
        <v>1737</v>
      </c>
      <c r="AA8" s="1013" t="s">
        <v>74</v>
      </c>
      <c r="AB8" s="1013" t="s">
        <v>74</v>
      </c>
      <c r="AC8" s="1013" t="s">
        <v>74</v>
      </c>
      <c r="AD8" s="1013" t="s">
        <v>74</v>
      </c>
      <c r="AE8" s="1013" t="s">
        <v>74</v>
      </c>
      <c r="AF8" s="1013" t="s">
        <v>74</v>
      </c>
      <c r="AG8" s="1020" t="s">
        <v>569</v>
      </c>
      <c r="AH8" s="1013" t="s">
        <v>74</v>
      </c>
      <c r="AI8" s="1013" t="s">
        <v>74</v>
      </c>
      <c r="AJ8" s="1013" t="s">
        <v>74</v>
      </c>
      <c r="AK8" s="1013" t="s">
        <v>74</v>
      </c>
      <c r="AL8" s="1011">
        <f>'Design Data'!Q12</f>
        <v>0</v>
      </c>
      <c r="AM8" s="1013" t="s">
        <v>74</v>
      </c>
      <c r="AN8" s="1013" t="s">
        <v>74</v>
      </c>
      <c r="AO8" s="1013" t="s">
        <v>74</v>
      </c>
      <c r="AP8" s="1013" t="s">
        <v>74</v>
      </c>
      <c r="AQ8" s="1021"/>
      <c r="AR8" s="1013" t="s">
        <v>74</v>
      </c>
      <c r="AS8" s="1013" t="s">
        <v>74</v>
      </c>
      <c r="AT8" s="1013" t="s">
        <v>74</v>
      </c>
      <c r="AU8" s="1013" t="s">
        <v>74</v>
      </c>
      <c r="AV8" s="1013" t="s">
        <v>74</v>
      </c>
      <c r="AW8" s="1013" t="s">
        <v>74</v>
      </c>
      <c r="AX8" s="1013" t="s">
        <v>74</v>
      </c>
      <c r="AY8" s="1014"/>
      <c r="AZ8" s="1013" t="s">
        <v>74</v>
      </c>
      <c r="BA8" s="1013" t="s">
        <v>74</v>
      </c>
      <c r="BB8" s="1013" t="s">
        <v>74</v>
      </c>
      <c r="BC8" s="1022" t="s">
        <v>74</v>
      </c>
    </row>
  </sheetData>
  <phoneticPr fontId="16" type="noConversion"/>
  <pageMargins left="0.4" right="0.26" top="1" bottom="1" header="0.5" footer="0.5"/>
  <pageSetup paperSize="17" fitToWidth="0" orientation="landscape" r:id="rId1"/>
  <headerFooter alignWithMargins="0">
    <oddHeader>&amp;F</oddHeader>
    <oddFooter>&amp;L&amp;A&amp;CPage &amp;P of &amp;N</oddFooter>
  </headerFooter>
  <legacy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6">
    <tabColor indexed="45"/>
  </sheetPr>
  <dimension ref="A1:K8"/>
  <sheetViews>
    <sheetView zoomScale="75" workbookViewId="0">
      <pane xSplit="1" ySplit="7" topLeftCell="B8" activePane="bottomRight" state="frozen"/>
      <selection activeCell="C9" sqref="C9"/>
      <selection pane="topRight" activeCell="C9" sqref="C9"/>
      <selection pane="bottomLeft" activeCell="C9" sqref="C9"/>
      <selection pane="bottomRight" activeCell="B8" sqref="B8:H8"/>
      <extLst>
        <ext xmlns:xlsdti="http://schemas.microsoft.com/office/spreadsheetml/2023/showDataTypeIcons" uri="{77bfe23e-c014-4d31-8a63-9c772dbf06b6}">
          <xlsdti:showDataTypeIcons visible="0"/>
        </ext>
      </extLst>
    </sheetView>
  </sheetViews>
  <sheetFormatPr defaultRowHeight="12.75" x14ac:dyDescent="0.2"/>
  <cols>
    <col min="1" max="1" width="45.7109375" customWidth="1"/>
    <col min="2" max="2" width="22.42578125" customWidth="1"/>
    <col min="3" max="5" width="15.140625" customWidth="1"/>
    <col min="6" max="6" width="37.85546875" customWidth="1"/>
    <col min="7" max="7" width="17.7109375" customWidth="1"/>
    <col min="8" max="8" width="16.7109375" customWidth="1"/>
    <col min="11" max="13" width="9.85546875" customWidth="1"/>
  </cols>
  <sheetData>
    <row r="1" spans="1:11" x14ac:dyDescent="0.2">
      <c r="A1" s="811" t="s">
        <v>1557</v>
      </c>
      <c r="B1" s="812" t="s">
        <v>1738</v>
      </c>
      <c r="G1" s="833"/>
      <c r="H1" s="834" t="s">
        <v>1558</v>
      </c>
    </row>
    <row r="2" spans="1:11" x14ac:dyDescent="0.2">
      <c r="A2" s="811" t="s">
        <v>1560</v>
      </c>
      <c r="B2" s="835" t="s">
        <v>1241</v>
      </c>
      <c r="C2" s="836" t="s">
        <v>1241</v>
      </c>
      <c r="D2" s="835" t="s">
        <v>1241</v>
      </c>
      <c r="E2" s="835" t="s">
        <v>1241</v>
      </c>
      <c r="F2" s="835" t="s">
        <v>1241</v>
      </c>
      <c r="G2" s="835" t="s">
        <v>1241</v>
      </c>
      <c r="H2" s="835" t="s">
        <v>1241</v>
      </c>
    </row>
    <row r="3" spans="1:11" ht="13.5" thickBot="1" x14ac:dyDescent="0.25">
      <c r="A3" s="811" t="s">
        <v>1562</v>
      </c>
      <c r="B3" s="816" t="s">
        <v>1563</v>
      </c>
      <c r="C3" s="837" t="s">
        <v>1739</v>
      </c>
      <c r="D3" s="838" t="s">
        <v>1242</v>
      </c>
      <c r="E3" s="838" t="s">
        <v>1243</v>
      </c>
      <c r="F3" s="838" t="s">
        <v>1244</v>
      </c>
      <c r="G3" s="630" t="s">
        <v>1573</v>
      </c>
      <c r="H3" s="630" t="s">
        <v>1572</v>
      </c>
    </row>
    <row r="4" spans="1:11" ht="102" customHeight="1" thickBot="1" x14ac:dyDescent="0.25">
      <c r="A4" s="811" t="s">
        <v>1616</v>
      </c>
      <c r="B4" s="902" t="s">
        <v>1635</v>
      </c>
      <c r="C4" s="1917" t="s">
        <v>914</v>
      </c>
      <c r="D4" s="1918"/>
      <c r="E4" s="1919"/>
      <c r="F4" s="944"/>
      <c r="G4" s="839"/>
      <c r="H4" s="840"/>
      <c r="J4" s="868"/>
      <c r="K4" s="869"/>
    </row>
    <row r="5" spans="1:11" ht="51.75" thickBot="1" x14ac:dyDescent="0.25">
      <c r="A5" s="811" t="s">
        <v>1644</v>
      </c>
      <c r="B5" s="825"/>
      <c r="C5" s="841"/>
      <c r="D5" s="842" t="s">
        <v>1809</v>
      </c>
      <c r="E5" s="843"/>
      <c r="F5" s="844"/>
      <c r="G5" s="845"/>
      <c r="H5" s="846" t="s">
        <v>1648</v>
      </c>
    </row>
    <row r="6" spans="1:11" ht="26.25" thickBot="1" x14ac:dyDescent="0.25">
      <c r="A6" s="830" t="s">
        <v>1653</v>
      </c>
      <c r="B6" s="1006" t="s">
        <v>1654</v>
      </c>
      <c r="C6" s="1007" t="s">
        <v>1740</v>
      </c>
      <c r="D6" s="1024" t="s">
        <v>1741</v>
      </c>
      <c r="E6" s="1024" t="s">
        <v>1742</v>
      </c>
      <c r="F6" s="1024" t="s">
        <v>1743</v>
      </c>
      <c r="G6" s="1006" t="s">
        <v>1664</v>
      </c>
      <c r="H6" s="1009" t="s">
        <v>1663</v>
      </c>
    </row>
    <row r="7" spans="1:11" ht="26.25" thickBot="1" x14ac:dyDescent="0.25">
      <c r="A7" s="831" t="s">
        <v>1808</v>
      </c>
      <c r="B7" s="1004" t="s">
        <v>1563</v>
      </c>
      <c r="C7" s="931" t="s">
        <v>1739</v>
      </c>
      <c r="D7" s="931" t="s">
        <v>1242</v>
      </c>
      <c r="E7" s="931" t="s">
        <v>1243</v>
      </c>
      <c r="F7" s="931" t="s">
        <v>1244</v>
      </c>
      <c r="G7" s="959" t="s">
        <v>1573</v>
      </c>
      <c r="H7" s="1023" t="s">
        <v>1572</v>
      </c>
    </row>
    <row r="8" spans="1:11" x14ac:dyDescent="0.2">
      <c r="A8" s="832"/>
      <c r="B8" s="1010">
        <f>'Design Data'!C10</f>
        <v>0</v>
      </c>
      <c r="C8" s="1025">
        <f>'Design Data'!C8</f>
        <v>0</v>
      </c>
      <c r="D8" s="1026" t="s">
        <v>1130</v>
      </c>
      <c r="E8" s="1026" t="s">
        <v>1130</v>
      </c>
      <c r="F8" s="1026" t="s">
        <v>1130</v>
      </c>
      <c r="G8" s="1027">
        <f>'Design Data'!S82</f>
        <v>0</v>
      </c>
      <c r="H8" s="1028"/>
    </row>
  </sheetData>
  <mergeCells count="1">
    <mergeCell ref="C4:E4"/>
  </mergeCells>
  <phoneticPr fontId="16" type="noConversion"/>
  <pageMargins left="0.75" right="0.75" top="1" bottom="1" header="0.5" footer="0.5"/>
  <pageSetup paperSize="17" orientation="landscape" r:id="rId1"/>
  <headerFooter alignWithMargins="0">
    <oddHeader>&amp;F</oddHeader>
    <oddFooter>&amp;L&amp;A&amp;CPage &amp;P of &amp;N</oddFooter>
  </headerFooter>
  <legacyDrawing r:id="rId2"/>
  <tableParts count="1">
    <tablePart r:id="rId3"/>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tabColor indexed="45"/>
    <pageSetUpPr fitToPage="1"/>
  </sheetPr>
  <dimension ref="A1:G8"/>
  <sheetViews>
    <sheetView zoomScale="75" workbookViewId="0">
      <pane xSplit="2" ySplit="7" topLeftCell="E8" activePane="bottomRight" state="frozen"/>
      <selection activeCell="C9" sqref="C9"/>
      <selection pane="topRight" activeCell="C9" sqref="C9"/>
      <selection pane="bottomLeft" activeCell="C9" sqref="C9"/>
      <selection pane="bottomRight" activeCell="B8" sqref="B8:G8"/>
      <extLst>
        <ext xmlns:xlsdti="http://schemas.microsoft.com/office/spreadsheetml/2023/showDataTypeIcons" uri="{77bfe23e-c014-4d31-8a63-9c772dbf06b6}">
          <xlsdti:showDataTypeIcons visible="0"/>
        </ext>
      </extLst>
    </sheetView>
  </sheetViews>
  <sheetFormatPr defaultRowHeight="12.75" x14ac:dyDescent="0.2"/>
  <cols>
    <col min="1" max="1" width="45.7109375" customWidth="1"/>
    <col min="2" max="2" width="34.85546875" customWidth="1"/>
    <col min="3" max="3" width="11.7109375" customWidth="1"/>
    <col min="4" max="4" width="12.7109375" customWidth="1"/>
    <col min="5" max="5" width="81.28515625" customWidth="1"/>
    <col min="6" max="6" width="17.7109375" customWidth="1"/>
    <col min="7" max="7" width="16.7109375" customWidth="1"/>
  </cols>
  <sheetData>
    <row r="1" spans="1:7" s="6" customFormat="1" ht="12.75" customHeight="1" x14ac:dyDescent="0.2">
      <c r="A1" s="811" t="s">
        <v>1557</v>
      </c>
      <c r="B1" s="847"/>
      <c r="C1" s="833"/>
      <c r="D1" s="833"/>
      <c r="E1" s="833"/>
      <c r="F1" s="833"/>
      <c r="G1" s="848" t="s">
        <v>1558</v>
      </c>
    </row>
    <row r="2" spans="1:7" s="6" customFormat="1" ht="12.75" customHeight="1" x14ac:dyDescent="0.2">
      <c r="A2" s="811" t="s">
        <v>1560</v>
      </c>
      <c r="B2" s="849" t="s">
        <v>1744</v>
      </c>
      <c r="C2" s="850" t="s">
        <v>1744</v>
      </c>
      <c r="D2" s="850" t="s">
        <v>1744</v>
      </c>
      <c r="E2" s="850" t="s">
        <v>1744</v>
      </c>
      <c r="F2" s="850" t="s">
        <v>1744</v>
      </c>
      <c r="G2" s="851" t="s">
        <v>1744</v>
      </c>
    </row>
    <row r="3" spans="1:7" s="6" customFormat="1" ht="12.75" customHeight="1" thickBot="1" x14ac:dyDescent="0.25">
      <c r="A3" s="811" t="s">
        <v>1562</v>
      </c>
      <c r="B3" s="903" t="s">
        <v>1580</v>
      </c>
      <c r="C3" s="838" t="s">
        <v>1745</v>
      </c>
      <c r="D3" s="838" t="s">
        <v>1746</v>
      </c>
      <c r="E3" s="630" t="s">
        <v>1747</v>
      </c>
      <c r="F3" s="630" t="s">
        <v>1573</v>
      </c>
      <c r="G3" s="838" t="s">
        <v>1572</v>
      </c>
    </row>
    <row r="4" spans="1:7" s="824" customFormat="1" ht="60.75" thickBot="1" x14ac:dyDescent="0.25">
      <c r="A4" s="811" t="s">
        <v>1616</v>
      </c>
      <c r="B4" s="907" t="s">
        <v>1635</v>
      </c>
      <c r="C4" s="908"/>
      <c r="D4" s="909"/>
      <c r="E4" s="839"/>
      <c r="F4" s="764"/>
      <c r="G4" s="628"/>
    </row>
    <row r="5" spans="1:7" s="6" customFormat="1" ht="26.25" thickBot="1" x14ac:dyDescent="0.25">
      <c r="A5" s="811" t="s">
        <v>1644</v>
      </c>
      <c r="B5" s="904"/>
      <c r="C5" s="905"/>
      <c r="D5" s="906"/>
      <c r="E5" s="852" t="s">
        <v>1810</v>
      </c>
      <c r="F5" s="852"/>
      <c r="G5" s="846" t="s">
        <v>1648</v>
      </c>
    </row>
    <row r="6" spans="1:7" ht="54" customHeight="1" x14ac:dyDescent="0.2">
      <c r="A6" s="830" t="s">
        <v>1653</v>
      </c>
      <c r="B6" s="1007" t="s">
        <v>1748</v>
      </c>
      <c r="C6" s="1007" t="s">
        <v>1749</v>
      </c>
      <c r="D6" s="1007" t="s">
        <v>1750</v>
      </c>
      <c r="E6" s="1007" t="s">
        <v>1751</v>
      </c>
      <c r="F6" s="1007" t="s">
        <v>1664</v>
      </c>
      <c r="G6" s="1008" t="s">
        <v>1663</v>
      </c>
    </row>
    <row r="7" spans="1:7" s="6" customFormat="1" ht="27.75" customHeight="1" thickBot="1" x14ac:dyDescent="0.25">
      <c r="A7" s="831" t="s">
        <v>1808</v>
      </c>
      <c r="B7" s="1001" t="s">
        <v>1580</v>
      </c>
      <c r="C7" s="955" t="s">
        <v>1745</v>
      </c>
      <c r="D7" s="955" t="s">
        <v>1746</v>
      </c>
      <c r="E7" s="955" t="s">
        <v>1747</v>
      </c>
      <c r="F7" s="955" t="s">
        <v>1573</v>
      </c>
      <c r="G7" s="1029" t="s">
        <v>1572</v>
      </c>
    </row>
    <row r="8" spans="1:7" x14ac:dyDescent="0.2">
      <c r="A8" s="832"/>
      <c r="B8" s="1030" t="str">
        <f ca="1">IF(E8=0,"",CONCATENATE('Design Data'!S82,TEXT(NOW(),"yyyymmddhhmmss"),RIGHT('Design Data'!C10,4)))</f>
        <v/>
      </c>
      <c r="C8" s="1011" t="s">
        <v>1752</v>
      </c>
      <c r="D8" s="1011">
        <v>1</v>
      </c>
      <c r="E8" s="1031">
        <f>'Design Data'!A121</f>
        <v>0</v>
      </c>
      <c r="F8" s="1032">
        <f>'Design Data'!S82</f>
        <v>0</v>
      </c>
      <c r="G8" s="1033"/>
    </row>
  </sheetData>
  <phoneticPr fontId="16" type="noConversion"/>
  <pageMargins left="0.4" right="0.26" top="1" bottom="1" header="0.5" footer="0.5"/>
  <pageSetup paperSize="17" scale="61" orientation="landscape" r:id="rId1"/>
  <headerFooter alignWithMargins="0">
    <oddHeader>&amp;F</oddHeader>
    <oddFooter>&amp;L&amp;A&amp;CPage &amp;P of &amp;N</oddFooter>
  </headerFooter>
  <legacyDrawing r:id="rId2"/>
  <tableParts count="1">
    <tablePart r:id="rId3"/>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8">
    <tabColor indexed="45"/>
    <pageSetUpPr fitToPage="1"/>
  </sheetPr>
  <dimension ref="A1:K8"/>
  <sheetViews>
    <sheetView zoomScale="75" workbookViewId="0">
      <pane xSplit="2" ySplit="7" topLeftCell="D8" activePane="bottomRight" state="frozen"/>
      <selection activeCell="C9" sqref="C9"/>
      <selection pane="topRight" activeCell="C9" sqref="C9"/>
      <selection pane="bottomLeft" activeCell="C9" sqref="C9"/>
      <selection pane="bottomRight" activeCell="H8" sqref="H8"/>
      <extLst>
        <ext xmlns:xlsdti="http://schemas.microsoft.com/office/spreadsheetml/2023/showDataTypeIcons" uri="{77bfe23e-c014-4d31-8a63-9c772dbf06b6}">
          <xlsdti:showDataTypeIcons visible="0"/>
        </ext>
      </extLst>
    </sheetView>
  </sheetViews>
  <sheetFormatPr defaultRowHeight="12.75" x14ac:dyDescent="0.2"/>
  <cols>
    <col min="1" max="1" width="45.7109375" customWidth="1"/>
    <col min="2" max="2" width="22" customWidth="1"/>
    <col min="3" max="3" width="14.7109375" customWidth="1"/>
    <col min="4" max="4" width="15.42578125" customWidth="1"/>
    <col min="5" max="5" width="14.28515625" customWidth="1"/>
    <col min="6" max="7" width="13.5703125" customWidth="1"/>
    <col min="8" max="8" width="14.7109375" customWidth="1"/>
    <col min="9" max="9" width="15.28515625" customWidth="1"/>
    <col min="10" max="10" width="17.7109375" customWidth="1"/>
    <col min="11" max="11" width="16.7109375" customWidth="1"/>
  </cols>
  <sheetData>
    <row r="1" spans="1:11" s="6" customFormat="1" ht="12.75" customHeight="1" x14ac:dyDescent="0.2">
      <c r="A1" s="811" t="s">
        <v>1557</v>
      </c>
      <c r="B1" s="812"/>
      <c r="C1" s="812"/>
      <c r="D1" s="812"/>
      <c r="E1" s="812"/>
      <c r="F1" s="812"/>
      <c r="G1" s="812"/>
      <c r="H1" s="812"/>
      <c r="I1" s="812"/>
      <c r="J1" s="812"/>
      <c r="K1" s="813" t="s">
        <v>1558</v>
      </c>
    </row>
    <row r="2" spans="1:11" s="6" customFormat="1" ht="12.75" customHeight="1" x14ac:dyDescent="0.2">
      <c r="A2" s="811" t="s">
        <v>1560</v>
      </c>
      <c r="B2" s="853" t="s">
        <v>1753</v>
      </c>
      <c r="C2" s="853" t="s">
        <v>1753</v>
      </c>
      <c r="D2" s="853" t="s">
        <v>1753</v>
      </c>
      <c r="E2" s="853" t="s">
        <v>1753</v>
      </c>
      <c r="F2" s="853" t="s">
        <v>1753</v>
      </c>
      <c r="G2" s="853" t="s">
        <v>1753</v>
      </c>
      <c r="H2" s="853" t="s">
        <v>1753</v>
      </c>
      <c r="I2" s="853" t="s">
        <v>1753</v>
      </c>
      <c r="J2" s="853" t="s">
        <v>1753</v>
      </c>
      <c r="K2" s="853" t="s">
        <v>1753</v>
      </c>
    </row>
    <row r="3" spans="1:11" s="6" customFormat="1" ht="12.75" customHeight="1" thickBot="1" x14ac:dyDescent="0.25">
      <c r="A3" s="811" t="s">
        <v>1562</v>
      </c>
      <c r="B3" s="911" t="s">
        <v>1563</v>
      </c>
      <c r="C3" s="911" t="s">
        <v>1754</v>
      </c>
      <c r="D3" s="911" t="s">
        <v>1755</v>
      </c>
      <c r="E3" s="817" t="s">
        <v>1756</v>
      </c>
      <c r="F3" s="817" t="s">
        <v>1757</v>
      </c>
      <c r="G3" s="817" t="s">
        <v>1758</v>
      </c>
      <c r="H3" s="817" t="s">
        <v>1759</v>
      </c>
      <c r="I3" s="817" t="s">
        <v>1760</v>
      </c>
      <c r="J3" s="817" t="s">
        <v>1573</v>
      </c>
      <c r="K3" s="817" t="s">
        <v>1572</v>
      </c>
    </row>
    <row r="4" spans="1:11" s="824" customFormat="1" ht="60.75" thickBot="1" x14ac:dyDescent="0.25">
      <c r="A4" s="811" t="s">
        <v>1616</v>
      </c>
      <c r="B4" s="907" t="s">
        <v>1635</v>
      </c>
      <c r="C4" s="913" t="s">
        <v>572</v>
      </c>
      <c r="D4" s="914"/>
      <c r="E4" s="910" t="s">
        <v>1761</v>
      </c>
      <c r="F4" s="867"/>
      <c r="G4" s="819"/>
      <c r="H4" s="819"/>
      <c r="I4" s="819"/>
      <c r="J4" s="819"/>
      <c r="K4" s="821"/>
    </row>
    <row r="5" spans="1:11" s="6" customFormat="1" ht="24.75" thickBot="1" x14ac:dyDescent="0.25">
      <c r="A5" s="811" t="s">
        <v>1644</v>
      </c>
      <c r="B5" s="904"/>
      <c r="C5" s="912"/>
      <c r="D5" s="912"/>
      <c r="E5" s="819" t="s">
        <v>1762</v>
      </c>
      <c r="F5" s="822"/>
      <c r="G5" s="819"/>
      <c r="H5" s="819"/>
      <c r="I5" s="819"/>
      <c r="J5" s="819"/>
      <c r="K5" s="821" t="s">
        <v>1648</v>
      </c>
    </row>
    <row r="6" spans="1:11" ht="54" customHeight="1" x14ac:dyDescent="0.2">
      <c r="A6" s="830" t="s">
        <v>1653</v>
      </c>
      <c r="B6" s="1006" t="s">
        <v>1654</v>
      </c>
      <c r="C6" s="1007" t="s">
        <v>1763</v>
      </c>
      <c r="D6" s="1007" t="s">
        <v>1764</v>
      </c>
      <c r="E6" s="1007" t="s">
        <v>1765</v>
      </c>
      <c r="F6" s="1006" t="s">
        <v>1766</v>
      </c>
      <c r="G6" s="1007" t="s">
        <v>915</v>
      </c>
      <c r="H6" s="1006" t="s">
        <v>916</v>
      </c>
      <c r="I6" s="1007" t="s">
        <v>1767</v>
      </c>
      <c r="J6" s="1006" t="s">
        <v>1664</v>
      </c>
      <c r="K6" s="1008" t="s">
        <v>1663</v>
      </c>
    </row>
    <row r="7" spans="1:11" s="6" customFormat="1" ht="26.25" thickBot="1" x14ac:dyDescent="0.25">
      <c r="A7" s="831" t="s">
        <v>1808</v>
      </c>
      <c r="B7" s="1004" t="s">
        <v>1563</v>
      </c>
      <c r="C7" s="957" t="s">
        <v>1754</v>
      </c>
      <c r="D7" s="957" t="s">
        <v>1755</v>
      </c>
      <c r="E7" s="957" t="s">
        <v>1756</v>
      </c>
      <c r="F7" s="957" t="s">
        <v>1757</v>
      </c>
      <c r="G7" s="957" t="s">
        <v>1758</v>
      </c>
      <c r="H7" s="957" t="s">
        <v>1759</v>
      </c>
      <c r="I7" s="957" t="s">
        <v>1760</v>
      </c>
      <c r="J7" s="957" t="s">
        <v>1573</v>
      </c>
      <c r="K7" s="1034" t="s">
        <v>1572</v>
      </c>
    </row>
    <row r="8" spans="1:11" x14ac:dyDescent="0.2">
      <c r="A8" s="832"/>
      <c r="B8" s="1030">
        <f>'Design Data'!C10</f>
        <v>0</v>
      </c>
      <c r="C8" s="1035" t="s">
        <v>1814</v>
      </c>
      <c r="D8" s="1011">
        <v>1</v>
      </c>
      <c r="E8" s="1011">
        <f>'Design Data'!H12</f>
        <v>0</v>
      </c>
      <c r="F8" s="1011">
        <f>ROUND('Chart Data'!T15,2)</f>
        <v>0</v>
      </c>
      <c r="G8" s="1036">
        <f>'Design Data'!H14</f>
        <v>0</v>
      </c>
      <c r="H8" s="1037">
        <f>'Design Data'!H86</f>
        <v>0</v>
      </c>
      <c r="I8" s="1036">
        <f>'Design Data'!H16</f>
        <v>0</v>
      </c>
      <c r="J8" s="1011">
        <f>'Design Data'!S82</f>
        <v>0</v>
      </c>
      <c r="K8" s="1033"/>
    </row>
  </sheetData>
  <phoneticPr fontId="16" type="noConversion"/>
  <pageMargins left="0.4" right="0.26" top="1" bottom="1" header="0.5" footer="0.5"/>
  <pageSetup paperSize="17" scale="66" orientation="landscape" r:id="rId1"/>
  <headerFooter alignWithMargins="0">
    <oddHeader>&amp;F</oddHeader>
    <oddFooter>&amp;L&amp;A&amp;CPage &amp;P of &amp;N</oddFooter>
  </headerFooter>
  <legacyDrawing r:id="rId2"/>
  <tableParts count="1">
    <tablePart r:id="rId3"/>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tabColor indexed="45"/>
    <pageSetUpPr fitToPage="1"/>
  </sheetPr>
  <dimension ref="A1:G8"/>
  <sheetViews>
    <sheetView zoomScale="75" workbookViewId="0">
      <pane xSplit="2" ySplit="7" topLeftCell="C8" activePane="bottomRight" state="frozen"/>
      <selection activeCell="C9" sqref="C9"/>
      <selection pane="topRight" activeCell="C9" sqref="C9"/>
      <selection pane="bottomLeft" activeCell="C9" sqref="C9"/>
      <selection pane="bottomRight" activeCell="B8" sqref="B8:G8"/>
      <extLst>
        <ext xmlns:xlsdti="http://schemas.microsoft.com/office/spreadsheetml/2023/showDataTypeIcons" uri="{77bfe23e-c014-4d31-8a63-9c772dbf06b6}">
          <xlsdti:showDataTypeIcons visible="0"/>
        </ext>
      </extLst>
    </sheetView>
  </sheetViews>
  <sheetFormatPr defaultRowHeight="12.75" x14ac:dyDescent="0.2"/>
  <cols>
    <col min="1" max="1" width="45.7109375" customWidth="1"/>
    <col min="2" max="2" width="20.140625" customWidth="1"/>
    <col min="3" max="3" width="14.7109375" customWidth="1"/>
    <col min="4" max="4" width="15.42578125" customWidth="1"/>
    <col min="5" max="5" width="57" customWidth="1"/>
    <col min="6" max="6" width="17.7109375" customWidth="1"/>
    <col min="7" max="7" width="16.7109375" customWidth="1"/>
    <col min="8" max="8" width="6.7109375" customWidth="1"/>
    <col min="9" max="9" width="8.28515625" customWidth="1"/>
  </cols>
  <sheetData>
    <row r="1" spans="1:7" s="6" customFormat="1" ht="12.75" customHeight="1" x14ac:dyDescent="0.2">
      <c r="A1" s="811" t="s">
        <v>1557</v>
      </c>
      <c r="B1" s="833"/>
      <c r="C1" s="833"/>
      <c r="D1" s="833"/>
      <c r="E1" s="833"/>
      <c r="F1" s="833"/>
      <c r="G1" s="834" t="s">
        <v>1558</v>
      </c>
    </row>
    <row r="2" spans="1:7" s="6" customFormat="1" ht="12.75" customHeight="1" x14ac:dyDescent="0.2">
      <c r="A2" s="811" t="s">
        <v>1560</v>
      </c>
      <c r="B2" s="854" t="s">
        <v>1768</v>
      </c>
      <c r="C2" s="854" t="s">
        <v>1768</v>
      </c>
      <c r="D2" s="854" t="s">
        <v>1768</v>
      </c>
      <c r="E2" s="854" t="s">
        <v>1768</v>
      </c>
      <c r="F2" s="854" t="s">
        <v>1768</v>
      </c>
      <c r="G2" s="854" t="s">
        <v>1768</v>
      </c>
    </row>
    <row r="3" spans="1:7" s="6" customFormat="1" ht="12.75" customHeight="1" thickBot="1" x14ac:dyDescent="0.25">
      <c r="A3" s="811" t="s">
        <v>1562</v>
      </c>
      <c r="B3" s="630" t="s">
        <v>1563</v>
      </c>
      <c r="C3" s="630" t="s">
        <v>1754</v>
      </c>
      <c r="D3" s="630" t="s">
        <v>1755</v>
      </c>
      <c r="E3" s="630" t="s">
        <v>1769</v>
      </c>
      <c r="F3" s="630" t="s">
        <v>1573</v>
      </c>
      <c r="G3" s="630" t="s">
        <v>1572</v>
      </c>
    </row>
    <row r="4" spans="1:7" s="824" customFormat="1" ht="281.25" thickBot="1" x14ac:dyDescent="0.25">
      <c r="A4" s="811" t="s">
        <v>1616</v>
      </c>
      <c r="B4" s="907" t="s">
        <v>1770</v>
      </c>
      <c r="C4" s="913" t="s">
        <v>572</v>
      </c>
      <c r="D4" s="915"/>
      <c r="E4" s="929" t="s">
        <v>282</v>
      </c>
      <c r="F4" s="855"/>
      <c r="G4" s="856"/>
    </row>
    <row r="5" spans="1:7" s="6" customFormat="1" ht="36.75" thickBot="1" x14ac:dyDescent="0.25">
      <c r="A5" s="811" t="s">
        <v>1644</v>
      </c>
      <c r="B5" s="825" t="s">
        <v>1812</v>
      </c>
      <c r="C5" s="852"/>
      <c r="D5" s="852"/>
      <c r="E5" s="822" t="s">
        <v>1555</v>
      </c>
      <c r="F5" s="852"/>
      <c r="G5" s="857" t="s">
        <v>1648</v>
      </c>
    </row>
    <row r="6" spans="1:7" ht="54" customHeight="1" x14ac:dyDescent="0.2">
      <c r="A6" s="830" t="s">
        <v>1653</v>
      </c>
      <c r="B6" s="1144" t="s">
        <v>1771</v>
      </c>
      <c r="C6" s="1006" t="s">
        <v>1763</v>
      </c>
      <c r="D6" s="1006" t="s">
        <v>1764</v>
      </c>
      <c r="E6" s="1007" t="s">
        <v>1772</v>
      </c>
      <c r="F6" s="1006" t="s">
        <v>1664</v>
      </c>
      <c r="G6" s="1009" t="s">
        <v>1663</v>
      </c>
    </row>
    <row r="7" spans="1:7" s="6" customFormat="1" ht="26.25" thickBot="1" x14ac:dyDescent="0.25">
      <c r="A7" s="831" t="s">
        <v>1808</v>
      </c>
      <c r="B7" s="1001" t="s">
        <v>1563</v>
      </c>
      <c r="C7" s="960" t="s">
        <v>1754</v>
      </c>
      <c r="D7" s="960" t="s">
        <v>1755</v>
      </c>
      <c r="E7" s="960" t="s">
        <v>1769</v>
      </c>
      <c r="F7" s="960" t="s">
        <v>1573</v>
      </c>
      <c r="G7" s="1002" t="s">
        <v>1572</v>
      </c>
    </row>
    <row r="8" spans="1:7" x14ac:dyDescent="0.2">
      <c r="A8" s="858"/>
      <c r="B8" s="1030">
        <f>'Design Data'!C10</f>
        <v>0</v>
      </c>
      <c r="C8" s="1035" t="s">
        <v>1814</v>
      </c>
      <c r="D8" s="1011">
        <v>1</v>
      </c>
      <c r="E8" s="1011">
        <f>'Design Data'!K16</f>
        <v>0</v>
      </c>
      <c r="F8" s="1032">
        <f>'Design Data'!S82</f>
        <v>0</v>
      </c>
      <c r="G8" s="1033"/>
    </row>
  </sheetData>
  <phoneticPr fontId="16" type="noConversion"/>
  <pageMargins left="0.4" right="0.26" top="1" bottom="1" header="0.5" footer="0.5"/>
  <pageSetup paperSize="17" scale="71" orientation="landscape" r:id="rId1"/>
  <headerFooter alignWithMargins="0">
    <oddHeader>&amp;F</oddHeader>
    <oddFooter>&amp;L&amp;A&amp;CPage &amp;P of &amp;N</oddFooter>
  </headerFooter>
  <legacyDrawing r:id="rId2"/>
  <tableParts count="1">
    <tablePart r:id="rId3"/>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indexed="45"/>
    <pageSetUpPr fitToPage="1"/>
  </sheetPr>
  <dimension ref="A1:H8"/>
  <sheetViews>
    <sheetView zoomScale="75" workbookViewId="0">
      <pane xSplit="2" ySplit="7" topLeftCell="E8" activePane="bottomRight" state="frozen"/>
      <selection activeCell="C9" sqref="C9"/>
      <selection pane="topRight" activeCell="C9" sqref="C9"/>
      <selection pane="bottomLeft" activeCell="C9" sqref="C9"/>
      <selection pane="bottomRight" activeCell="B8" sqref="B8:H8"/>
      <extLst>
        <ext xmlns:xlsdti="http://schemas.microsoft.com/office/spreadsheetml/2023/showDataTypeIcons" uri="{77bfe23e-c014-4d31-8a63-9c772dbf06b6}">
          <xlsdti:showDataTypeIcons visible="0"/>
        </ext>
      </extLst>
    </sheetView>
  </sheetViews>
  <sheetFormatPr defaultRowHeight="12.75" x14ac:dyDescent="0.2"/>
  <cols>
    <col min="1" max="1" width="45.7109375" customWidth="1"/>
    <col min="2" max="2" width="21.7109375" customWidth="1"/>
    <col min="3" max="3" width="16.42578125" customWidth="1"/>
    <col min="4" max="4" width="15.42578125" customWidth="1"/>
    <col min="5" max="6" width="42.42578125" customWidth="1"/>
    <col min="7" max="7" width="16.7109375" customWidth="1"/>
    <col min="8" max="8" width="17.7109375" customWidth="1"/>
  </cols>
  <sheetData>
    <row r="1" spans="1:8" s="6" customFormat="1" ht="12.75" customHeight="1" x14ac:dyDescent="0.2">
      <c r="A1" s="811" t="s">
        <v>1557</v>
      </c>
      <c r="B1" s="833"/>
      <c r="C1" s="833"/>
      <c r="D1" s="833"/>
      <c r="E1" s="834" t="s">
        <v>1559</v>
      </c>
      <c r="F1" s="834" t="s">
        <v>1559</v>
      </c>
      <c r="G1" s="834" t="s">
        <v>1558</v>
      </c>
      <c r="H1" s="833"/>
    </row>
    <row r="2" spans="1:8" s="6" customFormat="1" ht="12.75" customHeight="1" x14ac:dyDescent="0.2">
      <c r="A2" s="811" t="s">
        <v>1560</v>
      </c>
      <c r="B2" s="859" t="s">
        <v>1773</v>
      </c>
      <c r="C2" s="859" t="s">
        <v>1773</v>
      </c>
      <c r="D2" s="859" t="s">
        <v>1773</v>
      </c>
      <c r="E2" s="859" t="s">
        <v>1773</v>
      </c>
      <c r="F2" s="859" t="s">
        <v>1773</v>
      </c>
      <c r="G2" s="859" t="s">
        <v>1773</v>
      </c>
      <c r="H2" s="859" t="s">
        <v>1773</v>
      </c>
    </row>
    <row r="3" spans="1:8" s="6" customFormat="1" ht="12.75" customHeight="1" thickBot="1" x14ac:dyDescent="0.25">
      <c r="A3" s="811" t="s">
        <v>1562</v>
      </c>
      <c r="B3" s="838" t="s">
        <v>1563</v>
      </c>
      <c r="C3" s="838" t="s">
        <v>1754</v>
      </c>
      <c r="D3" s="838" t="s">
        <v>1755</v>
      </c>
      <c r="E3" s="838" t="s">
        <v>1580</v>
      </c>
      <c r="F3" s="838" t="s">
        <v>1774</v>
      </c>
      <c r="G3" s="630" t="s">
        <v>1572</v>
      </c>
      <c r="H3" s="630" t="s">
        <v>1573</v>
      </c>
    </row>
    <row r="4" spans="1:8" s="824" customFormat="1" ht="60.75" thickBot="1" x14ac:dyDescent="0.25">
      <c r="A4" s="811" t="s">
        <v>1616</v>
      </c>
      <c r="B4" s="907" t="s">
        <v>1635</v>
      </c>
      <c r="C4" s="915"/>
      <c r="D4" s="917"/>
      <c r="E4" s="916"/>
      <c r="F4" s="860"/>
      <c r="G4" s="861"/>
      <c r="H4" s="855"/>
    </row>
    <row r="5" spans="1:8" s="6" customFormat="1" ht="39" thickBot="1" x14ac:dyDescent="0.25">
      <c r="A5" s="811" t="s">
        <v>1644</v>
      </c>
      <c r="B5" s="904" t="s">
        <v>1812</v>
      </c>
      <c r="C5" s="906"/>
      <c r="D5" s="906"/>
      <c r="E5" s="862" t="s">
        <v>1806</v>
      </c>
      <c r="F5" s="863" t="s">
        <v>1813</v>
      </c>
      <c r="G5" s="857" t="s">
        <v>1648</v>
      </c>
      <c r="H5" s="852"/>
    </row>
    <row r="6" spans="1:8" ht="39" customHeight="1" x14ac:dyDescent="0.2">
      <c r="A6" s="830" t="s">
        <v>1653</v>
      </c>
      <c r="B6" s="1007" t="s">
        <v>448</v>
      </c>
      <c r="C6" s="1006" t="s">
        <v>1763</v>
      </c>
      <c r="D6" s="1006" t="s">
        <v>1764</v>
      </c>
      <c r="E6" s="1008" t="s">
        <v>1671</v>
      </c>
      <c r="F6" s="1008" t="s">
        <v>1775</v>
      </c>
      <c r="G6" s="1009" t="s">
        <v>1663</v>
      </c>
      <c r="H6" s="1006" t="s">
        <v>1664</v>
      </c>
    </row>
    <row r="7" spans="1:8" s="6" customFormat="1" ht="26.25" thickBot="1" x14ac:dyDescent="0.25">
      <c r="A7" s="831" t="s">
        <v>1808</v>
      </c>
      <c r="B7" s="1001" t="s">
        <v>1563</v>
      </c>
      <c r="C7" s="960" t="s">
        <v>1754</v>
      </c>
      <c r="D7" s="960" t="s">
        <v>1755</v>
      </c>
      <c r="E7" s="960" t="s">
        <v>1580</v>
      </c>
      <c r="F7" s="960" t="s">
        <v>1774</v>
      </c>
      <c r="G7" s="960" t="s">
        <v>1572</v>
      </c>
      <c r="H7" s="1002" t="s">
        <v>1573</v>
      </c>
    </row>
    <row r="8" spans="1:8" x14ac:dyDescent="0.2">
      <c r="A8" s="832"/>
      <c r="B8" s="1030">
        <f>'Design Data'!C10</f>
        <v>0</v>
      </c>
      <c r="C8" s="1035" t="s">
        <v>1814</v>
      </c>
      <c r="D8" s="1011">
        <v>1</v>
      </c>
      <c r="E8" s="1013" t="s">
        <v>74</v>
      </c>
      <c r="F8" s="1013">
        <v>0</v>
      </c>
      <c r="G8" s="1014"/>
      <c r="H8" s="1038">
        <f>'Design Data'!S82</f>
        <v>0</v>
      </c>
    </row>
  </sheetData>
  <phoneticPr fontId="16" type="noConversion"/>
  <pageMargins left="0.4" right="0.26" top="1" bottom="1" header="0.5" footer="0.5"/>
  <pageSetup paperSize="17" scale="61" orientation="landscape" r:id="rId1"/>
  <headerFooter alignWithMargins="0">
    <oddHeader>&amp;F</oddHeader>
    <oddFooter>&amp;L&amp;A&amp;CPage &amp;P of &amp;N</oddFooter>
  </headerFooter>
  <legacyDrawing r:id="rId2"/>
  <tableParts count="1">
    <tablePart r:id="rId3"/>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tabColor indexed="45"/>
    <pageSetUpPr fitToPage="1"/>
  </sheetPr>
  <dimension ref="A1:K342"/>
  <sheetViews>
    <sheetView zoomScale="70" zoomScaleNormal="70" workbookViewId="0">
      <pane ySplit="7" topLeftCell="A8" activePane="bottomLeft" state="frozen"/>
      <selection activeCell="C9" sqref="C9"/>
      <selection pane="bottomLeft" activeCell="A5" sqref="A5"/>
      <extLst>
        <ext xmlns:xlsdti="http://schemas.microsoft.com/office/spreadsheetml/2023/showDataTypeIcons" uri="{77bfe23e-c014-4d31-8a63-9c772dbf06b6}">
          <xlsdti:showDataTypeIcons visible="0"/>
        </ext>
      </extLst>
    </sheetView>
  </sheetViews>
  <sheetFormatPr defaultColWidth="9.140625" defaultRowHeight="12.75" x14ac:dyDescent="0.2"/>
  <cols>
    <col min="1" max="1" width="54.5703125" style="1377" customWidth="1"/>
    <col min="2" max="2" width="21.28515625" style="1377" customWidth="1"/>
    <col min="3" max="3" width="15.5703125" style="1377" customWidth="1"/>
    <col min="4" max="4" width="15.42578125" style="1377" customWidth="1"/>
    <col min="5" max="5" width="13.7109375" style="1377" customWidth="1"/>
    <col min="6" max="6" width="39.28515625" style="1377" customWidth="1"/>
    <col min="7" max="7" width="46.140625" style="1377" customWidth="1"/>
    <col min="8" max="8" width="17.7109375" style="1377" customWidth="1"/>
    <col min="9" max="9" width="16.7109375" style="1377" customWidth="1"/>
    <col min="10" max="16384" width="9.140625" style="1377"/>
  </cols>
  <sheetData>
    <row r="1" spans="1:9" x14ac:dyDescent="0.2">
      <c r="A1" s="1374" t="s">
        <v>1557</v>
      </c>
      <c r="B1" s="1375"/>
      <c r="C1" s="1375"/>
      <c r="D1" s="1375"/>
      <c r="E1" s="1375"/>
      <c r="F1" s="1375"/>
      <c r="G1" s="1375"/>
      <c r="H1" s="1375"/>
      <c r="I1" s="1376" t="s">
        <v>1558</v>
      </c>
    </row>
    <row r="2" spans="1:9" x14ac:dyDescent="0.2">
      <c r="A2" s="1374" t="s">
        <v>1560</v>
      </c>
      <c r="B2" s="1378" t="s">
        <v>1776</v>
      </c>
      <c r="C2" s="1378" t="s">
        <v>1776</v>
      </c>
      <c r="D2" s="1378" t="s">
        <v>1776</v>
      </c>
      <c r="E2" s="1378" t="s">
        <v>1776</v>
      </c>
      <c r="F2" s="1378" t="s">
        <v>1776</v>
      </c>
      <c r="G2" s="1378" t="s">
        <v>1776</v>
      </c>
      <c r="H2" s="1378" t="s">
        <v>1776</v>
      </c>
      <c r="I2" s="1378" t="s">
        <v>1776</v>
      </c>
    </row>
    <row r="3" spans="1:9" ht="13.5" thickBot="1" x14ac:dyDescent="0.25">
      <c r="A3" s="1374" t="s">
        <v>1562</v>
      </c>
      <c r="B3" s="1379" t="s">
        <v>1563</v>
      </c>
      <c r="C3" s="1379" t="s">
        <v>1754</v>
      </c>
      <c r="D3" s="1379" t="s">
        <v>1755</v>
      </c>
      <c r="E3" s="1379" t="s">
        <v>1777</v>
      </c>
      <c r="F3" s="1379" t="s">
        <v>1778</v>
      </c>
      <c r="G3" s="1379" t="s">
        <v>1779</v>
      </c>
      <c r="H3" s="1379" t="s">
        <v>1573</v>
      </c>
      <c r="I3" s="1379" t="s">
        <v>1572</v>
      </c>
    </row>
    <row r="4" spans="1:9" ht="150.75" customHeight="1" thickBot="1" x14ac:dyDescent="0.25">
      <c r="A4" s="1374" t="s">
        <v>1616</v>
      </c>
      <c r="B4" s="1380" t="s">
        <v>1635</v>
      </c>
      <c r="C4" s="1381"/>
      <c r="D4" s="1381"/>
      <c r="E4" s="1382"/>
      <c r="F4" s="1383" t="s">
        <v>1725</v>
      </c>
      <c r="G4" s="1384" t="s">
        <v>917</v>
      </c>
      <c r="H4" s="1379"/>
      <c r="I4" s="1378"/>
    </row>
    <row r="5" spans="1:9" ht="48" customHeight="1" thickBot="1" x14ac:dyDescent="0.25">
      <c r="A5" s="1374" t="s">
        <v>1644</v>
      </c>
      <c r="B5" s="1385"/>
      <c r="C5" s="1386"/>
      <c r="D5" s="1386"/>
      <c r="E5" s="1386"/>
      <c r="F5" s="1387" t="s">
        <v>1780</v>
      </c>
      <c r="G5" s="1387" t="s">
        <v>1781</v>
      </c>
      <c r="H5" s="1386"/>
      <c r="I5" s="1388" t="s">
        <v>1648</v>
      </c>
    </row>
    <row r="6" spans="1:9" ht="38.25" x14ac:dyDescent="0.2">
      <c r="A6" s="1389" t="s">
        <v>1653</v>
      </c>
      <c r="B6" s="1390" t="s">
        <v>448</v>
      </c>
      <c r="C6" s="1391" t="s">
        <v>1763</v>
      </c>
      <c r="D6" s="1391" t="s">
        <v>1764</v>
      </c>
      <c r="E6" s="1391" t="s">
        <v>1782</v>
      </c>
      <c r="F6" s="1391" t="s">
        <v>1783</v>
      </c>
      <c r="G6" s="1390" t="s">
        <v>1784</v>
      </c>
      <c r="H6" s="1392" t="s">
        <v>1664</v>
      </c>
      <c r="I6" s="1393" t="s">
        <v>1663</v>
      </c>
    </row>
    <row r="7" spans="1:9" ht="26.25" thickBot="1" x14ac:dyDescent="0.25">
      <c r="A7" s="1394" t="s">
        <v>1808</v>
      </c>
      <c r="B7" s="1395" t="s">
        <v>1563</v>
      </c>
      <c r="C7" s="1396" t="s">
        <v>1754</v>
      </c>
      <c r="D7" s="1396" t="s">
        <v>1755</v>
      </c>
      <c r="E7" s="1396" t="s">
        <v>1777</v>
      </c>
      <c r="F7" s="1397" t="s">
        <v>1778</v>
      </c>
      <c r="G7" s="1396" t="s">
        <v>1779</v>
      </c>
      <c r="H7" s="1396" t="s">
        <v>1573</v>
      </c>
      <c r="I7" s="1398" t="s">
        <v>1572</v>
      </c>
    </row>
    <row r="8" spans="1:9" x14ac:dyDescent="0.2">
      <c r="A8" s="1399" t="s">
        <v>1785</v>
      </c>
      <c r="B8" s="1400">
        <f>'Design Data'!C10</f>
        <v>0</v>
      </c>
      <c r="C8" s="1401" t="s">
        <v>1814</v>
      </c>
      <c r="D8" s="1401">
        <v>1</v>
      </c>
      <c r="E8" s="1402">
        <v>1</v>
      </c>
      <c r="F8" s="1403" t="s">
        <v>74</v>
      </c>
      <c r="G8" s="1404">
        <v>0</v>
      </c>
      <c r="H8" s="1405">
        <f>'Design Data'!S82</f>
        <v>0</v>
      </c>
      <c r="I8" s="1406"/>
    </row>
    <row r="9" spans="1:9" x14ac:dyDescent="0.2">
      <c r="A9" s="1399" t="s">
        <v>1724</v>
      </c>
      <c r="B9" s="1407">
        <f t="shared" ref="B9:D24" si="0">B8</f>
        <v>0</v>
      </c>
      <c r="C9" s="1408" t="str">
        <f>C8</f>
        <v>AMMIXPACK</v>
      </c>
      <c r="D9" s="1408">
        <v>1</v>
      </c>
      <c r="E9" s="1409">
        <v>2</v>
      </c>
      <c r="F9" s="1410" t="str">
        <f>IF(B9=""," ",IF(t_smpl!Z8="COMP","ISPC","OSPC"))</f>
        <v>ISPC</v>
      </c>
      <c r="G9" s="1411">
        <v>0</v>
      </c>
      <c r="H9" s="1412">
        <f t="shared" ref="H9:H72" si="1">H8</f>
        <v>0</v>
      </c>
      <c r="I9" s="1413"/>
    </row>
    <row r="10" spans="1:9" x14ac:dyDescent="0.2">
      <c r="A10" s="1399" t="s">
        <v>1786</v>
      </c>
      <c r="B10" s="1407">
        <f t="shared" si="0"/>
        <v>0</v>
      </c>
      <c r="C10" s="1408" t="str">
        <f t="shared" si="0"/>
        <v>AMMIXPACK</v>
      </c>
      <c r="D10" s="1408">
        <v>1</v>
      </c>
      <c r="E10" s="1409">
        <v>3</v>
      </c>
      <c r="F10" s="1414" t="s">
        <v>74</v>
      </c>
      <c r="G10" s="1411">
        <v>0</v>
      </c>
      <c r="H10" s="1412">
        <f t="shared" si="1"/>
        <v>0</v>
      </c>
      <c r="I10" s="1413"/>
    </row>
    <row r="11" spans="1:9" x14ac:dyDescent="0.2">
      <c r="A11" s="1399" t="s">
        <v>1787</v>
      </c>
      <c r="B11" s="1407">
        <f t="shared" si="0"/>
        <v>0</v>
      </c>
      <c r="C11" s="1408" t="str">
        <f t="shared" si="0"/>
        <v>AMMIXPACK</v>
      </c>
      <c r="D11" s="1408">
        <v>1</v>
      </c>
      <c r="E11" s="1409">
        <v>4</v>
      </c>
      <c r="F11" s="1415" t="s">
        <v>74</v>
      </c>
      <c r="G11" s="1412">
        <v>0</v>
      </c>
      <c r="H11" s="1412">
        <f t="shared" si="1"/>
        <v>0</v>
      </c>
      <c r="I11" s="1413"/>
    </row>
    <row r="12" spans="1:9" x14ac:dyDescent="0.2">
      <c r="A12" s="1399" t="s">
        <v>1788</v>
      </c>
      <c r="B12" s="1407">
        <f t="shared" si="0"/>
        <v>0</v>
      </c>
      <c r="C12" s="1408" t="str">
        <f t="shared" si="0"/>
        <v>AMMIXPACK</v>
      </c>
      <c r="D12" s="1408">
        <v>1</v>
      </c>
      <c r="E12" s="1409">
        <v>5</v>
      </c>
      <c r="F12" s="1415" t="s">
        <v>74</v>
      </c>
      <c r="G12" s="1412">
        <v>0</v>
      </c>
      <c r="H12" s="1412">
        <f t="shared" si="1"/>
        <v>0</v>
      </c>
      <c r="I12" s="1413"/>
    </row>
    <row r="13" spans="1:9" x14ac:dyDescent="0.2">
      <c r="A13" s="1399" t="s">
        <v>1789</v>
      </c>
      <c r="B13" s="1407">
        <f t="shared" si="0"/>
        <v>0</v>
      </c>
      <c r="C13" s="1408" t="str">
        <f t="shared" si="0"/>
        <v>AMMIXPACK</v>
      </c>
      <c r="D13" s="1408">
        <v>1</v>
      </c>
      <c r="E13" s="1409">
        <v>6</v>
      </c>
      <c r="F13" s="1415" t="s">
        <v>74</v>
      </c>
      <c r="G13" s="1412">
        <v>0</v>
      </c>
      <c r="H13" s="1412">
        <f t="shared" si="1"/>
        <v>0</v>
      </c>
      <c r="I13" s="1413"/>
    </row>
    <row r="14" spans="1:9" x14ac:dyDescent="0.2">
      <c r="A14" s="1399" t="s">
        <v>1790</v>
      </c>
      <c r="B14" s="1407">
        <f t="shared" si="0"/>
        <v>0</v>
      </c>
      <c r="C14" s="1408" t="str">
        <f t="shared" si="0"/>
        <v>AMMIXPACK</v>
      </c>
      <c r="D14" s="1408">
        <f>D13</f>
        <v>1</v>
      </c>
      <c r="E14" s="1409">
        <v>7</v>
      </c>
      <c r="F14" s="1415" t="s">
        <v>74</v>
      </c>
      <c r="G14" s="1412">
        <v>0</v>
      </c>
      <c r="H14" s="1412">
        <f t="shared" si="1"/>
        <v>0</v>
      </c>
      <c r="I14" s="1413"/>
    </row>
    <row r="15" spans="1:9" x14ac:dyDescent="0.2">
      <c r="A15" s="1416" t="s">
        <v>823</v>
      </c>
      <c r="B15" s="1407">
        <f t="shared" si="0"/>
        <v>0</v>
      </c>
      <c r="C15" s="1408" t="str">
        <f t="shared" si="0"/>
        <v>AMMIXPACK</v>
      </c>
      <c r="D15" s="1408">
        <f t="shared" si="0"/>
        <v>1</v>
      </c>
      <c r="E15" s="1402">
        <v>8</v>
      </c>
      <c r="F15" s="1417" t="s">
        <v>74</v>
      </c>
      <c r="G15" s="1411">
        <v>0</v>
      </c>
      <c r="H15" s="1412">
        <f t="shared" si="1"/>
        <v>0</v>
      </c>
      <c r="I15" s="1406"/>
    </row>
    <row r="16" spans="1:9" x14ac:dyDescent="0.2">
      <c r="A16" s="1418" t="s">
        <v>2038</v>
      </c>
      <c r="B16" s="1407">
        <f t="shared" si="0"/>
        <v>0</v>
      </c>
      <c r="C16" s="1408" t="str">
        <f t="shared" si="0"/>
        <v>AMMIXPACK</v>
      </c>
      <c r="D16" s="1408">
        <f t="shared" si="0"/>
        <v>1</v>
      </c>
      <c r="E16" s="1409">
        <v>9</v>
      </c>
      <c r="F16" s="1414" t="str">
        <f>'Design Data'!A19</f>
        <v/>
      </c>
      <c r="G16" s="1411">
        <v>0</v>
      </c>
      <c r="H16" s="1412">
        <f t="shared" si="1"/>
        <v>0</v>
      </c>
      <c r="I16" s="1413"/>
    </row>
    <row r="17" spans="1:9" x14ac:dyDescent="0.2">
      <c r="A17" s="1418" t="s">
        <v>1231</v>
      </c>
      <c r="B17" s="1407">
        <f t="shared" si="0"/>
        <v>0</v>
      </c>
      <c r="C17" s="1408" t="str">
        <f t="shared" si="0"/>
        <v>AMMIXPACK</v>
      </c>
      <c r="D17" s="1408">
        <f t="shared" si="0"/>
        <v>1</v>
      </c>
      <c r="E17" s="1409">
        <v>10</v>
      </c>
      <c r="F17" s="1414" t="str">
        <f>'Chart Data'!J7</f>
        <v/>
      </c>
      <c r="G17" s="1411">
        <v>0</v>
      </c>
      <c r="H17" s="1412">
        <f t="shared" si="1"/>
        <v>0</v>
      </c>
      <c r="I17" s="1413"/>
    </row>
    <row r="18" spans="1:9" x14ac:dyDescent="0.2">
      <c r="A18" s="1418" t="s">
        <v>80</v>
      </c>
      <c r="B18" s="1407">
        <f t="shared" si="0"/>
        <v>0</v>
      </c>
      <c r="C18" s="1408" t="str">
        <f t="shared" si="0"/>
        <v>AMMIXPACK</v>
      </c>
      <c r="D18" s="1408">
        <f t="shared" si="0"/>
        <v>1</v>
      </c>
      <c r="E18" s="1409">
        <v>11</v>
      </c>
      <c r="F18" s="1414">
        <f>'Design Data'!K10</f>
        <v>0</v>
      </c>
      <c r="G18" s="1411">
        <v>0</v>
      </c>
      <c r="H18" s="1412">
        <f t="shared" si="1"/>
        <v>0</v>
      </c>
      <c r="I18" s="1413"/>
    </row>
    <row r="19" spans="1:9" x14ac:dyDescent="0.2">
      <c r="A19" s="1399" t="s">
        <v>1257</v>
      </c>
      <c r="B19" s="1407">
        <f t="shared" si="0"/>
        <v>0</v>
      </c>
      <c r="C19" s="1408" t="str">
        <f t="shared" si="0"/>
        <v>AMMIXPACK</v>
      </c>
      <c r="D19" s="1408">
        <f t="shared" si="0"/>
        <v>1</v>
      </c>
      <c r="E19" s="1409">
        <v>12</v>
      </c>
      <c r="F19" s="1417" t="s">
        <v>74</v>
      </c>
      <c r="G19" s="1412">
        <f>IF('Design Data'!Q12="",0,ROUND('Design Data'!Q12,0))</f>
        <v>0</v>
      </c>
      <c r="H19" s="1412">
        <f t="shared" si="1"/>
        <v>0</v>
      </c>
      <c r="I19" s="1413"/>
    </row>
    <row r="20" spans="1:9" x14ac:dyDescent="0.2">
      <c r="A20" s="1418" t="s">
        <v>107</v>
      </c>
      <c r="B20" s="1407">
        <f t="shared" si="0"/>
        <v>0</v>
      </c>
      <c r="C20" s="1408" t="str">
        <f t="shared" si="0"/>
        <v>AMMIXPACK</v>
      </c>
      <c r="D20" s="1408">
        <f t="shared" si="0"/>
        <v>1</v>
      </c>
      <c r="E20" s="1409">
        <v>13</v>
      </c>
      <c r="F20" s="1417" t="s">
        <v>74</v>
      </c>
      <c r="G20" s="1412" t="str">
        <f>IF('Design Data'!K20="","",ROUND('Design Data'!K20,0))</f>
        <v/>
      </c>
      <c r="H20" s="1412">
        <f t="shared" si="1"/>
        <v>0</v>
      </c>
      <c r="I20" s="1413"/>
    </row>
    <row r="21" spans="1:9" x14ac:dyDescent="0.2">
      <c r="A21" s="1418" t="s">
        <v>2181</v>
      </c>
      <c r="B21" s="1407">
        <f t="shared" si="0"/>
        <v>0</v>
      </c>
      <c r="C21" s="1408" t="str">
        <f t="shared" si="0"/>
        <v>AMMIXPACK</v>
      </c>
      <c r="D21" s="1408">
        <f t="shared" si="0"/>
        <v>1</v>
      </c>
      <c r="E21" s="1409">
        <v>14</v>
      </c>
      <c r="F21" s="1414" t="str">
        <f>'Design Data'!C18</f>
        <v/>
      </c>
      <c r="G21" s="1411">
        <v>0</v>
      </c>
      <c r="H21" s="1412">
        <f t="shared" si="1"/>
        <v>0</v>
      </c>
      <c r="I21" s="1413"/>
    </row>
    <row r="22" spans="1:9" x14ac:dyDescent="0.2">
      <c r="A22" s="1416" t="s">
        <v>824</v>
      </c>
      <c r="B22" s="1407">
        <f t="shared" si="0"/>
        <v>0</v>
      </c>
      <c r="C22" s="1408" t="str">
        <f t="shared" si="0"/>
        <v>AMMIXPACK</v>
      </c>
      <c r="D22" s="1408">
        <f t="shared" si="0"/>
        <v>1</v>
      </c>
      <c r="E22" s="1409">
        <v>15</v>
      </c>
      <c r="F22" s="1417" t="s">
        <v>74</v>
      </c>
      <c r="G22" s="1411">
        <v>0</v>
      </c>
      <c r="H22" s="1412">
        <f t="shared" si="1"/>
        <v>0</v>
      </c>
      <c r="I22" s="1413"/>
    </row>
    <row r="23" spans="1:9" x14ac:dyDescent="0.2">
      <c r="A23" s="1399" t="s">
        <v>2202</v>
      </c>
      <c r="B23" s="1407">
        <f t="shared" si="0"/>
        <v>0</v>
      </c>
      <c r="C23" s="1408" t="str">
        <f t="shared" si="0"/>
        <v>AMMIXPACK</v>
      </c>
      <c r="D23" s="1408">
        <f t="shared" si="0"/>
        <v>1</v>
      </c>
      <c r="E23" s="1409">
        <v>16</v>
      </c>
      <c r="F23" s="1417" t="s">
        <v>74</v>
      </c>
      <c r="G23" s="1412">
        <f>IF('Design Data'!A86="",0,ROUND('Design Data'!A86,1))</f>
        <v>0</v>
      </c>
      <c r="H23" s="1412">
        <f t="shared" si="1"/>
        <v>0</v>
      </c>
      <c r="I23" s="1413"/>
    </row>
    <row r="24" spans="1:9" x14ac:dyDescent="0.2">
      <c r="A24" s="1418" t="s">
        <v>2203</v>
      </c>
      <c r="B24" s="1407">
        <f t="shared" si="0"/>
        <v>0</v>
      </c>
      <c r="C24" s="1408" t="str">
        <f t="shared" si="0"/>
        <v>AMMIXPACK</v>
      </c>
      <c r="D24" s="1408">
        <f t="shared" si="0"/>
        <v>1</v>
      </c>
      <c r="E24" s="1409">
        <v>17</v>
      </c>
      <c r="F24" s="1417" t="s">
        <v>74</v>
      </c>
      <c r="G24" s="1412">
        <f>IF('Design Data'!B86="",0,ROUND('Design Data'!B86,1))</f>
        <v>0</v>
      </c>
      <c r="H24" s="1412">
        <f t="shared" si="1"/>
        <v>0</v>
      </c>
      <c r="I24" s="1413"/>
    </row>
    <row r="25" spans="1:9" x14ac:dyDescent="0.2">
      <c r="A25" s="1418" t="s">
        <v>2204</v>
      </c>
      <c r="B25" s="1407">
        <f t="shared" ref="B25:D40" si="2">B24</f>
        <v>0</v>
      </c>
      <c r="C25" s="1408" t="str">
        <f t="shared" si="2"/>
        <v>AMMIXPACK</v>
      </c>
      <c r="D25" s="1408">
        <f t="shared" si="2"/>
        <v>1</v>
      </c>
      <c r="E25" s="1409">
        <v>18</v>
      </c>
      <c r="F25" s="1417" t="s">
        <v>74</v>
      </c>
      <c r="G25" s="1412">
        <f>IF('Design Data'!D86="",0,ROUND('Design Data'!D86,1))</f>
        <v>0</v>
      </c>
      <c r="H25" s="1412">
        <f t="shared" si="1"/>
        <v>0</v>
      </c>
      <c r="I25" s="1413"/>
    </row>
    <row r="26" spans="1:9" x14ac:dyDescent="0.2">
      <c r="A26" s="1418" t="s">
        <v>2205</v>
      </c>
      <c r="B26" s="1407">
        <f t="shared" si="2"/>
        <v>0</v>
      </c>
      <c r="C26" s="1408" t="str">
        <f t="shared" si="2"/>
        <v>AMMIXPACK</v>
      </c>
      <c r="D26" s="1408">
        <f t="shared" si="2"/>
        <v>1</v>
      </c>
      <c r="E26" s="1409">
        <v>19</v>
      </c>
      <c r="F26" s="1417" t="s">
        <v>74</v>
      </c>
      <c r="G26" s="1412">
        <f>IF('Design Data'!F86="",0,ROUND('Design Data'!F86,1))</f>
        <v>0</v>
      </c>
      <c r="H26" s="1412">
        <f t="shared" si="1"/>
        <v>0</v>
      </c>
      <c r="I26" s="1413"/>
    </row>
    <row r="27" spans="1:9" x14ac:dyDescent="0.2">
      <c r="A27" s="1418" t="s">
        <v>2206</v>
      </c>
      <c r="B27" s="1407">
        <f t="shared" si="2"/>
        <v>0</v>
      </c>
      <c r="C27" s="1408" t="str">
        <f t="shared" si="2"/>
        <v>AMMIXPACK</v>
      </c>
      <c r="D27" s="1408">
        <f t="shared" si="2"/>
        <v>1</v>
      </c>
      <c r="E27" s="1409">
        <v>20</v>
      </c>
      <c r="F27" s="1417" t="s">
        <v>74</v>
      </c>
      <c r="G27" s="1412">
        <f>IF('Design Data'!B91="",0,ROUND('Design Data'!B91,1))</f>
        <v>0</v>
      </c>
      <c r="H27" s="1412">
        <f t="shared" si="1"/>
        <v>0</v>
      </c>
      <c r="I27" s="1413"/>
    </row>
    <row r="28" spans="1:9" x14ac:dyDescent="0.2">
      <c r="A28" s="1418" t="s">
        <v>2207</v>
      </c>
      <c r="B28" s="1407">
        <f t="shared" si="2"/>
        <v>0</v>
      </c>
      <c r="C28" s="1408" t="str">
        <f t="shared" si="2"/>
        <v>AMMIXPACK</v>
      </c>
      <c r="D28" s="1408">
        <f t="shared" si="2"/>
        <v>1</v>
      </c>
      <c r="E28" s="1409">
        <v>21</v>
      </c>
      <c r="F28" s="1417" t="s">
        <v>74</v>
      </c>
      <c r="G28" s="1412">
        <f>IF('Design Data'!D91="",0,ROUND('Design Data'!D91,1))</f>
        <v>0</v>
      </c>
      <c r="H28" s="1412">
        <f t="shared" si="1"/>
        <v>0</v>
      </c>
      <c r="I28" s="1413"/>
    </row>
    <row r="29" spans="1:9" x14ac:dyDescent="0.2">
      <c r="A29" s="1418" t="s">
        <v>2208</v>
      </c>
      <c r="B29" s="1407">
        <f t="shared" si="2"/>
        <v>0</v>
      </c>
      <c r="C29" s="1408" t="str">
        <f t="shared" si="2"/>
        <v>AMMIXPACK</v>
      </c>
      <c r="D29" s="1408">
        <f t="shared" si="2"/>
        <v>1</v>
      </c>
      <c r="E29" s="1409">
        <v>22</v>
      </c>
      <c r="F29" s="1417" t="s">
        <v>74</v>
      </c>
      <c r="G29" s="1412">
        <f>IF('Design Data'!F91="",0,ROUND('Design Data'!F91,3))</f>
        <v>0</v>
      </c>
      <c r="H29" s="1412">
        <f t="shared" si="1"/>
        <v>0</v>
      </c>
      <c r="I29" s="1413"/>
    </row>
    <row r="30" spans="1:9" x14ac:dyDescent="0.2">
      <c r="A30" s="1399" t="s">
        <v>2209</v>
      </c>
      <c r="B30" s="1407">
        <f t="shared" si="2"/>
        <v>0</v>
      </c>
      <c r="C30" s="1408" t="str">
        <f t="shared" si="2"/>
        <v>AMMIXPACK</v>
      </c>
      <c r="D30" s="1408">
        <f t="shared" si="2"/>
        <v>1</v>
      </c>
      <c r="E30" s="1409">
        <v>23</v>
      </c>
      <c r="F30" s="1417" t="s">
        <v>74</v>
      </c>
      <c r="G30" s="1412">
        <f>IF('Design Data'!B96="",0,ROUND('Design Data'!B96,1))</f>
        <v>0</v>
      </c>
      <c r="H30" s="1412">
        <f t="shared" si="1"/>
        <v>0</v>
      </c>
      <c r="I30" s="1413"/>
    </row>
    <row r="31" spans="1:9" x14ac:dyDescent="0.2">
      <c r="A31" s="1399" t="s">
        <v>2210</v>
      </c>
      <c r="B31" s="1407">
        <f t="shared" si="2"/>
        <v>0</v>
      </c>
      <c r="C31" s="1408" t="str">
        <f t="shared" si="2"/>
        <v>AMMIXPACK</v>
      </c>
      <c r="D31" s="1408">
        <f t="shared" si="2"/>
        <v>1</v>
      </c>
      <c r="E31" s="1409">
        <v>24</v>
      </c>
      <c r="F31" s="1417" t="s">
        <v>74</v>
      </c>
      <c r="G31" s="1412">
        <f>IF('Design Data'!D96="",0,ROUND('Design Data'!D96,1))</f>
        <v>0</v>
      </c>
      <c r="H31" s="1412">
        <f t="shared" si="1"/>
        <v>0</v>
      </c>
      <c r="I31" s="1413"/>
    </row>
    <row r="32" spans="1:9" x14ac:dyDescent="0.2">
      <c r="A32" s="1399" t="s">
        <v>2211</v>
      </c>
      <c r="B32" s="1407">
        <f t="shared" si="2"/>
        <v>0</v>
      </c>
      <c r="C32" s="1408" t="str">
        <f t="shared" si="2"/>
        <v>AMMIXPACK</v>
      </c>
      <c r="D32" s="1408">
        <f t="shared" si="2"/>
        <v>1</v>
      </c>
      <c r="E32" s="1409">
        <v>25</v>
      </c>
      <c r="F32" s="1417" t="s">
        <v>74</v>
      </c>
      <c r="G32" s="1412">
        <f>IF('Design Data'!F96="",0,ROUND('Design Data'!F96,1))</f>
        <v>0</v>
      </c>
      <c r="H32" s="1412">
        <f t="shared" si="1"/>
        <v>0</v>
      </c>
      <c r="I32" s="1413"/>
    </row>
    <row r="33" spans="1:9" x14ac:dyDescent="0.2">
      <c r="A33" s="1399" t="s">
        <v>2226</v>
      </c>
      <c r="B33" s="1407">
        <f t="shared" si="2"/>
        <v>0</v>
      </c>
      <c r="C33" s="1408" t="str">
        <f t="shared" si="2"/>
        <v>AMMIXPACK</v>
      </c>
      <c r="D33" s="1408">
        <f t="shared" si="2"/>
        <v>1</v>
      </c>
      <c r="E33" s="1409">
        <v>26</v>
      </c>
      <c r="F33" s="1417" t="s">
        <v>74</v>
      </c>
      <c r="G33" s="1412">
        <f>IF('Design Data'!A87="",0,ROUND('Design Data'!A87,1))</f>
        <v>0</v>
      </c>
      <c r="H33" s="1412">
        <f t="shared" si="1"/>
        <v>0</v>
      </c>
      <c r="I33" s="1413"/>
    </row>
    <row r="34" spans="1:9" x14ac:dyDescent="0.2">
      <c r="A34" s="1399" t="s">
        <v>2227</v>
      </c>
      <c r="B34" s="1407">
        <f t="shared" si="2"/>
        <v>0</v>
      </c>
      <c r="C34" s="1408" t="str">
        <f t="shared" si="2"/>
        <v>AMMIXPACK</v>
      </c>
      <c r="D34" s="1408">
        <f t="shared" si="2"/>
        <v>1</v>
      </c>
      <c r="E34" s="1409">
        <v>27</v>
      </c>
      <c r="F34" s="1417" t="s">
        <v>74</v>
      </c>
      <c r="G34" s="1412">
        <f>IF('Design Data'!B87="",0,ROUND('Design Data'!B87,1))</f>
        <v>0</v>
      </c>
      <c r="H34" s="1412">
        <f t="shared" si="1"/>
        <v>0</v>
      </c>
      <c r="I34" s="1413"/>
    </row>
    <row r="35" spans="1:9" x14ac:dyDescent="0.2">
      <c r="A35" s="1399" t="s">
        <v>2228</v>
      </c>
      <c r="B35" s="1407">
        <f t="shared" si="2"/>
        <v>0</v>
      </c>
      <c r="C35" s="1408" t="str">
        <f t="shared" si="2"/>
        <v>AMMIXPACK</v>
      </c>
      <c r="D35" s="1408">
        <f t="shared" si="2"/>
        <v>1</v>
      </c>
      <c r="E35" s="1409">
        <v>28</v>
      </c>
      <c r="F35" s="1417" t="s">
        <v>74</v>
      </c>
      <c r="G35" s="1412">
        <f>IF('Design Data'!D87="",0,ROUND('Design Data'!D87,1))</f>
        <v>0</v>
      </c>
      <c r="H35" s="1412">
        <f t="shared" si="1"/>
        <v>0</v>
      </c>
      <c r="I35" s="1413"/>
    </row>
    <row r="36" spans="1:9" x14ac:dyDescent="0.2">
      <c r="A36" s="1418" t="s">
        <v>2229</v>
      </c>
      <c r="B36" s="1407">
        <f t="shared" si="2"/>
        <v>0</v>
      </c>
      <c r="C36" s="1408" t="str">
        <f t="shared" si="2"/>
        <v>AMMIXPACK</v>
      </c>
      <c r="D36" s="1408">
        <f t="shared" si="2"/>
        <v>1</v>
      </c>
      <c r="E36" s="1409">
        <v>29</v>
      </c>
      <c r="F36" s="1417" t="s">
        <v>74</v>
      </c>
      <c r="G36" s="1412">
        <f>IF('Design Data'!F87="",0,ROUND('Design Data'!F87,1))</f>
        <v>0</v>
      </c>
      <c r="H36" s="1412">
        <f t="shared" si="1"/>
        <v>0</v>
      </c>
      <c r="I36" s="1413"/>
    </row>
    <row r="37" spans="1:9" x14ac:dyDescent="0.2">
      <c r="A37" s="1418" t="s">
        <v>2230</v>
      </c>
      <c r="B37" s="1407">
        <f t="shared" si="2"/>
        <v>0</v>
      </c>
      <c r="C37" s="1408" t="str">
        <f t="shared" si="2"/>
        <v>AMMIXPACK</v>
      </c>
      <c r="D37" s="1408">
        <f t="shared" si="2"/>
        <v>1</v>
      </c>
      <c r="E37" s="1409">
        <v>30</v>
      </c>
      <c r="F37" s="1417" t="s">
        <v>74</v>
      </c>
      <c r="G37" s="1412">
        <f>IF('Design Data'!B92="",0,ROUND('Design Data'!B92,1))</f>
        <v>0</v>
      </c>
      <c r="H37" s="1412">
        <f t="shared" si="1"/>
        <v>0</v>
      </c>
      <c r="I37" s="1413"/>
    </row>
    <row r="38" spans="1:9" x14ac:dyDescent="0.2">
      <c r="A38" s="1418" t="s">
        <v>2231</v>
      </c>
      <c r="B38" s="1407">
        <f t="shared" si="2"/>
        <v>0</v>
      </c>
      <c r="C38" s="1408" t="str">
        <f t="shared" si="2"/>
        <v>AMMIXPACK</v>
      </c>
      <c r="D38" s="1408">
        <f t="shared" si="2"/>
        <v>1</v>
      </c>
      <c r="E38" s="1409">
        <v>31</v>
      </c>
      <c r="F38" s="1417" t="s">
        <v>74</v>
      </c>
      <c r="G38" s="1412">
        <f>IF('Design Data'!D92="",0,ROUND('Design Data'!D92,1))</f>
        <v>0</v>
      </c>
      <c r="H38" s="1412">
        <f t="shared" si="1"/>
        <v>0</v>
      </c>
      <c r="I38" s="1413"/>
    </row>
    <row r="39" spans="1:9" x14ac:dyDescent="0.2">
      <c r="A39" s="1418" t="s">
        <v>2232</v>
      </c>
      <c r="B39" s="1407">
        <f t="shared" si="2"/>
        <v>0</v>
      </c>
      <c r="C39" s="1408" t="str">
        <f t="shared" si="2"/>
        <v>AMMIXPACK</v>
      </c>
      <c r="D39" s="1408">
        <f t="shared" si="2"/>
        <v>1</v>
      </c>
      <c r="E39" s="1409">
        <v>32</v>
      </c>
      <c r="F39" s="1417" t="s">
        <v>74</v>
      </c>
      <c r="G39" s="1412">
        <f>IF('Design Data'!F92="",0,ROUND('Design Data'!F92,3))</f>
        <v>0</v>
      </c>
      <c r="H39" s="1412">
        <f t="shared" si="1"/>
        <v>0</v>
      </c>
      <c r="I39" s="1413"/>
    </row>
    <row r="40" spans="1:9" x14ac:dyDescent="0.2">
      <c r="A40" s="1399" t="s">
        <v>2233</v>
      </c>
      <c r="B40" s="1407">
        <f t="shared" si="2"/>
        <v>0</v>
      </c>
      <c r="C40" s="1408" t="str">
        <f t="shared" si="2"/>
        <v>AMMIXPACK</v>
      </c>
      <c r="D40" s="1408">
        <f t="shared" si="2"/>
        <v>1</v>
      </c>
      <c r="E40" s="1409">
        <v>33</v>
      </c>
      <c r="F40" s="1417" t="s">
        <v>74</v>
      </c>
      <c r="G40" s="1412">
        <f>IF('Design Data'!B97="",0,ROUND('Design Data'!B97,1))</f>
        <v>0</v>
      </c>
      <c r="H40" s="1412">
        <f t="shared" si="1"/>
        <v>0</v>
      </c>
      <c r="I40" s="1413"/>
    </row>
    <row r="41" spans="1:9" x14ac:dyDescent="0.2">
      <c r="A41" s="1399" t="s">
        <v>2234</v>
      </c>
      <c r="B41" s="1407">
        <f t="shared" ref="B41:D56" si="3">B40</f>
        <v>0</v>
      </c>
      <c r="C41" s="1408" t="str">
        <f t="shared" si="3"/>
        <v>AMMIXPACK</v>
      </c>
      <c r="D41" s="1408">
        <f t="shared" si="3"/>
        <v>1</v>
      </c>
      <c r="E41" s="1409">
        <v>34</v>
      </c>
      <c r="F41" s="1417" t="s">
        <v>74</v>
      </c>
      <c r="G41" s="1412">
        <f>IF('Design Data'!D97="",0,ROUND('Design Data'!D97,1))</f>
        <v>0</v>
      </c>
      <c r="H41" s="1412">
        <f t="shared" si="1"/>
        <v>0</v>
      </c>
      <c r="I41" s="1413"/>
    </row>
    <row r="42" spans="1:9" x14ac:dyDescent="0.2">
      <c r="A42" s="1418" t="s">
        <v>2235</v>
      </c>
      <c r="B42" s="1407">
        <f t="shared" si="3"/>
        <v>0</v>
      </c>
      <c r="C42" s="1408" t="str">
        <f t="shared" si="3"/>
        <v>AMMIXPACK</v>
      </c>
      <c r="D42" s="1408">
        <f t="shared" si="3"/>
        <v>1</v>
      </c>
      <c r="E42" s="1409">
        <v>35</v>
      </c>
      <c r="F42" s="1417" t="s">
        <v>74</v>
      </c>
      <c r="G42" s="1412">
        <f>IF('Design Data'!F97="",0,ROUND('Design Data'!F97,1))</f>
        <v>0</v>
      </c>
      <c r="H42" s="1412">
        <f t="shared" si="1"/>
        <v>0</v>
      </c>
      <c r="I42" s="1413"/>
    </row>
    <row r="43" spans="1:9" x14ac:dyDescent="0.2">
      <c r="A43" s="1418" t="s">
        <v>2236</v>
      </c>
      <c r="B43" s="1407">
        <f t="shared" si="3"/>
        <v>0</v>
      </c>
      <c r="C43" s="1408" t="str">
        <f t="shared" si="3"/>
        <v>AMMIXPACK</v>
      </c>
      <c r="D43" s="1408">
        <f t="shared" si="3"/>
        <v>1</v>
      </c>
      <c r="E43" s="1409">
        <v>36</v>
      </c>
      <c r="F43" s="1417" t="s">
        <v>74</v>
      </c>
      <c r="G43" s="1412">
        <f>IF('Design Data'!A88="",0,ROUND('Design Data'!A88,1))</f>
        <v>0</v>
      </c>
      <c r="H43" s="1412">
        <f t="shared" si="1"/>
        <v>0</v>
      </c>
      <c r="I43" s="1413"/>
    </row>
    <row r="44" spans="1:9" x14ac:dyDescent="0.2">
      <c r="A44" s="1418" t="s">
        <v>2237</v>
      </c>
      <c r="B44" s="1407">
        <f t="shared" si="3"/>
        <v>0</v>
      </c>
      <c r="C44" s="1408" t="str">
        <f t="shared" si="3"/>
        <v>AMMIXPACK</v>
      </c>
      <c r="D44" s="1408">
        <f t="shared" si="3"/>
        <v>1</v>
      </c>
      <c r="E44" s="1409">
        <v>37</v>
      </c>
      <c r="F44" s="1417" t="s">
        <v>74</v>
      </c>
      <c r="G44" s="1412">
        <f>IF('Design Data'!B88="",0,ROUND('Design Data'!B88,1))</f>
        <v>0</v>
      </c>
      <c r="H44" s="1412">
        <f t="shared" si="1"/>
        <v>0</v>
      </c>
      <c r="I44" s="1413"/>
    </row>
    <row r="45" spans="1:9" x14ac:dyDescent="0.2">
      <c r="A45" s="1418" t="s">
        <v>2238</v>
      </c>
      <c r="B45" s="1407">
        <f t="shared" si="3"/>
        <v>0</v>
      </c>
      <c r="C45" s="1408" t="str">
        <f t="shared" si="3"/>
        <v>AMMIXPACK</v>
      </c>
      <c r="D45" s="1408">
        <f t="shared" si="3"/>
        <v>1</v>
      </c>
      <c r="E45" s="1409">
        <v>38</v>
      </c>
      <c r="F45" s="1417" t="s">
        <v>74</v>
      </c>
      <c r="G45" s="1412">
        <f>IF('Design Data'!D88="",0,ROUND('Design Data'!D88,1))</f>
        <v>0</v>
      </c>
      <c r="H45" s="1412">
        <f t="shared" si="1"/>
        <v>0</v>
      </c>
      <c r="I45" s="1413"/>
    </row>
    <row r="46" spans="1:9" x14ac:dyDescent="0.2">
      <c r="A46" s="1418" t="s">
        <v>2239</v>
      </c>
      <c r="B46" s="1407">
        <f t="shared" si="3"/>
        <v>0</v>
      </c>
      <c r="C46" s="1408" t="str">
        <f t="shared" si="3"/>
        <v>AMMIXPACK</v>
      </c>
      <c r="D46" s="1408">
        <f t="shared" si="3"/>
        <v>1</v>
      </c>
      <c r="E46" s="1409">
        <v>39</v>
      </c>
      <c r="F46" s="1417" t="s">
        <v>74</v>
      </c>
      <c r="G46" s="1412">
        <f>IF('Design Data'!F88="",0,ROUND('Design Data'!F88,1))</f>
        <v>0</v>
      </c>
      <c r="H46" s="1412">
        <f t="shared" si="1"/>
        <v>0</v>
      </c>
      <c r="I46" s="1413"/>
    </row>
    <row r="47" spans="1:9" x14ac:dyDescent="0.2">
      <c r="A47" s="1418" t="s">
        <v>2240</v>
      </c>
      <c r="B47" s="1407">
        <f t="shared" si="3"/>
        <v>0</v>
      </c>
      <c r="C47" s="1408" t="str">
        <f t="shared" si="3"/>
        <v>AMMIXPACK</v>
      </c>
      <c r="D47" s="1408">
        <f t="shared" si="3"/>
        <v>1</v>
      </c>
      <c r="E47" s="1409">
        <v>40</v>
      </c>
      <c r="F47" s="1417" t="s">
        <v>74</v>
      </c>
      <c r="G47" s="1412">
        <f>IF('Design Data'!B93="",0,ROUND('Design Data'!B93,1))</f>
        <v>0</v>
      </c>
      <c r="H47" s="1412">
        <f t="shared" si="1"/>
        <v>0</v>
      </c>
      <c r="I47" s="1413"/>
    </row>
    <row r="48" spans="1:9" x14ac:dyDescent="0.2">
      <c r="A48" s="1418" t="s">
        <v>2241</v>
      </c>
      <c r="B48" s="1407">
        <f t="shared" si="3"/>
        <v>0</v>
      </c>
      <c r="C48" s="1408" t="str">
        <f t="shared" si="3"/>
        <v>AMMIXPACK</v>
      </c>
      <c r="D48" s="1408">
        <f t="shared" si="3"/>
        <v>1</v>
      </c>
      <c r="E48" s="1409">
        <v>41</v>
      </c>
      <c r="F48" s="1417" t="s">
        <v>74</v>
      </c>
      <c r="G48" s="1412">
        <f>IF('Design Data'!D93="",0,ROUND('Design Data'!D93,1))</f>
        <v>0</v>
      </c>
      <c r="H48" s="1412">
        <f t="shared" si="1"/>
        <v>0</v>
      </c>
      <c r="I48" s="1413"/>
    </row>
    <row r="49" spans="1:9" x14ac:dyDescent="0.2">
      <c r="A49" s="1418" t="s">
        <v>2242</v>
      </c>
      <c r="B49" s="1407">
        <f t="shared" si="3"/>
        <v>0</v>
      </c>
      <c r="C49" s="1408" t="str">
        <f t="shared" si="3"/>
        <v>AMMIXPACK</v>
      </c>
      <c r="D49" s="1408">
        <f t="shared" si="3"/>
        <v>1</v>
      </c>
      <c r="E49" s="1409">
        <v>42</v>
      </c>
      <c r="F49" s="1417" t="s">
        <v>74</v>
      </c>
      <c r="G49" s="1412">
        <f>IF('Design Data'!F93="",0,ROUND('Design Data'!F93,3))</f>
        <v>0</v>
      </c>
      <c r="H49" s="1412">
        <f t="shared" si="1"/>
        <v>0</v>
      </c>
      <c r="I49" s="1413"/>
    </row>
    <row r="50" spans="1:9" x14ac:dyDescent="0.2">
      <c r="A50" s="1418" t="s">
        <v>2243</v>
      </c>
      <c r="B50" s="1407">
        <f t="shared" si="3"/>
        <v>0</v>
      </c>
      <c r="C50" s="1408" t="str">
        <f t="shared" si="3"/>
        <v>AMMIXPACK</v>
      </c>
      <c r="D50" s="1408">
        <f t="shared" si="3"/>
        <v>1</v>
      </c>
      <c r="E50" s="1409">
        <v>43</v>
      </c>
      <c r="F50" s="1417" t="s">
        <v>74</v>
      </c>
      <c r="G50" s="1412">
        <f>IF('Design Data'!B98="",0,ROUND('Design Data'!B98,1))</f>
        <v>0</v>
      </c>
      <c r="H50" s="1412">
        <f t="shared" si="1"/>
        <v>0</v>
      </c>
      <c r="I50" s="1413"/>
    </row>
    <row r="51" spans="1:9" x14ac:dyDescent="0.2">
      <c r="A51" s="1418" t="s">
        <v>2244</v>
      </c>
      <c r="B51" s="1407">
        <f t="shared" si="3"/>
        <v>0</v>
      </c>
      <c r="C51" s="1408" t="str">
        <f t="shared" si="3"/>
        <v>AMMIXPACK</v>
      </c>
      <c r="D51" s="1408">
        <f t="shared" si="3"/>
        <v>1</v>
      </c>
      <c r="E51" s="1409">
        <v>44</v>
      </c>
      <c r="F51" s="1417" t="s">
        <v>74</v>
      </c>
      <c r="G51" s="1412">
        <f>IF('Design Data'!D98="",0,ROUND('Design Data'!D98,1))</f>
        <v>0</v>
      </c>
      <c r="H51" s="1412">
        <f t="shared" si="1"/>
        <v>0</v>
      </c>
      <c r="I51" s="1413"/>
    </row>
    <row r="52" spans="1:9" x14ac:dyDescent="0.2">
      <c r="A52" s="1418" t="s">
        <v>2245</v>
      </c>
      <c r="B52" s="1407">
        <f t="shared" si="3"/>
        <v>0</v>
      </c>
      <c r="C52" s="1408" t="str">
        <f t="shared" si="3"/>
        <v>AMMIXPACK</v>
      </c>
      <c r="D52" s="1408">
        <f t="shared" si="3"/>
        <v>1</v>
      </c>
      <c r="E52" s="1409">
        <v>45</v>
      </c>
      <c r="F52" s="1417" t="s">
        <v>74</v>
      </c>
      <c r="G52" s="1412">
        <f>IF('Design Data'!F98="",0,ROUND('Design Data'!F98,1))</f>
        <v>0</v>
      </c>
      <c r="H52" s="1412">
        <f t="shared" si="1"/>
        <v>0</v>
      </c>
      <c r="I52" s="1413"/>
    </row>
    <row r="53" spans="1:9" x14ac:dyDescent="0.2">
      <c r="A53" s="1418" t="s">
        <v>2246</v>
      </c>
      <c r="B53" s="1407">
        <f t="shared" si="3"/>
        <v>0</v>
      </c>
      <c r="C53" s="1408" t="str">
        <f t="shared" si="3"/>
        <v>AMMIXPACK</v>
      </c>
      <c r="D53" s="1408">
        <f t="shared" si="3"/>
        <v>1</v>
      </c>
      <c r="E53" s="1409">
        <v>46</v>
      </c>
      <c r="F53" s="1417" t="s">
        <v>74</v>
      </c>
      <c r="G53" s="1412">
        <f>IF('Design Data'!A89="",0,ROUND('Design Data'!A89,1))</f>
        <v>0</v>
      </c>
      <c r="H53" s="1412">
        <f t="shared" si="1"/>
        <v>0</v>
      </c>
      <c r="I53" s="1413"/>
    </row>
    <row r="54" spans="1:9" x14ac:dyDescent="0.2">
      <c r="A54" s="1418" t="s">
        <v>2247</v>
      </c>
      <c r="B54" s="1407">
        <f t="shared" si="3"/>
        <v>0</v>
      </c>
      <c r="C54" s="1408" t="str">
        <f t="shared" si="3"/>
        <v>AMMIXPACK</v>
      </c>
      <c r="D54" s="1408">
        <f t="shared" si="3"/>
        <v>1</v>
      </c>
      <c r="E54" s="1409">
        <v>47</v>
      </c>
      <c r="F54" s="1417" t="s">
        <v>74</v>
      </c>
      <c r="G54" s="1412">
        <f>IF('Design Data'!B89="",0,ROUND('Design Data'!B89,1))</f>
        <v>0</v>
      </c>
      <c r="H54" s="1412">
        <f t="shared" si="1"/>
        <v>0</v>
      </c>
      <c r="I54" s="1413"/>
    </row>
    <row r="55" spans="1:9" x14ac:dyDescent="0.2">
      <c r="A55" s="1418" t="s">
        <v>2248</v>
      </c>
      <c r="B55" s="1407">
        <f t="shared" si="3"/>
        <v>0</v>
      </c>
      <c r="C55" s="1408" t="str">
        <f t="shared" si="3"/>
        <v>AMMIXPACK</v>
      </c>
      <c r="D55" s="1408">
        <f t="shared" si="3"/>
        <v>1</v>
      </c>
      <c r="E55" s="1409">
        <v>48</v>
      </c>
      <c r="F55" s="1417" t="s">
        <v>74</v>
      </c>
      <c r="G55" s="1412">
        <f>IF('Design Data'!D89="",0,ROUND('Design Data'!D89,1))</f>
        <v>0</v>
      </c>
      <c r="H55" s="1412">
        <f t="shared" si="1"/>
        <v>0</v>
      </c>
      <c r="I55" s="1413"/>
    </row>
    <row r="56" spans="1:9" x14ac:dyDescent="0.2">
      <c r="A56" s="1418" t="s">
        <v>2249</v>
      </c>
      <c r="B56" s="1407">
        <f t="shared" si="3"/>
        <v>0</v>
      </c>
      <c r="C56" s="1408" t="str">
        <f t="shared" si="3"/>
        <v>AMMIXPACK</v>
      </c>
      <c r="D56" s="1408">
        <f t="shared" si="3"/>
        <v>1</v>
      </c>
      <c r="E56" s="1409">
        <v>49</v>
      </c>
      <c r="F56" s="1417" t="s">
        <v>74</v>
      </c>
      <c r="G56" s="1412">
        <f>IF('Design Data'!F89="",0,ROUND('Design Data'!F89,1))</f>
        <v>0</v>
      </c>
      <c r="H56" s="1412">
        <f t="shared" si="1"/>
        <v>0</v>
      </c>
      <c r="I56" s="1413"/>
    </row>
    <row r="57" spans="1:9" x14ac:dyDescent="0.2">
      <c r="A57" s="1418" t="s">
        <v>2250</v>
      </c>
      <c r="B57" s="1407">
        <f t="shared" ref="B57:D72" si="4">B56</f>
        <v>0</v>
      </c>
      <c r="C57" s="1408" t="str">
        <f t="shared" si="4"/>
        <v>AMMIXPACK</v>
      </c>
      <c r="D57" s="1408">
        <f t="shared" si="4"/>
        <v>1</v>
      </c>
      <c r="E57" s="1409">
        <v>50</v>
      </c>
      <c r="F57" s="1417" t="s">
        <v>74</v>
      </c>
      <c r="G57" s="1412">
        <f>IF('Design Data'!B94="",0,ROUND('Design Data'!B94,1))</f>
        <v>0</v>
      </c>
      <c r="H57" s="1412">
        <f t="shared" si="1"/>
        <v>0</v>
      </c>
      <c r="I57" s="1413"/>
    </row>
    <row r="58" spans="1:9" x14ac:dyDescent="0.2">
      <c r="A58" s="1418" t="s">
        <v>2251</v>
      </c>
      <c r="B58" s="1407">
        <f t="shared" si="4"/>
        <v>0</v>
      </c>
      <c r="C58" s="1408" t="str">
        <f t="shared" si="4"/>
        <v>AMMIXPACK</v>
      </c>
      <c r="D58" s="1408">
        <f t="shared" si="4"/>
        <v>1</v>
      </c>
      <c r="E58" s="1409">
        <v>51</v>
      </c>
      <c r="F58" s="1417" t="s">
        <v>74</v>
      </c>
      <c r="G58" s="1412">
        <f>IF('Design Data'!D94="",0,ROUND('Design Data'!D94,1))</f>
        <v>0</v>
      </c>
      <c r="H58" s="1412">
        <f t="shared" si="1"/>
        <v>0</v>
      </c>
      <c r="I58" s="1413"/>
    </row>
    <row r="59" spans="1:9" x14ac:dyDescent="0.2">
      <c r="A59" s="1418" t="s">
        <v>2252</v>
      </c>
      <c r="B59" s="1407">
        <f t="shared" si="4"/>
        <v>0</v>
      </c>
      <c r="C59" s="1408" t="str">
        <f t="shared" si="4"/>
        <v>AMMIXPACK</v>
      </c>
      <c r="D59" s="1408">
        <f t="shared" si="4"/>
        <v>1</v>
      </c>
      <c r="E59" s="1409">
        <v>52</v>
      </c>
      <c r="F59" s="1417" t="s">
        <v>74</v>
      </c>
      <c r="G59" s="1412">
        <f>IF('Design Data'!F94="",0,ROUND('Design Data'!F94,3))</f>
        <v>0</v>
      </c>
      <c r="H59" s="1412">
        <f t="shared" si="1"/>
        <v>0</v>
      </c>
      <c r="I59" s="1413"/>
    </row>
    <row r="60" spans="1:9" x14ac:dyDescent="0.2">
      <c r="A60" s="1418" t="s">
        <v>2253</v>
      </c>
      <c r="B60" s="1407">
        <f t="shared" si="4"/>
        <v>0</v>
      </c>
      <c r="C60" s="1408" t="str">
        <f t="shared" si="4"/>
        <v>AMMIXPACK</v>
      </c>
      <c r="D60" s="1408">
        <f t="shared" si="4"/>
        <v>1</v>
      </c>
      <c r="E60" s="1409">
        <v>53</v>
      </c>
      <c r="F60" s="1417" t="s">
        <v>74</v>
      </c>
      <c r="G60" s="1412">
        <f>IF('Design Data'!B99="",0,ROUND('Design Data'!B99,1))</f>
        <v>0</v>
      </c>
      <c r="H60" s="1412">
        <f t="shared" si="1"/>
        <v>0</v>
      </c>
      <c r="I60" s="1413"/>
    </row>
    <row r="61" spans="1:9" x14ac:dyDescent="0.2">
      <c r="A61" s="1399" t="s">
        <v>2254</v>
      </c>
      <c r="B61" s="1407">
        <f t="shared" si="4"/>
        <v>0</v>
      </c>
      <c r="C61" s="1408" t="str">
        <f t="shared" si="4"/>
        <v>AMMIXPACK</v>
      </c>
      <c r="D61" s="1408">
        <f t="shared" si="4"/>
        <v>1</v>
      </c>
      <c r="E61" s="1409">
        <v>54</v>
      </c>
      <c r="F61" s="1417" t="s">
        <v>74</v>
      </c>
      <c r="G61" s="1412">
        <f>IF('Design Data'!D99="",0,ROUND('Design Data'!D99,1))</f>
        <v>0</v>
      </c>
      <c r="H61" s="1412">
        <f t="shared" si="1"/>
        <v>0</v>
      </c>
      <c r="I61" s="1413"/>
    </row>
    <row r="62" spans="1:9" x14ac:dyDescent="0.2">
      <c r="A62" s="1418" t="s">
        <v>2255</v>
      </c>
      <c r="B62" s="1407">
        <f t="shared" si="4"/>
        <v>0</v>
      </c>
      <c r="C62" s="1408" t="str">
        <f t="shared" si="4"/>
        <v>AMMIXPACK</v>
      </c>
      <c r="D62" s="1408">
        <f t="shared" si="4"/>
        <v>1</v>
      </c>
      <c r="E62" s="1409">
        <v>55</v>
      </c>
      <c r="F62" s="1417" t="s">
        <v>74</v>
      </c>
      <c r="G62" s="1412">
        <f>IF('Design Data'!F99="",0,ROUND('Design Data'!F99,1))</f>
        <v>0</v>
      </c>
      <c r="H62" s="1412">
        <f t="shared" si="1"/>
        <v>0</v>
      </c>
      <c r="I62" s="1413"/>
    </row>
    <row r="63" spans="1:9" x14ac:dyDescent="0.2">
      <c r="A63" s="1416" t="s">
        <v>825</v>
      </c>
      <c r="B63" s="1407">
        <f t="shared" si="4"/>
        <v>0</v>
      </c>
      <c r="C63" s="1408" t="str">
        <f t="shared" si="4"/>
        <v>AMMIXPACK</v>
      </c>
      <c r="D63" s="1408">
        <f t="shared" si="4"/>
        <v>1</v>
      </c>
      <c r="E63" s="1409">
        <v>56</v>
      </c>
      <c r="F63" s="1417" t="s">
        <v>74</v>
      </c>
      <c r="G63" s="1411">
        <v>0</v>
      </c>
      <c r="H63" s="1412">
        <f t="shared" si="1"/>
        <v>0</v>
      </c>
      <c r="I63" s="1413"/>
    </row>
    <row r="64" spans="1:9" x14ac:dyDescent="0.2">
      <c r="A64" s="1416" t="s">
        <v>826</v>
      </c>
      <c r="B64" s="1407">
        <f t="shared" si="4"/>
        <v>0</v>
      </c>
      <c r="C64" s="1408" t="str">
        <f t="shared" si="4"/>
        <v>AMMIXPACK</v>
      </c>
      <c r="D64" s="1408">
        <f t="shared" si="4"/>
        <v>1</v>
      </c>
      <c r="E64" s="1409">
        <v>57</v>
      </c>
      <c r="F64" s="1417" t="s">
        <v>74</v>
      </c>
      <c r="G64" s="1411">
        <v>0</v>
      </c>
      <c r="H64" s="1412">
        <f t="shared" si="1"/>
        <v>0</v>
      </c>
      <c r="I64" s="1413"/>
    </row>
    <row r="65" spans="1:9" x14ac:dyDescent="0.2">
      <c r="A65" s="1416" t="s">
        <v>827</v>
      </c>
      <c r="B65" s="1407">
        <f t="shared" si="4"/>
        <v>0</v>
      </c>
      <c r="C65" s="1408" t="str">
        <f t="shared" si="4"/>
        <v>AMMIXPACK</v>
      </c>
      <c r="D65" s="1408">
        <f t="shared" si="4"/>
        <v>1</v>
      </c>
      <c r="E65" s="1409">
        <v>58</v>
      </c>
      <c r="F65" s="1417" t="s">
        <v>74</v>
      </c>
      <c r="G65" s="1411">
        <v>0</v>
      </c>
      <c r="H65" s="1412">
        <f t="shared" si="1"/>
        <v>0</v>
      </c>
      <c r="I65" s="1413"/>
    </row>
    <row r="66" spans="1:9" x14ac:dyDescent="0.2">
      <c r="A66" s="1416" t="s">
        <v>828</v>
      </c>
      <c r="B66" s="1407">
        <f t="shared" si="4"/>
        <v>0</v>
      </c>
      <c r="C66" s="1408" t="str">
        <f t="shared" si="4"/>
        <v>AMMIXPACK</v>
      </c>
      <c r="D66" s="1408">
        <f t="shared" si="4"/>
        <v>1</v>
      </c>
      <c r="E66" s="1409">
        <v>59</v>
      </c>
      <c r="F66" s="1417" t="s">
        <v>74</v>
      </c>
      <c r="G66" s="1411">
        <v>0</v>
      </c>
      <c r="H66" s="1412">
        <f t="shared" si="1"/>
        <v>0</v>
      </c>
      <c r="I66" s="1413"/>
    </row>
    <row r="67" spans="1:9" x14ac:dyDescent="0.2">
      <c r="A67" s="1416" t="s">
        <v>829</v>
      </c>
      <c r="B67" s="1407">
        <f t="shared" si="4"/>
        <v>0</v>
      </c>
      <c r="C67" s="1408" t="str">
        <f t="shared" si="4"/>
        <v>AMMIXPACK</v>
      </c>
      <c r="D67" s="1408">
        <f t="shared" si="4"/>
        <v>1</v>
      </c>
      <c r="E67" s="1409">
        <v>60</v>
      </c>
      <c r="F67" s="1417" t="s">
        <v>74</v>
      </c>
      <c r="G67" s="1411">
        <v>0</v>
      </c>
      <c r="H67" s="1412">
        <f t="shared" si="1"/>
        <v>0</v>
      </c>
      <c r="I67" s="1413"/>
    </row>
    <row r="68" spans="1:9" x14ac:dyDescent="0.2">
      <c r="A68" s="1418" t="s">
        <v>2212</v>
      </c>
      <c r="B68" s="1407">
        <f t="shared" si="4"/>
        <v>0</v>
      </c>
      <c r="C68" s="1408" t="str">
        <f t="shared" si="4"/>
        <v>AMMIXPACK</v>
      </c>
      <c r="D68" s="1408">
        <f t="shared" si="4"/>
        <v>1</v>
      </c>
      <c r="E68" s="1409">
        <v>61</v>
      </c>
      <c r="F68" s="1417" t="s">
        <v>74</v>
      </c>
      <c r="G68" s="1419">
        <f>IF('Design Data'!T61="",0,ROUND('Design Data'!T61,0))</f>
        <v>100</v>
      </c>
      <c r="H68" s="1412">
        <f t="shared" si="1"/>
        <v>0</v>
      </c>
      <c r="I68" s="1413"/>
    </row>
    <row r="69" spans="1:9" x14ac:dyDescent="0.2">
      <c r="A69" s="1399" t="s">
        <v>2213</v>
      </c>
      <c r="B69" s="1407">
        <f t="shared" si="4"/>
        <v>0</v>
      </c>
      <c r="C69" s="1408" t="str">
        <f t="shared" si="4"/>
        <v>AMMIXPACK</v>
      </c>
      <c r="D69" s="1408">
        <f t="shared" si="4"/>
        <v>1</v>
      </c>
      <c r="E69" s="1409">
        <v>62</v>
      </c>
      <c r="F69" s="1417" t="s">
        <v>74</v>
      </c>
      <c r="G69" s="1419">
        <f>IF('Design Data'!T62="",0,ROUND('Design Data'!T62,0))</f>
        <v>0</v>
      </c>
      <c r="H69" s="1412">
        <f t="shared" si="1"/>
        <v>0</v>
      </c>
      <c r="I69" s="1413"/>
    </row>
    <row r="70" spans="1:9" x14ac:dyDescent="0.2">
      <c r="A70" s="1418" t="s">
        <v>2214</v>
      </c>
      <c r="B70" s="1407">
        <f t="shared" si="4"/>
        <v>0</v>
      </c>
      <c r="C70" s="1408" t="str">
        <f t="shared" si="4"/>
        <v>AMMIXPACK</v>
      </c>
      <c r="D70" s="1408">
        <f t="shared" si="4"/>
        <v>1</v>
      </c>
      <c r="E70" s="1409">
        <v>63</v>
      </c>
      <c r="F70" s="1417" t="s">
        <v>74</v>
      </c>
      <c r="G70" s="1419">
        <f>IF('Design Data'!T63="",0,ROUND('Design Data'!T63,0))</f>
        <v>0</v>
      </c>
      <c r="H70" s="1412">
        <f t="shared" si="1"/>
        <v>0</v>
      </c>
      <c r="I70" s="1413"/>
    </row>
    <row r="71" spans="1:9" x14ac:dyDescent="0.2">
      <c r="A71" s="1418" t="s">
        <v>2215</v>
      </c>
      <c r="B71" s="1407">
        <f t="shared" si="4"/>
        <v>0</v>
      </c>
      <c r="C71" s="1408" t="str">
        <f t="shared" si="4"/>
        <v>AMMIXPACK</v>
      </c>
      <c r="D71" s="1408">
        <f t="shared" si="4"/>
        <v>1</v>
      </c>
      <c r="E71" s="1409">
        <v>64</v>
      </c>
      <c r="F71" s="1417" t="s">
        <v>74</v>
      </c>
      <c r="G71" s="1419">
        <f>IF('Design Data'!T64="",0,ROUND('Design Data'!T64,0))</f>
        <v>0</v>
      </c>
      <c r="H71" s="1412">
        <f t="shared" si="1"/>
        <v>0</v>
      </c>
      <c r="I71" s="1413"/>
    </row>
    <row r="72" spans="1:9" x14ac:dyDescent="0.2">
      <c r="A72" s="1418" t="s">
        <v>2216</v>
      </c>
      <c r="B72" s="1407">
        <f t="shared" si="4"/>
        <v>0</v>
      </c>
      <c r="C72" s="1408" t="str">
        <f t="shared" si="4"/>
        <v>AMMIXPACK</v>
      </c>
      <c r="D72" s="1408">
        <f t="shared" si="4"/>
        <v>1</v>
      </c>
      <c r="E72" s="1409">
        <v>65</v>
      </c>
      <c r="F72" s="1417" t="s">
        <v>74</v>
      </c>
      <c r="G72" s="1419">
        <f>IF('Design Data'!T65="",0,ROUND('Design Data'!T65,0))</f>
        <v>0</v>
      </c>
      <c r="H72" s="1412">
        <f t="shared" si="1"/>
        <v>0</v>
      </c>
      <c r="I72" s="1413"/>
    </row>
    <row r="73" spans="1:9" x14ac:dyDescent="0.2">
      <c r="A73" s="1418" t="s">
        <v>2217</v>
      </c>
      <c r="B73" s="1407">
        <f t="shared" ref="B73:D88" si="5">B72</f>
        <v>0</v>
      </c>
      <c r="C73" s="1408" t="str">
        <f t="shared" si="5"/>
        <v>AMMIXPACK</v>
      </c>
      <c r="D73" s="1408">
        <f t="shared" si="5"/>
        <v>1</v>
      </c>
      <c r="E73" s="1409">
        <v>66</v>
      </c>
      <c r="F73" s="1417" t="s">
        <v>74</v>
      </c>
      <c r="G73" s="1419">
        <f>IF('Design Data'!T66="",0,ROUND('Design Data'!T66,0))</f>
        <v>0</v>
      </c>
      <c r="H73" s="1412">
        <f t="shared" ref="H73:H136" si="6">H72</f>
        <v>0</v>
      </c>
      <c r="I73" s="1413"/>
    </row>
    <row r="74" spans="1:9" x14ac:dyDescent="0.2">
      <c r="A74" s="1418" t="s">
        <v>2218</v>
      </c>
      <c r="B74" s="1407">
        <f t="shared" si="5"/>
        <v>0</v>
      </c>
      <c r="C74" s="1408" t="str">
        <f t="shared" si="5"/>
        <v>AMMIXPACK</v>
      </c>
      <c r="D74" s="1408">
        <f t="shared" si="5"/>
        <v>1</v>
      </c>
      <c r="E74" s="1409">
        <v>67</v>
      </c>
      <c r="F74" s="1417" t="s">
        <v>74</v>
      </c>
      <c r="G74" s="1412">
        <f>IF('Design Data'!T67="N / A",0,IF('Design Data'!T67="",0,ROUND('Design Data'!T67,0)))</f>
        <v>0</v>
      </c>
      <c r="H74" s="1412">
        <f t="shared" si="6"/>
        <v>0</v>
      </c>
      <c r="I74" s="1413"/>
    </row>
    <row r="75" spans="1:9" x14ac:dyDescent="0.2">
      <c r="A75" s="1399" t="s">
        <v>2219</v>
      </c>
      <c r="B75" s="1407">
        <f t="shared" si="5"/>
        <v>0</v>
      </c>
      <c r="C75" s="1408" t="str">
        <f t="shared" si="5"/>
        <v>AMMIXPACK</v>
      </c>
      <c r="D75" s="1408">
        <f t="shared" si="5"/>
        <v>1</v>
      </c>
      <c r="E75" s="1409">
        <v>68</v>
      </c>
      <c r="F75" s="1417" t="s">
        <v>74</v>
      </c>
      <c r="G75" s="1419">
        <f>IF('Design Data'!T68="",0,ROUND('Design Data'!T68,0))</f>
        <v>0</v>
      </c>
      <c r="H75" s="1412">
        <f t="shared" si="6"/>
        <v>0</v>
      </c>
      <c r="I75" s="1413"/>
    </row>
    <row r="76" spans="1:9" x14ac:dyDescent="0.2">
      <c r="A76" s="1418" t="s">
        <v>2220</v>
      </c>
      <c r="B76" s="1407">
        <f t="shared" si="5"/>
        <v>0</v>
      </c>
      <c r="C76" s="1408" t="str">
        <f t="shared" si="5"/>
        <v>AMMIXPACK</v>
      </c>
      <c r="D76" s="1408">
        <f t="shared" si="5"/>
        <v>1</v>
      </c>
      <c r="E76" s="1409">
        <v>69</v>
      </c>
      <c r="F76" s="1417" t="s">
        <v>74</v>
      </c>
      <c r="G76" s="1412">
        <f>IF('Design Data'!T69="",0,ROUND('Design Data'!T69,0))</f>
        <v>0</v>
      </c>
      <c r="H76" s="1412">
        <f t="shared" si="6"/>
        <v>0</v>
      </c>
      <c r="I76" s="1413"/>
    </row>
    <row r="77" spans="1:9" x14ac:dyDescent="0.2">
      <c r="A77" s="1418" t="s">
        <v>2221</v>
      </c>
      <c r="B77" s="1407">
        <f t="shared" si="5"/>
        <v>0</v>
      </c>
      <c r="C77" s="1408" t="str">
        <f t="shared" si="5"/>
        <v>AMMIXPACK</v>
      </c>
      <c r="D77" s="1408">
        <f t="shared" si="5"/>
        <v>1</v>
      </c>
      <c r="E77" s="1409">
        <v>70</v>
      </c>
      <c r="F77" s="1417" t="s">
        <v>74</v>
      </c>
      <c r="G77" s="1412">
        <f>IF('Design Data'!T70="",0,ROUND('Design Data'!T70,0))</f>
        <v>0</v>
      </c>
      <c r="H77" s="1412">
        <f t="shared" si="6"/>
        <v>0</v>
      </c>
      <c r="I77" s="1413"/>
    </row>
    <row r="78" spans="1:9" x14ac:dyDescent="0.2">
      <c r="A78" s="1418" t="s">
        <v>2222</v>
      </c>
      <c r="B78" s="1407">
        <f t="shared" si="5"/>
        <v>0</v>
      </c>
      <c r="C78" s="1408" t="str">
        <f t="shared" si="5"/>
        <v>AMMIXPACK</v>
      </c>
      <c r="D78" s="1408">
        <f t="shared" si="5"/>
        <v>1</v>
      </c>
      <c r="E78" s="1409">
        <v>71</v>
      </c>
      <c r="F78" s="1417" t="s">
        <v>74</v>
      </c>
      <c r="G78" s="1412">
        <f>IF('Design Data'!T71="",0,ROUND('Design Data'!T71,0))</f>
        <v>0</v>
      </c>
      <c r="H78" s="1412">
        <f t="shared" si="6"/>
        <v>0</v>
      </c>
      <c r="I78" s="1413"/>
    </row>
    <row r="79" spans="1:9" x14ac:dyDescent="0.2">
      <c r="A79" s="1418" t="s">
        <v>2223</v>
      </c>
      <c r="B79" s="1407">
        <f t="shared" si="5"/>
        <v>0</v>
      </c>
      <c r="C79" s="1408" t="str">
        <f t="shared" si="5"/>
        <v>AMMIXPACK</v>
      </c>
      <c r="D79" s="1408">
        <f t="shared" si="5"/>
        <v>1</v>
      </c>
      <c r="E79" s="1409">
        <v>72</v>
      </c>
      <c r="F79" s="1417" t="s">
        <v>74</v>
      </c>
      <c r="G79" s="1412">
        <f>IF('Design Data'!T72="",0,ROUND('Design Data'!T72,0))</f>
        <v>0</v>
      </c>
      <c r="H79" s="1412">
        <f t="shared" si="6"/>
        <v>0</v>
      </c>
      <c r="I79" s="1413"/>
    </row>
    <row r="80" spans="1:9" x14ac:dyDescent="0.2">
      <c r="A80" s="1418" t="s">
        <v>2224</v>
      </c>
      <c r="B80" s="1407">
        <f t="shared" si="5"/>
        <v>0</v>
      </c>
      <c r="C80" s="1408" t="str">
        <f t="shared" si="5"/>
        <v>AMMIXPACK</v>
      </c>
      <c r="D80" s="1408">
        <f t="shared" si="5"/>
        <v>1</v>
      </c>
      <c r="E80" s="1409">
        <v>73</v>
      </c>
      <c r="F80" s="1417" t="s">
        <v>74</v>
      </c>
      <c r="G80" s="1412">
        <f>IF('Design Data'!T73="",0,ROUND('Design Data'!T73,0))</f>
        <v>0</v>
      </c>
      <c r="H80" s="1412">
        <f t="shared" si="6"/>
        <v>0</v>
      </c>
      <c r="I80" s="1413"/>
    </row>
    <row r="81" spans="1:9" x14ac:dyDescent="0.2">
      <c r="A81" s="1399" t="s">
        <v>2225</v>
      </c>
      <c r="B81" s="1407">
        <f t="shared" si="5"/>
        <v>0</v>
      </c>
      <c r="C81" s="1408" t="str">
        <f t="shared" si="5"/>
        <v>AMMIXPACK</v>
      </c>
      <c r="D81" s="1408">
        <f t="shared" si="5"/>
        <v>1</v>
      </c>
      <c r="E81" s="1409">
        <v>74</v>
      </c>
      <c r="F81" s="1417" t="s">
        <v>74</v>
      </c>
      <c r="G81" s="1412">
        <f>IF('Design Data'!T74="",0,ROUND('Design Data'!T74,1))</f>
        <v>0</v>
      </c>
      <c r="H81" s="1412">
        <f t="shared" si="6"/>
        <v>0</v>
      </c>
      <c r="I81" s="1413"/>
    </row>
    <row r="82" spans="1:9" x14ac:dyDescent="0.2">
      <c r="A82" s="1418" t="s">
        <v>1628</v>
      </c>
      <c r="B82" s="1407">
        <f t="shared" si="5"/>
        <v>0</v>
      </c>
      <c r="C82" s="1408" t="str">
        <f t="shared" si="5"/>
        <v>AMMIXPACK</v>
      </c>
      <c r="D82" s="1408">
        <f t="shared" si="5"/>
        <v>1</v>
      </c>
      <c r="E82" s="1409">
        <v>75</v>
      </c>
      <c r="F82" s="1417" t="s">
        <v>74</v>
      </c>
      <c r="G82" s="1411">
        <v>0</v>
      </c>
      <c r="H82" s="1412">
        <f t="shared" si="6"/>
        <v>0</v>
      </c>
      <c r="I82" s="1413"/>
    </row>
    <row r="83" spans="1:9" x14ac:dyDescent="0.2">
      <c r="A83" s="1418" t="s">
        <v>2256</v>
      </c>
      <c r="B83" s="1407">
        <f t="shared" si="5"/>
        <v>0</v>
      </c>
      <c r="C83" s="1408" t="str">
        <f t="shared" si="5"/>
        <v>AMMIXPACK</v>
      </c>
      <c r="D83" s="1408">
        <f t="shared" si="5"/>
        <v>1</v>
      </c>
      <c r="E83" s="1409">
        <v>76</v>
      </c>
      <c r="F83" s="1417" t="s">
        <v>74</v>
      </c>
      <c r="G83" s="1412">
        <f>IF('Design Data'!U15="",0,ROUND('Design Data'!U15,0))</f>
        <v>100</v>
      </c>
      <c r="H83" s="1412">
        <f t="shared" si="6"/>
        <v>0</v>
      </c>
      <c r="I83" s="1413"/>
    </row>
    <row r="84" spans="1:9" x14ac:dyDescent="0.2">
      <c r="A84" s="1418" t="s">
        <v>2257</v>
      </c>
      <c r="B84" s="1407">
        <f t="shared" si="5"/>
        <v>0</v>
      </c>
      <c r="C84" s="1408" t="str">
        <f t="shared" si="5"/>
        <v>AMMIXPACK</v>
      </c>
      <c r="D84" s="1408">
        <f t="shared" si="5"/>
        <v>1</v>
      </c>
      <c r="E84" s="1409">
        <v>77</v>
      </c>
      <c r="F84" s="1417" t="s">
        <v>74</v>
      </c>
      <c r="G84" s="1412">
        <f>IF('Design Data'!U16="",0,ROUND('Design Data'!U16,0))</f>
        <v>0</v>
      </c>
      <c r="H84" s="1412">
        <f t="shared" si="6"/>
        <v>0</v>
      </c>
      <c r="I84" s="1413"/>
    </row>
    <row r="85" spans="1:9" x14ac:dyDescent="0.2">
      <c r="A85" s="1418" t="s">
        <v>2258</v>
      </c>
      <c r="B85" s="1407">
        <f t="shared" si="5"/>
        <v>0</v>
      </c>
      <c r="C85" s="1408" t="str">
        <f t="shared" si="5"/>
        <v>AMMIXPACK</v>
      </c>
      <c r="D85" s="1408">
        <f t="shared" si="5"/>
        <v>1</v>
      </c>
      <c r="E85" s="1409">
        <v>78</v>
      </c>
      <c r="F85" s="1417" t="s">
        <v>74</v>
      </c>
      <c r="G85" s="1412">
        <f>IF('Design Data'!U17="",0,ROUND('Design Data'!U17,0))</f>
        <v>0</v>
      </c>
      <c r="H85" s="1412">
        <f t="shared" si="6"/>
        <v>0</v>
      </c>
      <c r="I85" s="1413"/>
    </row>
    <row r="86" spans="1:9" x14ac:dyDescent="0.2">
      <c r="A86" s="1399" t="s">
        <v>2259</v>
      </c>
      <c r="B86" s="1407">
        <f t="shared" si="5"/>
        <v>0</v>
      </c>
      <c r="C86" s="1408" t="str">
        <f t="shared" si="5"/>
        <v>AMMIXPACK</v>
      </c>
      <c r="D86" s="1408">
        <f t="shared" si="5"/>
        <v>1</v>
      </c>
      <c r="E86" s="1409">
        <v>79</v>
      </c>
      <c r="F86" s="1417" t="s">
        <v>74</v>
      </c>
      <c r="G86" s="1412">
        <f>IF('Design Data'!U18="",0,ROUND('Design Data'!U18,0))</f>
        <v>0</v>
      </c>
      <c r="H86" s="1412">
        <f t="shared" si="6"/>
        <v>0</v>
      </c>
      <c r="I86" s="1413"/>
    </row>
    <row r="87" spans="1:9" x14ac:dyDescent="0.2">
      <c r="A87" s="1418" t="s">
        <v>2260</v>
      </c>
      <c r="B87" s="1407">
        <f t="shared" si="5"/>
        <v>0</v>
      </c>
      <c r="C87" s="1408" t="str">
        <f t="shared" si="5"/>
        <v>AMMIXPACK</v>
      </c>
      <c r="D87" s="1408">
        <f t="shared" si="5"/>
        <v>1</v>
      </c>
      <c r="E87" s="1409">
        <v>80</v>
      </c>
      <c r="F87" s="1417" t="s">
        <v>74</v>
      </c>
      <c r="G87" s="1412">
        <f>IF('Design Data'!U19="",0,ROUND('Design Data'!U19,0))</f>
        <v>0</v>
      </c>
      <c r="H87" s="1412">
        <f t="shared" si="6"/>
        <v>0</v>
      </c>
      <c r="I87" s="1413"/>
    </row>
    <row r="88" spans="1:9" x14ac:dyDescent="0.2">
      <c r="A88" s="1418" t="s">
        <v>2261</v>
      </c>
      <c r="B88" s="1407">
        <f t="shared" si="5"/>
        <v>0</v>
      </c>
      <c r="C88" s="1408" t="str">
        <f t="shared" si="5"/>
        <v>AMMIXPACK</v>
      </c>
      <c r="D88" s="1408">
        <f t="shared" si="5"/>
        <v>1</v>
      </c>
      <c r="E88" s="1409">
        <v>81</v>
      </c>
      <c r="F88" s="1417" t="s">
        <v>74</v>
      </c>
      <c r="G88" s="1412">
        <f>IF('Design Data'!U20="",0,ROUND('Design Data'!U20,0))</f>
        <v>0</v>
      </c>
      <c r="H88" s="1412">
        <f t="shared" si="6"/>
        <v>0</v>
      </c>
      <c r="I88" s="1413"/>
    </row>
    <row r="89" spans="1:9" x14ac:dyDescent="0.2">
      <c r="A89" s="1418" t="s">
        <v>2262</v>
      </c>
      <c r="B89" s="1407">
        <f t="shared" ref="B89:D104" si="7">B88</f>
        <v>0</v>
      </c>
      <c r="C89" s="1408" t="str">
        <f t="shared" si="7"/>
        <v>AMMIXPACK</v>
      </c>
      <c r="D89" s="1408">
        <f t="shared" si="7"/>
        <v>1</v>
      </c>
      <c r="E89" s="1409">
        <v>82</v>
      </c>
      <c r="F89" s="1417" t="s">
        <v>74</v>
      </c>
      <c r="G89" s="1412" t="e">
        <f>IF('Design Data'!U21="N /A",0,IF('Design Data'!U21="",0,ROUND('Design Data'!U21,0)))</f>
        <v>#VALUE!</v>
      </c>
      <c r="H89" s="1412">
        <f t="shared" si="6"/>
        <v>0</v>
      </c>
      <c r="I89" s="1413"/>
    </row>
    <row r="90" spans="1:9" x14ac:dyDescent="0.2">
      <c r="A90" s="1418" t="s">
        <v>2263</v>
      </c>
      <c r="B90" s="1407">
        <f t="shared" si="7"/>
        <v>0</v>
      </c>
      <c r="C90" s="1408" t="str">
        <f t="shared" si="7"/>
        <v>AMMIXPACK</v>
      </c>
      <c r="D90" s="1408">
        <f t="shared" si="7"/>
        <v>1</v>
      </c>
      <c r="E90" s="1409">
        <v>83</v>
      </c>
      <c r="F90" s="1417" t="s">
        <v>74</v>
      </c>
      <c r="G90" s="1412">
        <f>IF('Design Data'!U22="",0,ROUND('Design Data'!U22,0))</f>
        <v>0</v>
      </c>
      <c r="H90" s="1412">
        <f t="shared" si="6"/>
        <v>0</v>
      </c>
      <c r="I90" s="1413"/>
    </row>
    <row r="91" spans="1:9" x14ac:dyDescent="0.2">
      <c r="A91" s="1418" t="s">
        <v>2264</v>
      </c>
      <c r="B91" s="1407">
        <f t="shared" si="7"/>
        <v>0</v>
      </c>
      <c r="C91" s="1408" t="str">
        <f t="shared" si="7"/>
        <v>AMMIXPACK</v>
      </c>
      <c r="D91" s="1408">
        <f t="shared" si="7"/>
        <v>1</v>
      </c>
      <c r="E91" s="1409">
        <v>84</v>
      </c>
      <c r="F91" s="1417" t="s">
        <v>74</v>
      </c>
      <c r="G91" s="1412">
        <f>IF('Design Data'!U23="",0,ROUND('Design Data'!U23,0))</f>
        <v>0</v>
      </c>
      <c r="H91" s="1412">
        <f t="shared" si="6"/>
        <v>0</v>
      </c>
      <c r="I91" s="1413"/>
    </row>
    <row r="92" spans="1:9" x14ac:dyDescent="0.2">
      <c r="A92" s="1399" t="s">
        <v>2265</v>
      </c>
      <c r="B92" s="1407">
        <f t="shared" si="7"/>
        <v>0</v>
      </c>
      <c r="C92" s="1408" t="str">
        <f t="shared" si="7"/>
        <v>AMMIXPACK</v>
      </c>
      <c r="D92" s="1408">
        <f t="shared" si="7"/>
        <v>1</v>
      </c>
      <c r="E92" s="1409">
        <v>85</v>
      </c>
      <c r="F92" s="1417" t="s">
        <v>74</v>
      </c>
      <c r="G92" s="1412">
        <f>IF('Design Data'!U24="",0,ROUND('Design Data'!U24,0))</f>
        <v>0</v>
      </c>
      <c r="H92" s="1412">
        <f t="shared" si="6"/>
        <v>0</v>
      </c>
      <c r="I92" s="1413"/>
    </row>
    <row r="93" spans="1:9" x14ac:dyDescent="0.2">
      <c r="A93" s="1399" t="s">
        <v>2266</v>
      </c>
      <c r="B93" s="1407">
        <f t="shared" si="7"/>
        <v>0</v>
      </c>
      <c r="C93" s="1408" t="str">
        <f t="shared" si="7"/>
        <v>AMMIXPACK</v>
      </c>
      <c r="D93" s="1408">
        <f t="shared" si="7"/>
        <v>1</v>
      </c>
      <c r="E93" s="1409">
        <v>86</v>
      </c>
      <c r="F93" s="1417" t="s">
        <v>74</v>
      </c>
      <c r="G93" s="1412">
        <f>IF('Design Data'!U25="",0,ROUND('Design Data'!U25,0))</f>
        <v>0</v>
      </c>
      <c r="H93" s="1412">
        <f t="shared" si="6"/>
        <v>0</v>
      </c>
      <c r="I93" s="1413"/>
    </row>
    <row r="94" spans="1:9" x14ac:dyDescent="0.2">
      <c r="A94" s="1418" t="s">
        <v>2267</v>
      </c>
      <c r="B94" s="1407">
        <f t="shared" si="7"/>
        <v>0</v>
      </c>
      <c r="C94" s="1408" t="str">
        <f t="shared" si="7"/>
        <v>AMMIXPACK</v>
      </c>
      <c r="D94" s="1408">
        <f t="shared" si="7"/>
        <v>1</v>
      </c>
      <c r="E94" s="1409">
        <v>87</v>
      </c>
      <c r="F94" s="1417" t="s">
        <v>74</v>
      </c>
      <c r="G94" s="1412">
        <f>IF('Design Data'!U26="",0,ROUND('Design Data'!U26,0))</f>
        <v>0</v>
      </c>
      <c r="H94" s="1412">
        <f t="shared" si="6"/>
        <v>0</v>
      </c>
      <c r="I94" s="1413"/>
    </row>
    <row r="95" spans="1:9" x14ac:dyDescent="0.2">
      <c r="A95" s="1418" t="s">
        <v>2268</v>
      </c>
      <c r="B95" s="1407">
        <f t="shared" si="7"/>
        <v>0</v>
      </c>
      <c r="C95" s="1408" t="str">
        <f t="shared" si="7"/>
        <v>AMMIXPACK</v>
      </c>
      <c r="D95" s="1408">
        <f t="shared" si="7"/>
        <v>1</v>
      </c>
      <c r="E95" s="1409">
        <v>88</v>
      </c>
      <c r="F95" s="1417" t="s">
        <v>74</v>
      </c>
      <c r="G95" s="1412">
        <f>IF('Design Data'!U27="",0,ROUND('Design Data'!U27,0))</f>
        <v>0</v>
      </c>
      <c r="H95" s="1412">
        <f t="shared" si="6"/>
        <v>0</v>
      </c>
      <c r="I95" s="1413"/>
    </row>
    <row r="96" spans="1:9" x14ac:dyDescent="0.2">
      <c r="A96" s="1418" t="s">
        <v>2269</v>
      </c>
      <c r="B96" s="1407">
        <f t="shared" si="7"/>
        <v>0</v>
      </c>
      <c r="C96" s="1408" t="str">
        <f t="shared" si="7"/>
        <v>AMMIXPACK</v>
      </c>
      <c r="D96" s="1408">
        <f t="shared" si="7"/>
        <v>1</v>
      </c>
      <c r="E96" s="1409">
        <v>89</v>
      </c>
      <c r="F96" s="1417" t="s">
        <v>74</v>
      </c>
      <c r="G96" s="1412">
        <f>IF('Design Data'!U28="",0,ROUND('Design Data'!U28,1))</f>
        <v>0</v>
      </c>
      <c r="H96" s="1412">
        <f t="shared" si="6"/>
        <v>0</v>
      </c>
      <c r="I96" s="1413"/>
    </row>
    <row r="97" spans="1:9" x14ac:dyDescent="0.2">
      <c r="A97" s="1416" t="s">
        <v>1629</v>
      </c>
      <c r="B97" s="1407">
        <f t="shared" si="7"/>
        <v>0</v>
      </c>
      <c r="C97" s="1408" t="str">
        <f t="shared" si="7"/>
        <v>AMMIXPACK</v>
      </c>
      <c r="D97" s="1408">
        <f t="shared" si="7"/>
        <v>1</v>
      </c>
      <c r="E97" s="1409">
        <v>90</v>
      </c>
      <c r="F97" s="1417" t="s">
        <v>74</v>
      </c>
      <c r="G97" s="1411">
        <v>0</v>
      </c>
      <c r="H97" s="1412">
        <f t="shared" si="6"/>
        <v>0</v>
      </c>
      <c r="I97" s="1413"/>
    </row>
    <row r="98" spans="1:9" x14ac:dyDescent="0.2">
      <c r="A98" s="1416" t="s">
        <v>1630</v>
      </c>
      <c r="B98" s="1407">
        <f t="shared" si="7"/>
        <v>0</v>
      </c>
      <c r="C98" s="1408" t="str">
        <f t="shared" si="7"/>
        <v>AMMIXPACK</v>
      </c>
      <c r="D98" s="1408">
        <f t="shared" si="7"/>
        <v>1</v>
      </c>
      <c r="E98" s="1409">
        <v>91</v>
      </c>
      <c r="F98" s="1417" t="s">
        <v>74</v>
      </c>
      <c r="G98" s="1411">
        <v>0</v>
      </c>
      <c r="H98" s="1412">
        <f t="shared" si="6"/>
        <v>0</v>
      </c>
      <c r="I98" s="1413"/>
    </row>
    <row r="99" spans="1:9" x14ac:dyDescent="0.2">
      <c r="A99" s="1418" t="s">
        <v>997</v>
      </c>
      <c r="B99" s="1407">
        <f t="shared" si="7"/>
        <v>0</v>
      </c>
      <c r="C99" s="1408" t="str">
        <f t="shared" si="7"/>
        <v>AMMIXPACK</v>
      </c>
      <c r="D99" s="1408">
        <f t="shared" si="7"/>
        <v>1</v>
      </c>
      <c r="E99" s="1409">
        <v>92</v>
      </c>
      <c r="F99" s="1420" t="str">
        <f>IF('Design Data'!M76="","",'Design Data'!M76)</f>
        <v/>
      </c>
      <c r="G99" s="1411">
        <v>0</v>
      </c>
      <c r="H99" s="1412">
        <f t="shared" si="6"/>
        <v>0</v>
      </c>
      <c r="I99" s="1413"/>
    </row>
    <row r="100" spans="1:9" x14ac:dyDescent="0.2">
      <c r="A100" s="1416" t="s">
        <v>1631</v>
      </c>
      <c r="B100" s="1407">
        <f t="shared" si="7"/>
        <v>0</v>
      </c>
      <c r="C100" s="1408" t="str">
        <f t="shared" si="7"/>
        <v>AMMIXPACK</v>
      </c>
      <c r="D100" s="1408">
        <f t="shared" si="7"/>
        <v>1</v>
      </c>
      <c r="E100" s="1409">
        <v>93</v>
      </c>
      <c r="F100" s="1417" t="s">
        <v>74</v>
      </c>
      <c r="G100" s="1411">
        <v>0</v>
      </c>
      <c r="H100" s="1412">
        <f t="shared" si="6"/>
        <v>0</v>
      </c>
      <c r="I100" s="1413"/>
    </row>
    <row r="101" spans="1:9" x14ac:dyDescent="0.2">
      <c r="A101" s="1399" t="s">
        <v>178</v>
      </c>
      <c r="B101" s="1407">
        <f t="shared" si="7"/>
        <v>0</v>
      </c>
      <c r="C101" s="1408" t="str">
        <f t="shared" si="7"/>
        <v>AMMIXPACK</v>
      </c>
      <c r="D101" s="1408">
        <f t="shared" si="7"/>
        <v>1</v>
      </c>
      <c r="E101" s="1409">
        <v>94</v>
      </c>
      <c r="F101" s="1414">
        <f>'Design Data'!O52</f>
        <v>0</v>
      </c>
      <c r="G101" s="1411">
        <v>0</v>
      </c>
      <c r="H101" s="1412">
        <f t="shared" si="6"/>
        <v>0</v>
      </c>
      <c r="I101" s="1413"/>
    </row>
    <row r="102" spans="1:9" x14ac:dyDescent="0.2">
      <c r="A102" s="1418" t="s">
        <v>184</v>
      </c>
      <c r="B102" s="1407">
        <f t="shared" si="7"/>
        <v>0</v>
      </c>
      <c r="C102" s="1408" t="str">
        <f t="shared" si="7"/>
        <v>AMMIXPACK</v>
      </c>
      <c r="D102" s="1408">
        <f t="shared" si="7"/>
        <v>1</v>
      </c>
      <c r="E102" s="1409">
        <v>95</v>
      </c>
      <c r="F102" s="1417" t="s">
        <v>74</v>
      </c>
      <c r="G102" s="1412">
        <f>IF('Design Data'!O53="",0,ROUND('Design Data'!O53,0))</f>
        <v>0</v>
      </c>
      <c r="H102" s="1412">
        <f t="shared" si="6"/>
        <v>0</v>
      </c>
      <c r="I102" s="1413"/>
    </row>
    <row r="103" spans="1:9" x14ac:dyDescent="0.2">
      <c r="A103" s="1418" t="s">
        <v>186</v>
      </c>
      <c r="B103" s="1407">
        <f t="shared" si="7"/>
        <v>0</v>
      </c>
      <c r="C103" s="1408" t="str">
        <f t="shared" si="7"/>
        <v>AMMIXPACK</v>
      </c>
      <c r="D103" s="1408">
        <f t="shared" si="7"/>
        <v>1</v>
      </c>
      <c r="E103" s="1409">
        <v>96</v>
      </c>
      <c r="F103" s="1417" t="s">
        <v>74</v>
      </c>
      <c r="G103" s="1412">
        <f>IF('Design Data'!O54="",0,ROUND('Design Data'!O54,0))</f>
        <v>0</v>
      </c>
      <c r="H103" s="1412">
        <f t="shared" si="6"/>
        <v>0</v>
      </c>
      <c r="I103" s="1413"/>
    </row>
    <row r="104" spans="1:9" x14ac:dyDescent="0.2">
      <c r="A104" s="1418" t="s">
        <v>193</v>
      </c>
      <c r="B104" s="1407">
        <f t="shared" si="7"/>
        <v>0</v>
      </c>
      <c r="C104" s="1408" t="str">
        <f t="shared" si="7"/>
        <v>AMMIXPACK</v>
      </c>
      <c r="D104" s="1408">
        <f t="shared" si="7"/>
        <v>1</v>
      </c>
      <c r="E104" s="1409">
        <v>97</v>
      </c>
      <c r="F104" s="1417" t="s">
        <v>74</v>
      </c>
      <c r="G104" s="1412">
        <f>IF('Design Data'!O55="",0,ROUND('Design Data'!O55,0))</f>
        <v>0</v>
      </c>
      <c r="H104" s="1412">
        <f t="shared" si="6"/>
        <v>0</v>
      </c>
      <c r="I104" s="1413"/>
    </row>
    <row r="105" spans="1:9" x14ac:dyDescent="0.2">
      <c r="A105" s="1418" t="s">
        <v>143</v>
      </c>
      <c r="B105" s="1407">
        <f t="shared" ref="B105:D120" si="8">B104</f>
        <v>0</v>
      </c>
      <c r="C105" s="1408" t="str">
        <f t="shared" si="8"/>
        <v>AMMIXPACK</v>
      </c>
      <c r="D105" s="1408">
        <f t="shared" si="8"/>
        <v>1</v>
      </c>
      <c r="E105" s="1409">
        <v>98</v>
      </c>
      <c r="F105" s="1417" t="s">
        <v>74</v>
      </c>
      <c r="G105" s="1412">
        <f>IF('Design Data'!O56="",0,ROUND('Design Data'!O56,1))</f>
        <v>0</v>
      </c>
      <c r="H105" s="1412">
        <f t="shared" si="6"/>
        <v>0</v>
      </c>
      <c r="I105" s="1413"/>
    </row>
    <row r="106" spans="1:9" x14ac:dyDescent="0.2">
      <c r="A106" s="1399" t="s">
        <v>142</v>
      </c>
      <c r="B106" s="1407">
        <f t="shared" si="8"/>
        <v>0</v>
      </c>
      <c r="C106" s="1408" t="str">
        <f t="shared" si="8"/>
        <v>AMMIXPACK</v>
      </c>
      <c r="D106" s="1408">
        <f t="shared" si="8"/>
        <v>1</v>
      </c>
      <c r="E106" s="1409">
        <v>99</v>
      </c>
      <c r="F106" s="1417" t="s">
        <v>74</v>
      </c>
      <c r="G106" s="1412">
        <f>IF('Design Data'!O57="",0,ROUND('Design Data'!O57,1))</f>
        <v>0</v>
      </c>
      <c r="H106" s="1412">
        <f t="shared" si="6"/>
        <v>0</v>
      </c>
      <c r="I106" s="1413"/>
    </row>
    <row r="107" spans="1:9" x14ac:dyDescent="0.2">
      <c r="A107" s="1399" t="s">
        <v>198</v>
      </c>
      <c r="B107" s="1407">
        <f t="shared" si="8"/>
        <v>0</v>
      </c>
      <c r="C107" s="1408" t="str">
        <f t="shared" si="8"/>
        <v>AMMIXPACK</v>
      </c>
      <c r="D107" s="1408">
        <f t="shared" si="8"/>
        <v>1</v>
      </c>
      <c r="E107" s="1409">
        <v>100</v>
      </c>
      <c r="F107" s="1417" t="s">
        <v>74</v>
      </c>
      <c r="G107" s="1412">
        <f>IF('Design Data'!O58="",0,ROUND('Design Data'!O58,1))</f>
        <v>0</v>
      </c>
      <c r="H107" s="1412">
        <f t="shared" si="6"/>
        <v>0</v>
      </c>
      <c r="I107" s="1413"/>
    </row>
    <row r="108" spans="1:9" x14ac:dyDescent="0.2">
      <c r="A108" s="1399" t="s">
        <v>809</v>
      </c>
      <c r="B108" s="1407">
        <f t="shared" si="8"/>
        <v>0</v>
      </c>
      <c r="C108" s="1408" t="str">
        <f t="shared" si="8"/>
        <v>AMMIXPACK</v>
      </c>
      <c r="D108" s="1408">
        <f t="shared" si="8"/>
        <v>1</v>
      </c>
      <c r="E108" s="1409">
        <v>101</v>
      </c>
      <c r="F108" s="1417" t="s">
        <v>74</v>
      </c>
      <c r="G108" s="1412">
        <f>IF('Design Data'!O59="",0,ROUND('Design Data'!O59,1))</f>
        <v>0</v>
      </c>
      <c r="H108" s="1412">
        <f t="shared" si="6"/>
        <v>0</v>
      </c>
      <c r="I108" s="1413"/>
    </row>
    <row r="109" spans="1:9" x14ac:dyDescent="0.2">
      <c r="A109" s="1399" t="s">
        <v>810</v>
      </c>
      <c r="B109" s="1407">
        <f t="shared" si="8"/>
        <v>0</v>
      </c>
      <c r="C109" s="1408" t="str">
        <f t="shared" si="8"/>
        <v>AMMIXPACK</v>
      </c>
      <c r="D109" s="1408">
        <f t="shared" si="8"/>
        <v>1</v>
      </c>
      <c r="E109" s="1409">
        <v>102</v>
      </c>
      <c r="F109" s="1417" t="s">
        <v>74</v>
      </c>
      <c r="G109" s="1412">
        <f>IF('Design Data'!O60="",0,ROUND('Design Data'!O60,1))</f>
        <v>0</v>
      </c>
      <c r="H109" s="1412">
        <f t="shared" si="6"/>
        <v>0</v>
      </c>
      <c r="I109" s="1413"/>
    </row>
    <row r="110" spans="1:9" x14ac:dyDescent="0.2">
      <c r="A110" s="1399" t="s">
        <v>202</v>
      </c>
      <c r="B110" s="1407">
        <f t="shared" si="8"/>
        <v>0</v>
      </c>
      <c r="C110" s="1408" t="str">
        <f t="shared" si="8"/>
        <v>AMMIXPACK</v>
      </c>
      <c r="D110" s="1408">
        <f t="shared" si="8"/>
        <v>1</v>
      </c>
      <c r="E110" s="1409">
        <v>103</v>
      </c>
      <c r="F110" s="1417" t="s">
        <v>74</v>
      </c>
      <c r="G110" s="1412">
        <f>IF('Design Data'!O61="",0,ROUND('Design Data'!O61,1))</f>
        <v>0</v>
      </c>
      <c r="H110" s="1412">
        <f t="shared" si="6"/>
        <v>0</v>
      </c>
      <c r="I110" s="1413"/>
    </row>
    <row r="111" spans="1:9" x14ac:dyDescent="0.2">
      <c r="A111" s="1418" t="s">
        <v>811</v>
      </c>
      <c r="B111" s="1407">
        <f t="shared" si="8"/>
        <v>0</v>
      </c>
      <c r="C111" s="1408" t="str">
        <f t="shared" si="8"/>
        <v>AMMIXPACK</v>
      </c>
      <c r="D111" s="1408">
        <f t="shared" si="8"/>
        <v>1</v>
      </c>
      <c r="E111" s="1409">
        <v>104</v>
      </c>
      <c r="F111" s="1417" t="s">
        <v>74</v>
      </c>
      <c r="G111" s="1412">
        <f>IF('Design Data'!O62="",0,ROUND('Design Data'!O62,1))</f>
        <v>0</v>
      </c>
      <c r="H111" s="1412">
        <f t="shared" si="6"/>
        <v>0</v>
      </c>
      <c r="I111" s="1413"/>
    </row>
    <row r="112" spans="1:9" x14ac:dyDescent="0.2">
      <c r="A112" s="1418" t="s">
        <v>133</v>
      </c>
      <c r="B112" s="1407">
        <f t="shared" si="8"/>
        <v>0</v>
      </c>
      <c r="C112" s="1408" t="str">
        <f t="shared" si="8"/>
        <v>AMMIXPACK</v>
      </c>
      <c r="D112" s="1408">
        <f t="shared" si="8"/>
        <v>1</v>
      </c>
      <c r="E112" s="1409">
        <v>105</v>
      </c>
      <c r="F112" s="1417" t="s">
        <v>74</v>
      </c>
      <c r="G112" s="1412">
        <f>IF('Design Data'!O63="",0,ROUND('Design Data'!O63,1))</f>
        <v>0</v>
      </c>
      <c r="H112" s="1412">
        <f t="shared" si="6"/>
        <v>0</v>
      </c>
      <c r="I112" s="1413"/>
    </row>
    <row r="113" spans="1:9" x14ac:dyDescent="0.2">
      <c r="A113" s="1418" t="s">
        <v>204</v>
      </c>
      <c r="B113" s="1407">
        <f t="shared" si="8"/>
        <v>0</v>
      </c>
      <c r="C113" s="1408" t="str">
        <f t="shared" si="8"/>
        <v>AMMIXPACK</v>
      </c>
      <c r="D113" s="1408">
        <f t="shared" si="8"/>
        <v>1</v>
      </c>
      <c r="E113" s="1409">
        <v>106</v>
      </c>
      <c r="F113" s="1417" t="s">
        <v>74</v>
      </c>
      <c r="G113" s="1412">
        <f>IF('Design Data'!O64="",0,ROUND('Design Data'!O64,1))</f>
        <v>0</v>
      </c>
      <c r="H113" s="1412">
        <f t="shared" si="6"/>
        <v>0</v>
      </c>
      <c r="I113" s="1413"/>
    </row>
    <row r="114" spans="1:9" x14ac:dyDescent="0.2">
      <c r="A114" s="1418" t="s">
        <v>205</v>
      </c>
      <c r="B114" s="1407">
        <f t="shared" si="8"/>
        <v>0</v>
      </c>
      <c r="C114" s="1408" t="str">
        <f t="shared" si="8"/>
        <v>AMMIXPACK</v>
      </c>
      <c r="D114" s="1408">
        <f t="shared" si="8"/>
        <v>1</v>
      </c>
      <c r="E114" s="1409">
        <v>107</v>
      </c>
      <c r="F114" s="1417" t="s">
        <v>74</v>
      </c>
      <c r="G114" s="1412">
        <f>IF('Design Data'!O65="",0,ROUND('Design Data'!O65,3))</f>
        <v>0</v>
      </c>
      <c r="H114" s="1412">
        <f t="shared" si="6"/>
        <v>0</v>
      </c>
      <c r="I114" s="1413"/>
    </row>
    <row r="115" spans="1:9" x14ac:dyDescent="0.2">
      <c r="A115" s="1418" t="s">
        <v>206</v>
      </c>
      <c r="B115" s="1407">
        <f t="shared" si="8"/>
        <v>0</v>
      </c>
      <c r="C115" s="1408" t="str">
        <f t="shared" si="8"/>
        <v>AMMIXPACK</v>
      </c>
      <c r="D115" s="1408">
        <f t="shared" si="8"/>
        <v>1</v>
      </c>
      <c r="E115" s="1409">
        <v>108</v>
      </c>
      <c r="F115" s="1417" t="s">
        <v>74</v>
      </c>
      <c r="G115" s="1412">
        <f>IF('Design Data'!O66="",0,ROUND('Design Data'!O66,2))</f>
        <v>0</v>
      </c>
      <c r="H115" s="1412">
        <f t="shared" si="6"/>
        <v>0</v>
      </c>
      <c r="I115" s="1413"/>
    </row>
    <row r="116" spans="1:9" x14ac:dyDescent="0.2">
      <c r="A116" s="1418" t="s">
        <v>812</v>
      </c>
      <c r="B116" s="1407">
        <f t="shared" si="8"/>
        <v>0</v>
      </c>
      <c r="C116" s="1408" t="str">
        <f t="shared" si="8"/>
        <v>AMMIXPACK</v>
      </c>
      <c r="D116" s="1408">
        <f t="shared" si="8"/>
        <v>1</v>
      </c>
      <c r="E116" s="1409">
        <v>109</v>
      </c>
      <c r="F116" s="1417" t="s">
        <v>74</v>
      </c>
      <c r="G116" s="1412">
        <f>IF('Design Data'!O67="",0,ROUND('Design Data'!O67,2))</f>
        <v>0</v>
      </c>
      <c r="H116" s="1412">
        <f t="shared" si="6"/>
        <v>0</v>
      </c>
      <c r="I116" s="1413"/>
    </row>
    <row r="117" spans="1:9" x14ac:dyDescent="0.2">
      <c r="A117" s="1418" t="s">
        <v>813</v>
      </c>
      <c r="B117" s="1407">
        <f t="shared" si="8"/>
        <v>0</v>
      </c>
      <c r="C117" s="1408" t="str">
        <f t="shared" si="8"/>
        <v>AMMIXPACK</v>
      </c>
      <c r="D117" s="1408">
        <f t="shared" si="8"/>
        <v>1</v>
      </c>
      <c r="E117" s="1409">
        <v>110</v>
      </c>
      <c r="F117" s="1417" t="s">
        <v>74</v>
      </c>
      <c r="G117" s="1412">
        <f>IF('Design Data'!O68="",0,ROUND('Design Data'!O68,3))</f>
        <v>0</v>
      </c>
      <c r="H117" s="1412">
        <f t="shared" si="6"/>
        <v>0</v>
      </c>
      <c r="I117" s="1413"/>
    </row>
    <row r="118" spans="1:9" x14ac:dyDescent="0.2">
      <c r="A118" s="1399" t="s">
        <v>209</v>
      </c>
      <c r="B118" s="1407">
        <f t="shared" si="8"/>
        <v>0</v>
      </c>
      <c r="C118" s="1408" t="str">
        <f t="shared" si="8"/>
        <v>AMMIXPACK</v>
      </c>
      <c r="D118" s="1408">
        <f t="shared" si="8"/>
        <v>1</v>
      </c>
      <c r="E118" s="1409">
        <v>111</v>
      </c>
      <c r="F118" s="1417" t="s">
        <v>74</v>
      </c>
      <c r="G118" s="1412">
        <f>IF('Design Data'!O69="",0,ROUND('Design Data'!O69,1))</f>
        <v>0</v>
      </c>
      <c r="H118" s="1412">
        <f t="shared" si="6"/>
        <v>0</v>
      </c>
      <c r="I118" s="1413"/>
    </row>
    <row r="119" spans="1:9" x14ac:dyDescent="0.2">
      <c r="A119" s="1399" t="s">
        <v>210</v>
      </c>
      <c r="B119" s="1407">
        <f t="shared" si="8"/>
        <v>0</v>
      </c>
      <c r="C119" s="1408" t="str">
        <f t="shared" si="8"/>
        <v>AMMIXPACK</v>
      </c>
      <c r="D119" s="1408">
        <f t="shared" si="8"/>
        <v>1</v>
      </c>
      <c r="E119" s="1409">
        <v>112</v>
      </c>
      <c r="F119" s="1417" t="s">
        <v>74</v>
      </c>
      <c r="G119" s="1412">
        <f>IF('Design Data'!O70="",0,ROUND('Design Data'!O70,0))</f>
        <v>0</v>
      </c>
      <c r="H119" s="1412">
        <f t="shared" si="6"/>
        <v>0</v>
      </c>
      <c r="I119" s="1413"/>
    </row>
    <row r="120" spans="1:9" x14ac:dyDescent="0.2">
      <c r="A120" s="1418" t="s">
        <v>211</v>
      </c>
      <c r="B120" s="1407">
        <f t="shared" si="8"/>
        <v>0</v>
      </c>
      <c r="C120" s="1408" t="str">
        <f t="shared" si="8"/>
        <v>AMMIXPACK</v>
      </c>
      <c r="D120" s="1408">
        <f t="shared" si="8"/>
        <v>1</v>
      </c>
      <c r="E120" s="1409">
        <v>113</v>
      </c>
      <c r="F120" s="1417" t="s">
        <v>74</v>
      </c>
      <c r="G120" s="1412">
        <f>IF('Design Data'!O71="",0,ROUND('Design Data'!O71,0))</f>
        <v>0</v>
      </c>
      <c r="H120" s="1412">
        <f t="shared" si="6"/>
        <v>0</v>
      </c>
      <c r="I120" s="1413"/>
    </row>
    <row r="121" spans="1:9" x14ac:dyDescent="0.2">
      <c r="A121" s="1418" t="s">
        <v>212</v>
      </c>
      <c r="B121" s="1407">
        <f t="shared" ref="B121:D136" si="9">B120</f>
        <v>0</v>
      </c>
      <c r="C121" s="1408" t="str">
        <f t="shared" si="9"/>
        <v>AMMIXPACK</v>
      </c>
      <c r="D121" s="1408">
        <f t="shared" si="9"/>
        <v>1</v>
      </c>
      <c r="E121" s="1409">
        <v>114</v>
      </c>
      <c r="F121" s="1417" t="s">
        <v>74</v>
      </c>
      <c r="G121" s="1421">
        <f>IF('Design Data'!O72="",0,ROUND('Design Data'!O72,0))</f>
        <v>0</v>
      </c>
      <c r="H121" s="1412">
        <f t="shared" si="6"/>
        <v>0</v>
      </c>
      <c r="I121" s="1413"/>
    </row>
    <row r="122" spans="1:9" x14ac:dyDescent="0.2">
      <c r="A122" s="1418" t="s">
        <v>213</v>
      </c>
      <c r="B122" s="1407">
        <f t="shared" si="9"/>
        <v>0</v>
      </c>
      <c r="C122" s="1408" t="str">
        <f t="shared" si="9"/>
        <v>AMMIXPACK</v>
      </c>
      <c r="D122" s="1408">
        <f t="shared" si="9"/>
        <v>1</v>
      </c>
      <c r="E122" s="1409">
        <v>115</v>
      </c>
      <c r="F122" s="1417" t="s">
        <v>74</v>
      </c>
      <c r="G122" s="1421">
        <f>IF('Design Data'!O73="",0,ROUND('Design Data'!O73,0))</f>
        <v>0</v>
      </c>
      <c r="H122" s="1412">
        <f t="shared" si="6"/>
        <v>0</v>
      </c>
      <c r="I122" s="1413"/>
    </row>
    <row r="123" spans="1:9" x14ac:dyDescent="0.2">
      <c r="A123" s="1418" t="s">
        <v>214</v>
      </c>
      <c r="B123" s="1407">
        <f t="shared" si="9"/>
        <v>0</v>
      </c>
      <c r="C123" s="1408" t="str">
        <f t="shared" si="9"/>
        <v>AMMIXPACK</v>
      </c>
      <c r="D123" s="1408">
        <f t="shared" si="9"/>
        <v>1</v>
      </c>
      <c r="E123" s="1409">
        <v>116</v>
      </c>
      <c r="F123" s="1417" t="s">
        <v>74</v>
      </c>
      <c r="G123" s="1421">
        <f>IF('Design Data'!O74="",0,ROUND('Design Data'!O74,2))</f>
        <v>0</v>
      </c>
      <c r="H123" s="1412">
        <f t="shared" si="6"/>
        <v>0</v>
      </c>
      <c r="I123" s="1413"/>
    </row>
    <row r="124" spans="1:9" x14ac:dyDescent="0.2">
      <c r="A124" s="1418" t="s">
        <v>215</v>
      </c>
      <c r="B124" s="1407">
        <f t="shared" si="9"/>
        <v>0</v>
      </c>
      <c r="C124" s="1408" t="str">
        <f t="shared" si="9"/>
        <v>AMMIXPACK</v>
      </c>
      <c r="D124" s="1408">
        <f t="shared" si="9"/>
        <v>1</v>
      </c>
      <c r="E124" s="1409">
        <v>117</v>
      </c>
      <c r="F124" s="1414" t="str">
        <f>'Design Data'!O75</f>
        <v/>
      </c>
      <c r="G124" s="1411">
        <v>0</v>
      </c>
      <c r="H124" s="1412">
        <f t="shared" si="6"/>
        <v>0</v>
      </c>
      <c r="I124" s="1413"/>
    </row>
    <row r="125" spans="1:9" x14ac:dyDescent="0.2">
      <c r="A125" s="1416" t="s">
        <v>1632</v>
      </c>
      <c r="B125" s="1407">
        <f t="shared" si="9"/>
        <v>0</v>
      </c>
      <c r="C125" s="1408" t="str">
        <f t="shared" si="9"/>
        <v>AMMIXPACK</v>
      </c>
      <c r="D125" s="1408">
        <f t="shared" si="9"/>
        <v>1</v>
      </c>
      <c r="E125" s="1409">
        <v>118</v>
      </c>
      <c r="F125" s="1417" t="s">
        <v>74</v>
      </c>
      <c r="G125" s="1411">
        <v>0</v>
      </c>
      <c r="H125" s="1412">
        <f t="shared" si="6"/>
        <v>0</v>
      </c>
      <c r="I125" s="1413"/>
    </row>
    <row r="126" spans="1:9" x14ac:dyDescent="0.2">
      <c r="A126" s="1418" t="s">
        <v>2270</v>
      </c>
      <c r="B126" s="1407">
        <f t="shared" si="9"/>
        <v>0</v>
      </c>
      <c r="C126" s="1408" t="str">
        <f t="shared" si="9"/>
        <v>AMMIXPACK</v>
      </c>
      <c r="D126" s="1408">
        <f t="shared" si="9"/>
        <v>1</v>
      </c>
      <c r="E126" s="1409">
        <v>119</v>
      </c>
      <c r="F126" s="1414" t="str">
        <f>'Design Data'!P52</f>
        <v/>
      </c>
      <c r="G126" s="1411">
        <v>0</v>
      </c>
      <c r="H126" s="1412">
        <f t="shared" si="6"/>
        <v>0</v>
      </c>
      <c r="I126" s="1413"/>
    </row>
    <row r="127" spans="1:9" x14ac:dyDescent="0.2">
      <c r="A127" s="1418" t="s">
        <v>2271</v>
      </c>
      <c r="B127" s="1407">
        <f t="shared" si="9"/>
        <v>0</v>
      </c>
      <c r="C127" s="1408" t="str">
        <f t="shared" si="9"/>
        <v>AMMIXPACK</v>
      </c>
      <c r="D127" s="1408">
        <f t="shared" si="9"/>
        <v>1</v>
      </c>
      <c r="E127" s="1409">
        <v>120</v>
      </c>
      <c r="F127" s="1414" t="str">
        <f>'Design Data'!P53</f>
        <v/>
      </c>
      <c r="G127" s="1411">
        <v>0</v>
      </c>
      <c r="H127" s="1412">
        <f t="shared" si="6"/>
        <v>0</v>
      </c>
      <c r="I127" s="1413"/>
    </row>
    <row r="128" spans="1:9" x14ac:dyDescent="0.2">
      <c r="A128" s="1418" t="s">
        <v>2272</v>
      </c>
      <c r="B128" s="1407">
        <f t="shared" si="9"/>
        <v>0</v>
      </c>
      <c r="C128" s="1408" t="str">
        <f t="shared" si="9"/>
        <v>AMMIXPACK</v>
      </c>
      <c r="D128" s="1408">
        <f t="shared" si="9"/>
        <v>1</v>
      </c>
      <c r="E128" s="1409">
        <v>121</v>
      </c>
      <c r="F128" s="1414" t="str">
        <f>'Design Data'!P54</f>
        <v/>
      </c>
      <c r="G128" s="1411">
        <v>0</v>
      </c>
      <c r="H128" s="1412">
        <f t="shared" si="6"/>
        <v>0</v>
      </c>
      <c r="I128" s="1413"/>
    </row>
    <row r="129" spans="1:9" x14ac:dyDescent="0.2">
      <c r="A129" s="1418" t="s">
        <v>2273</v>
      </c>
      <c r="B129" s="1407">
        <f t="shared" si="9"/>
        <v>0</v>
      </c>
      <c r="C129" s="1408" t="str">
        <f t="shared" si="9"/>
        <v>AMMIXPACK</v>
      </c>
      <c r="D129" s="1408">
        <f t="shared" si="9"/>
        <v>1</v>
      </c>
      <c r="E129" s="1409">
        <v>122</v>
      </c>
      <c r="F129" s="1414" t="str">
        <f>'Design Data'!P55</f>
        <v/>
      </c>
      <c r="G129" s="1411">
        <v>0</v>
      </c>
      <c r="H129" s="1412">
        <f t="shared" si="6"/>
        <v>0</v>
      </c>
      <c r="I129" s="1413"/>
    </row>
    <row r="130" spans="1:9" x14ac:dyDescent="0.2">
      <c r="A130" s="1418" t="s">
        <v>2274</v>
      </c>
      <c r="B130" s="1407">
        <f t="shared" si="9"/>
        <v>0</v>
      </c>
      <c r="C130" s="1408" t="str">
        <f t="shared" si="9"/>
        <v>AMMIXPACK</v>
      </c>
      <c r="D130" s="1408">
        <f t="shared" si="9"/>
        <v>1</v>
      </c>
      <c r="E130" s="1409">
        <v>123</v>
      </c>
      <c r="F130" s="1414" t="str">
        <f>'Design Data'!P56</f>
        <v/>
      </c>
      <c r="G130" s="1411">
        <v>0</v>
      </c>
      <c r="H130" s="1412">
        <f t="shared" si="6"/>
        <v>0</v>
      </c>
      <c r="I130" s="1413"/>
    </row>
    <row r="131" spans="1:9" x14ac:dyDescent="0.2">
      <c r="A131" s="1418" t="s">
        <v>2275</v>
      </c>
      <c r="B131" s="1407">
        <f t="shared" si="9"/>
        <v>0</v>
      </c>
      <c r="C131" s="1408" t="str">
        <f t="shared" si="9"/>
        <v>AMMIXPACK</v>
      </c>
      <c r="D131" s="1408">
        <f t="shared" si="9"/>
        <v>1</v>
      </c>
      <c r="E131" s="1409">
        <v>124</v>
      </c>
      <c r="F131" s="1414" t="str">
        <f>'Design Data'!P57</f>
        <v/>
      </c>
      <c r="G131" s="1411">
        <v>0</v>
      </c>
      <c r="H131" s="1412">
        <f t="shared" si="6"/>
        <v>0</v>
      </c>
      <c r="I131" s="1413"/>
    </row>
    <row r="132" spans="1:9" x14ac:dyDescent="0.2">
      <c r="A132" s="1418" t="s">
        <v>2276</v>
      </c>
      <c r="B132" s="1407">
        <f t="shared" si="9"/>
        <v>0</v>
      </c>
      <c r="C132" s="1408" t="str">
        <f t="shared" si="9"/>
        <v>AMMIXPACK</v>
      </c>
      <c r="D132" s="1408">
        <f t="shared" si="9"/>
        <v>1</v>
      </c>
      <c r="E132" s="1409">
        <v>125</v>
      </c>
      <c r="F132" s="1414" t="str">
        <f>'Design Data'!P58</f>
        <v/>
      </c>
      <c r="G132" s="1411">
        <v>0</v>
      </c>
      <c r="H132" s="1412">
        <f t="shared" si="6"/>
        <v>0</v>
      </c>
      <c r="I132" s="1413"/>
    </row>
    <row r="133" spans="1:9" x14ac:dyDescent="0.2">
      <c r="A133" s="1418" t="s">
        <v>814</v>
      </c>
      <c r="B133" s="1407">
        <f t="shared" si="9"/>
        <v>0</v>
      </c>
      <c r="C133" s="1408" t="str">
        <f t="shared" si="9"/>
        <v>AMMIXPACK</v>
      </c>
      <c r="D133" s="1408">
        <f t="shared" si="9"/>
        <v>1</v>
      </c>
      <c r="E133" s="1409">
        <v>126</v>
      </c>
      <c r="F133" s="1414" t="str">
        <f>'Design Data'!P59</f>
        <v/>
      </c>
      <c r="G133" s="1411">
        <v>0</v>
      </c>
      <c r="H133" s="1412">
        <f t="shared" si="6"/>
        <v>0</v>
      </c>
      <c r="I133" s="1413"/>
    </row>
    <row r="134" spans="1:9" x14ac:dyDescent="0.2">
      <c r="A134" s="1418" t="s">
        <v>815</v>
      </c>
      <c r="B134" s="1407">
        <f t="shared" si="9"/>
        <v>0</v>
      </c>
      <c r="C134" s="1408" t="str">
        <f t="shared" si="9"/>
        <v>AMMIXPACK</v>
      </c>
      <c r="D134" s="1408">
        <f t="shared" si="9"/>
        <v>1</v>
      </c>
      <c r="E134" s="1409">
        <v>127</v>
      </c>
      <c r="F134" s="1414" t="str">
        <f>'Design Data'!P60</f>
        <v/>
      </c>
      <c r="G134" s="1411">
        <v>0</v>
      </c>
      <c r="H134" s="1412">
        <f t="shared" si="6"/>
        <v>0</v>
      </c>
      <c r="I134" s="1413"/>
    </row>
    <row r="135" spans="1:9" x14ac:dyDescent="0.2">
      <c r="A135" s="1418" t="s">
        <v>993</v>
      </c>
      <c r="B135" s="1407">
        <f t="shared" si="9"/>
        <v>0</v>
      </c>
      <c r="C135" s="1408" t="str">
        <f t="shared" si="9"/>
        <v>AMMIXPACK</v>
      </c>
      <c r="D135" s="1408">
        <f t="shared" si="9"/>
        <v>1</v>
      </c>
      <c r="E135" s="1409">
        <v>128</v>
      </c>
      <c r="F135" s="1414" t="str">
        <f>'Design Data'!P61</f>
        <v/>
      </c>
      <c r="G135" s="1411">
        <v>0</v>
      </c>
      <c r="H135" s="1412">
        <f t="shared" si="6"/>
        <v>0</v>
      </c>
      <c r="I135" s="1413"/>
    </row>
    <row r="136" spans="1:9" x14ac:dyDescent="0.2">
      <c r="A136" s="1418" t="s">
        <v>994</v>
      </c>
      <c r="B136" s="1407">
        <f t="shared" si="9"/>
        <v>0</v>
      </c>
      <c r="C136" s="1408" t="str">
        <f t="shared" si="9"/>
        <v>AMMIXPACK</v>
      </c>
      <c r="D136" s="1408">
        <f t="shared" si="9"/>
        <v>1</v>
      </c>
      <c r="E136" s="1409">
        <v>129</v>
      </c>
      <c r="F136" s="1414" t="str">
        <f>'Design Data'!P63</f>
        <v/>
      </c>
      <c r="G136" s="1411">
        <v>0</v>
      </c>
      <c r="H136" s="1412">
        <f t="shared" si="6"/>
        <v>0</v>
      </c>
      <c r="I136" s="1413"/>
    </row>
    <row r="137" spans="1:9" x14ac:dyDescent="0.2">
      <c r="A137" s="1418" t="s">
        <v>995</v>
      </c>
      <c r="B137" s="1407">
        <f t="shared" ref="B137:D152" si="10">B136</f>
        <v>0</v>
      </c>
      <c r="C137" s="1408" t="str">
        <f t="shared" si="10"/>
        <v>AMMIXPACK</v>
      </c>
      <c r="D137" s="1408">
        <f t="shared" si="10"/>
        <v>1</v>
      </c>
      <c r="E137" s="1409">
        <v>130</v>
      </c>
      <c r="F137" s="1414" t="str">
        <f>'Design Data'!P72</f>
        <v/>
      </c>
      <c r="G137" s="1411">
        <v>0</v>
      </c>
      <c r="H137" s="1412">
        <f t="shared" ref="H137:H200" si="11">H136</f>
        <v>0</v>
      </c>
      <c r="I137" s="1413"/>
    </row>
    <row r="138" spans="1:9" x14ac:dyDescent="0.2">
      <c r="A138" s="1418" t="s">
        <v>996</v>
      </c>
      <c r="B138" s="1407">
        <f t="shared" si="10"/>
        <v>0</v>
      </c>
      <c r="C138" s="1408" t="str">
        <f t="shared" si="10"/>
        <v>AMMIXPACK</v>
      </c>
      <c r="D138" s="1408">
        <f t="shared" si="10"/>
        <v>1</v>
      </c>
      <c r="E138" s="1409">
        <v>131</v>
      </c>
      <c r="F138" s="1414" t="str">
        <f>'Design Data'!P73</f>
        <v/>
      </c>
      <c r="G138" s="1411">
        <v>0</v>
      </c>
      <c r="H138" s="1412">
        <f t="shared" si="11"/>
        <v>0</v>
      </c>
      <c r="I138" s="1413"/>
    </row>
    <row r="139" spans="1:9" x14ac:dyDescent="0.2">
      <c r="A139" s="1416" t="s">
        <v>1634</v>
      </c>
      <c r="B139" s="1407">
        <f t="shared" si="10"/>
        <v>0</v>
      </c>
      <c r="C139" s="1408" t="str">
        <f t="shared" si="10"/>
        <v>AMMIXPACK</v>
      </c>
      <c r="D139" s="1408">
        <f t="shared" si="10"/>
        <v>1</v>
      </c>
      <c r="E139" s="1409">
        <v>132</v>
      </c>
      <c r="F139" s="1417" t="s">
        <v>74</v>
      </c>
      <c r="G139" s="1411">
        <v>0</v>
      </c>
      <c r="H139" s="1412">
        <f t="shared" si="11"/>
        <v>0</v>
      </c>
      <c r="I139" s="1413"/>
    </row>
    <row r="140" spans="1:9" x14ac:dyDescent="0.2">
      <c r="A140" s="1418" t="s">
        <v>2049</v>
      </c>
      <c r="B140" s="1407">
        <f t="shared" si="10"/>
        <v>0</v>
      </c>
      <c r="C140" s="1408" t="str">
        <f t="shared" si="10"/>
        <v>AMMIXPACK</v>
      </c>
      <c r="D140" s="1408">
        <f t="shared" si="10"/>
        <v>1</v>
      </c>
      <c r="E140" s="1409">
        <v>133</v>
      </c>
      <c r="F140" s="1414" t="str">
        <f>'Design Data'!S58</f>
        <v/>
      </c>
      <c r="G140" s="1411">
        <v>0</v>
      </c>
      <c r="H140" s="1412">
        <f t="shared" si="11"/>
        <v>0</v>
      </c>
      <c r="I140" s="1413"/>
    </row>
    <row r="141" spans="1:9" x14ac:dyDescent="0.2">
      <c r="A141" s="1418" t="s">
        <v>80</v>
      </c>
      <c r="B141" s="1407">
        <f t="shared" si="10"/>
        <v>0</v>
      </c>
      <c r="C141" s="1408" t="str">
        <f t="shared" si="10"/>
        <v>AMMIXPACK</v>
      </c>
      <c r="D141" s="1408">
        <f t="shared" si="10"/>
        <v>1</v>
      </c>
      <c r="E141" s="1409">
        <v>134</v>
      </c>
      <c r="F141" s="1414" t="str">
        <f>'Design Data'!T52</f>
        <v/>
      </c>
      <c r="G141" s="1411">
        <v>0</v>
      </c>
      <c r="H141" s="1412">
        <f t="shared" si="11"/>
        <v>0</v>
      </c>
      <c r="I141" s="1413"/>
    </row>
    <row r="142" spans="1:9" x14ac:dyDescent="0.2">
      <c r="A142" s="1418" t="s">
        <v>2186</v>
      </c>
      <c r="B142" s="1407">
        <f t="shared" si="10"/>
        <v>0</v>
      </c>
      <c r="C142" s="1408" t="str">
        <f t="shared" si="10"/>
        <v>AMMIXPACK</v>
      </c>
      <c r="D142" s="1408">
        <f t="shared" si="10"/>
        <v>1</v>
      </c>
      <c r="E142" s="1409">
        <v>135</v>
      </c>
      <c r="F142" s="1414" t="str">
        <f>'Design Data'!T53</f>
        <v/>
      </c>
      <c r="G142" s="1411">
        <v>0</v>
      </c>
      <c r="H142" s="1412">
        <f t="shared" si="11"/>
        <v>0</v>
      </c>
      <c r="I142" s="1413"/>
    </row>
    <row r="143" spans="1:9" x14ac:dyDescent="0.2">
      <c r="A143" s="1418" t="s">
        <v>187</v>
      </c>
      <c r="B143" s="1407">
        <f t="shared" si="10"/>
        <v>0</v>
      </c>
      <c r="C143" s="1408" t="str">
        <f t="shared" si="10"/>
        <v>AMMIXPACK</v>
      </c>
      <c r="D143" s="1408">
        <f t="shared" si="10"/>
        <v>1</v>
      </c>
      <c r="E143" s="1409">
        <v>136</v>
      </c>
      <c r="F143" s="1414" t="str">
        <f>'Design Data'!T54</f>
        <v/>
      </c>
      <c r="G143" s="1411">
        <v>0</v>
      </c>
      <c r="H143" s="1412">
        <f t="shared" si="11"/>
        <v>0</v>
      </c>
      <c r="I143" s="1413"/>
    </row>
    <row r="144" spans="1:9" x14ac:dyDescent="0.2">
      <c r="A144" s="1418" t="s">
        <v>194</v>
      </c>
      <c r="B144" s="1407">
        <f t="shared" si="10"/>
        <v>0</v>
      </c>
      <c r="C144" s="1408" t="str">
        <f t="shared" si="10"/>
        <v>AMMIXPACK</v>
      </c>
      <c r="D144" s="1408">
        <f t="shared" si="10"/>
        <v>1</v>
      </c>
      <c r="E144" s="1409">
        <v>137</v>
      </c>
      <c r="F144" s="1417" t="s">
        <v>74</v>
      </c>
      <c r="G144" s="1422">
        <f>IF('Design Data'!U55="",0,IF('Design Data'!U55="N/A",0,'Design Data'!U55))</f>
        <v>0</v>
      </c>
      <c r="H144" s="1412">
        <f t="shared" si="11"/>
        <v>0</v>
      </c>
      <c r="I144" s="1413"/>
    </row>
    <row r="145" spans="1:9" x14ac:dyDescent="0.2">
      <c r="A145" s="1418" t="s">
        <v>2187</v>
      </c>
      <c r="B145" s="1407">
        <f t="shared" si="10"/>
        <v>0</v>
      </c>
      <c r="C145" s="1408" t="str">
        <f t="shared" si="10"/>
        <v>AMMIXPACK</v>
      </c>
      <c r="D145" s="1408">
        <f t="shared" si="10"/>
        <v>1</v>
      </c>
      <c r="E145" s="1409">
        <v>138</v>
      </c>
      <c r="F145" s="1414" t="str">
        <f>'Design Data'!U56</f>
        <v/>
      </c>
      <c r="G145" s="1411">
        <v>0</v>
      </c>
      <c r="H145" s="1412">
        <f t="shared" si="11"/>
        <v>0</v>
      </c>
      <c r="I145" s="1413"/>
    </row>
    <row r="146" spans="1:9" x14ac:dyDescent="0.2">
      <c r="A146" s="1418" t="s">
        <v>197</v>
      </c>
      <c r="B146" s="1407">
        <f t="shared" si="10"/>
        <v>0</v>
      </c>
      <c r="C146" s="1408" t="str">
        <f t="shared" si="10"/>
        <v>AMMIXPACK</v>
      </c>
      <c r="D146" s="1408">
        <f t="shared" si="10"/>
        <v>1</v>
      </c>
      <c r="E146" s="1409">
        <v>139</v>
      </c>
      <c r="F146" s="1423" t="str">
        <f>'Design Data'!U57</f>
        <v/>
      </c>
      <c r="G146" s="1411">
        <v>0</v>
      </c>
      <c r="H146" s="1412">
        <f t="shared" si="11"/>
        <v>0</v>
      </c>
      <c r="I146" s="1413"/>
    </row>
    <row r="147" spans="1:9" x14ac:dyDescent="0.2">
      <c r="A147" s="1416" t="s">
        <v>1633</v>
      </c>
      <c r="B147" s="1407">
        <f t="shared" si="10"/>
        <v>0</v>
      </c>
      <c r="C147" s="1408" t="str">
        <f t="shared" si="10"/>
        <v>AMMIXPACK</v>
      </c>
      <c r="D147" s="1408">
        <f t="shared" si="10"/>
        <v>1</v>
      </c>
      <c r="E147" s="1409">
        <v>140</v>
      </c>
      <c r="F147" s="1417" t="s">
        <v>74</v>
      </c>
      <c r="G147" s="1411">
        <v>0</v>
      </c>
      <c r="H147" s="1412">
        <f t="shared" si="11"/>
        <v>0</v>
      </c>
      <c r="I147" s="1413"/>
    </row>
    <row r="148" spans="1:9" x14ac:dyDescent="0.2">
      <c r="A148" s="1418" t="s">
        <v>2189</v>
      </c>
      <c r="B148" s="1407">
        <f t="shared" si="10"/>
        <v>0</v>
      </c>
      <c r="C148" s="1408" t="str">
        <f t="shared" si="10"/>
        <v>AMMIXPACK</v>
      </c>
      <c r="D148" s="1408">
        <f t="shared" si="10"/>
        <v>1</v>
      </c>
      <c r="E148" s="1409">
        <v>141</v>
      </c>
      <c r="F148" s="1417"/>
      <c r="G148" s="1412">
        <f>IF('Design Data'!U77="",0,ROUND('Design Data'!U77,1))</f>
        <v>0</v>
      </c>
      <c r="H148" s="1412">
        <f t="shared" si="11"/>
        <v>0</v>
      </c>
      <c r="I148" s="1413"/>
    </row>
    <row r="149" spans="1:9" x14ac:dyDescent="0.2">
      <c r="A149" s="1418" t="s">
        <v>2190</v>
      </c>
      <c r="B149" s="1407">
        <f t="shared" si="10"/>
        <v>0</v>
      </c>
      <c r="C149" s="1408" t="str">
        <f t="shared" si="10"/>
        <v>AMMIXPACK</v>
      </c>
      <c r="D149" s="1408">
        <f t="shared" si="10"/>
        <v>1</v>
      </c>
      <c r="E149" s="1409">
        <v>142</v>
      </c>
      <c r="F149" s="1417"/>
      <c r="G149" s="1412">
        <f>IF('Design Data'!U78="",0,ROUND('Design Data'!U78,1))</f>
        <v>0</v>
      </c>
      <c r="H149" s="1412">
        <f t="shared" si="11"/>
        <v>0</v>
      </c>
      <c r="I149" s="1413"/>
    </row>
    <row r="150" spans="1:9" x14ac:dyDescent="0.2">
      <c r="A150" s="1418" t="s">
        <v>2191</v>
      </c>
      <c r="B150" s="1407">
        <f t="shared" si="10"/>
        <v>0</v>
      </c>
      <c r="C150" s="1408" t="str">
        <f t="shared" si="10"/>
        <v>AMMIXPACK</v>
      </c>
      <c r="D150" s="1408">
        <f t="shared" si="10"/>
        <v>1</v>
      </c>
      <c r="E150" s="1409">
        <v>143</v>
      </c>
      <c r="F150" s="1417"/>
      <c r="G150" s="1412">
        <f>IF('Design Data'!U79="",0,ROUND('Design Data'!U79,1))</f>
        <v>0</v>
      </c>
      <c r="H150" s="1412">
        <f t="shared" si="11"/>
        <v>0</v>
      </c>
      <c r="I150" s="1413"/>
    </row>
    <row r="151" spans="1:9" x14ac:dyDescent="0.2">
      <c r="A151" s="1418" t="s">
        <v>2192</v>
      </c>
      <c r="B151" s="1407">
        <f t="shared" si="10"/>
        <v>0</v>
      </c>
      <c r="C151" s="1408" t="str">
        <f t="shared" si="10"/>
        <v>AMMIXPACK</v>
      </c>
      <c r="D151" s="1408">
        <f t="shared" si="10"/>
        <v>1</v>
      </c>
      <c r="E151" s="1409">
        <v>144</v>
      </c>
      <c r="F151" s="1417"/>
      <c r="G151" s="1412">
        <f>IF('Design Data'!U80="",0,ROUND('Design Data'!U80,1))</f>
        <v>0</v>
      </c>
      <c r="H151" s="1412">
        <f t="shared" si="11"/>
        <v>0</v>
      </c>
      <c r="I151" s="1413"/>
    </row>
    <row r="152" spans="1:9" x14ac:dyDescent="0.2">
      <c r="A152" s="1418" t="s">
        <v>2193</v>
      </c>
      <c r="B152" s="1407">
        <f t="shared" si="10"/>
        <v>0</v>
      </c>
      <c r="C152" s="1408" t="str">
        <f t="shared" si="10"/>
        <v>AMMIXPACK</v>
      </c>
      <c r="D152" s="1408">
        <f t="shared" si="10"/>
        <v>1</v>
      </c>
      <c r="E152" s="1409">
        <v>145</v>
      </c>
      <c r="F152" s="1414">
        <f>IF('Design Data'!N27="","",'Design Data'!N27)</f>
        <v>0</v>
      </c>
      <c r="G152" s="1411">
        <v>0</v>
      </c>
      <c r="H152" s="1412">
        <f t="shared" si="11"/>
        <v>0</v>
      </c>
      <c r="I152" s="1413"/>
    </row>
    <row r="153" spans="1:9" x14ac:dyDescent="0.2">
      <c r="A153" s="1399" t="s">
        <v>84</v>
      </c>
      <c r="B153" s="1407">
        <f t="shared" ref="B153:D154" si="12">B151</f>
        <v>0</v>
      </c>
      <c r="C153" s="1408" t="str">
        <f t="shared" si="12"/>
        <v>AMMIXPACK</v>
      </c>
      <c r="D153" s="1408">
        <f t="shared" si="12"/>
        <v>1</v>
      </c>
      <c r="E153" s="1409">
        <v>254</v>
      </c>
      <c r="F153" s="1414" t="str">
        <f>IF('Design Data'!N28="","",'Design Data'!N28)</f>
        <v/>
      </c>
      <c r="G153" s="1411">
        <v>0</v>
      </c>
      <c r="H153" s="1412">
        <f>H151</f>
        <v>0</v>
      </c>
      <c r="I153" s="1413"/>
    </row>
    <row r="154" spans="1:9" x14ac:dyDescent="0.2">
      <c r="A154" s="1418" t="s">
        <v>998</v>
      </c>
      <c r="B154" s="1407">
        <f t="shared" si="12"/>
        <v>0</v>
      </c>
      <c r="C154" s="1408" t="str">
        <f t="shared" si="12"/>
        <v>AMMIXPACK</v>
      </c>
      <c r="D154" s="1408">
        <f t="shared" si="12"/>
        <v>1</v>
      </c>
      <c r="E154" s="1409">
        <v>146</v>
      </c>
      <c r="F154" s="1414" t="str">
        <f>IF('Design Data'!O27="","",'Design Data'!O27)</f>
        <v/>
      </c>
      <c r="G154" s="1411">
        <v>0</v>
      </c>
      <c r="H154" s="1412">
        <f>H152</f>
        <v>0</v>
      </c>
      <c r="I154" s="1413"/>
    </row>
    <row r="155" spans="1:9" x14ac:dyDescent="0.2">
      <c r="A155" s="1418" t="s">
        <v>2039</v>
      </c>
      <c r="B155" s="1407">
        <f t="shared" ref="B155:D170" si="13">B154</f>
        <v>0</v>
      </c>
      <c r="C155" s="1408" t="str">
        <f t="shared" si="13"/>
        <v>AMMIXPACK</v>
      </c>
      <c r="D155" s="1408">
        <f t="shared" si="13"/>
        <v>1</v>
      </c>
      <c r="E155" s="1409">
        <v>147</v>
      </c>
      <c r="F155" s="1417"/>
      <c r="G155" s="1412">
        <f>IF('Design Data'!O28="",0,ROUND('Design Data'!O28,2))</f>
        <v>0</v>
      </c>
      <c r="H155" s="1412">
        <f t="shared" si="11"/>
        <v>0</v>
      </c>
      <c r="I155" s="1413"/>
    </row>
    <row r="156" spans="1:9" x14ac:dyDescent="0.2">
      <c r="A156" s="1416" t="s">
        <v>976</v>
      </c>
      <c r="B156" s="1407">
        <f t="shared" si="13"/>
        <v>0</v>
      </c>
      <c r="C156" s="1408" t="str">
        <f t="shared" si="13"/>
        <v>AMMIXPACK</v>
      </c>
      <c r="D156" s="1408">
        <f t="shared" si="13"/>
        <v>1</v>
      </c>
      <c r="E156" s="1409">
        <v>148</v>
      </c>
      <c r="F156" s="1417" t="s">
        <v>74</v>
      </c>
      <c r="G156" s="1411">
        <v>0</v>
      </c>
      <c r="H156" s="1412">
        <f t="shared" si="11"/>
        <v>0</v>
      </c>
      <c r="I156" s="1413"/>
    </row>
    <row r="157" spans="1:9" x14ac:dyDescent="0.2">
      <c r="A157" s="1418" t="s">
        <v>1538</v>
      </c>
      <c r="B157" s="1407">
        <f t="shared" si="13"/>
        <v>0</v>
      </c>
      <c r="C157" s="1408" t="str">
        <f t="shared" si="13"/>
        <v>AMMIXPACK</v>
      </c>
      <c r="D157" s="1408">
        <f t="shared" si="13"/>
        <v>1</v>
      </c>
      <c r="E157" s="1409">
        <v>149</v>
      </c>
      <c r="F157" s="1414" t="str">
        <f>IF('Design Data'!N79="","",'Design Data'!N79)</f>
        <v/>
      </c>
      <c r="G157" s="1411">
        <v>0</v>
      </c>
      <c r="H157" s="1412">
        <f t="shared" si="11"/>
        <v>0</v>
      </c>
      <c r="I157" s="1413"/>
    </row>
    <row r="158" spans="1:9" x14ac:dyDescent="0.2">
      <c r="A158" s="1418" t="s">
        <v>217</v>
      </c>
      <c r="B158" s="1407">
        <f t="shared" si="13"/>
        <v>0</v>
      </c>
      <c r="C158" s="1408" t="str">
        <f t="shared" si="13"/>
        <v>AMMIXPACK</v>
      </c>
      <c r="D158" s="1408">
        <f t="shared" si="13"/>
        <v>1</v>
      </c>
      <c r="E158" s="1409">
        <v>150</v>
      </c>
      <c r="F158" s="1414" t="str">
        <f>IF('Design Data'!N80="","",'Design Data'!N80)</f>
        <v/>
      </c>
      <c r="G158" s="1411">
        <v>0</v>
      </c>
      <c r="H158" s="1412">
        <f t="shared" si="11"/>
        <v>0</v>
      </c>
      <c r="I158" s="1413"/>
    </row>
    <row r="159" spans="1:9" x14ac:dyDescent="0.2">
      <c r="A159" s="1418" t="s">
        <v>219</v>
      </c>
      <c r="B159" s="1407">
        <f t="shared" si="13"/>
        <v>0</v>
      </c>
      <c r="C159" s="1408" t="str">
        <f t="shared" si="13"/>
        <v>AMMIXPACK</v>
      </c>
      <c r="D159" s="1408">
        <f t="shared" si="13"/>
        <v>1</v>
      </c>
      <c r="E159" s="1409">
        <v>151</v>
      </c>
      <c r="F159" s="1414" t="str">
        <f>IF('Design Data'!N81="","",'Design Data'!N81)</f>
        <v/>
      </c>
      <c r="G159" s="1411">
        <v>0</v>
      </c>
      <c r="H159" s="1412">
        <f t="shared" si="11"/>
        <v>0</v>
      </c>
      <c r="I159" s="1413"/>
    </row>
    <row r="160" spans="1:9" x14ac:dyDescent="0.2">
      <c r="A160" s="1418" t="s">
        <v>2195</v>
      </c>
      <c r="B160" s="1407">
        <f t="shared" si="13"/>
        <v>0</v>
      </c>
      <c r="C160" s="1408" t="str">
        <f t="shared" si="13"/>
        <v>AMMIXPACK</v>
      </c>
      <c r="D160" s="1408">
        <f t="shared" si="13"/>
        <v>1</v>
      </c>
      <c r="E160" s="1409">
        <v>152</v>
      </c>
      <c r="F160" s="1414" t="str">
        <f>IF('Design Data'!Q79="","",'Design Data'!Q79)</f>
        <v/>
      </c>
      <c r="G160" s="1411">
        <v>0</v>
      </c>
      <c r="H160" s="1412">
        <f t="shared" si="11"/>
        <v>0</v>
      </c>
      <c r="I160" s="1413"/>
    </row>
    <row r="161" spans="1:9" x14ac:dyDescent="0.2">
      <c r="A161" s="1418" t="s">
        <v>218</v>
      </c>
      <c r="B161" s="1407">
        <f t="shared" si="13"/>
        <v>0</v>
      </c>
      <c r="C161" s="1408" t="str">
        <f t="shared" si="13"/>
        <v>AMMIXPACK</v>
      </c>
      <c r="D161" s="1408">
        <f t="shared" si="13"/>
        <v>1</v>
      </c>
      <c r="E161" s="1409">
        <v>153</v>
      </c>
      <c r="F161" s="1414" t="str">
        <f>IF('Design Data'!Q80="","",'Design Data'!Q80)</f>
        <v/>
      </c>
      <c r="G161" s="1411">
        <v>0</v>
      </c>
      <c r="H161" s="1412">
        <f t="shared" si="11"/>
        <v>0</v>
      </c>
      <c r="I161" s="1413"/>
    </row>
    <row r="162" spans="1:9" x14ac:dyDescent="0.2">
      <c r="A162" s="1418" t="s">
        <v>220</v>
      </c>
      <c r="B162" s="1407">
        <f t="shared" si="13"/>
        <v>0</v>
      </c>
      <c r="C162" s="1408" t="str">
        <f t="shared" si="13"/>
        <v>AMMIXPACK</v>
      </c>
      <c r="D162" s="1408">
        <f t="shared" si="13"/>
        <v>1</v>
      </c>
      <c r="E162" s="1409">
        <v>154</v>
      </c>
      <c r="F162" s="1414" t="str">
        <f>IF('Design Data'!Q81="","",'Design Data'!Q81)</f>
        <v/>
      </c>
      <c r="G162" s="1411">
        <v>0</v>
      </c>
      <c r="H162" s="1412">
        <f t="shared" si="11"/>
        <v>0</v>
      </c>
      <c r="I162" s="1413"/>
    </row>
    <row r="163" spans="1:9" x14ac:dyDescent="0.2">
      <c r="A163" s="1418" t="s">
        <v>2194</v>
      </c>
      <c r="B163" s="1407">
        <f t="shared" si="13"/>
        <v>0</v>
      </c>
      <c r="C163" s="1408" t="str">
        <f t="shared" si="13"/>
        <v>AMMIXPACK</v>
      </c>
      <c r="D163" s="1408">
        <f t="shared" si="13"/>
        <v>1</v>
      </c>
      <c r="E163" s="1409">
        <v>155</v>
      </c>
      <c r="F163" s="1414" t="str">
        <f>IF('Design Data'!Q82="","",'Design Data'!Q82)</f>
        <v/>
      </c>
      <c r="G163" s="1411">
        <v>0</v>
      </c>
      <c r="H163" s="1412">
        <f t="shared" si="11"/>
        <v>0</v>
      </c>
      <c r="I163" s="1413"/>
    </row>
    <row r="164" spans="1:9" x14ac:dyDescent="0.2">
      <c r="A164" s="1416" t="s">
        <v>975</v>
      </c>
      <c r="B164" s="1407">
        <f t="shared" si="13"/>
        <v>0</v>
      </c>
      <c r="C164" s="1408" t="str">
        <f t="shared" si="13"/>
        <v>AMMIXPACK</v>
      </c>
      <c r="D164" s="1408">
        <f t="shared" si="13"/>
        <v>1</v>
      </c>
      <c r="E164" s="1409">
        <v>156</v>
      </c>
      <c r="F164" s="1417" t="s">
        <v>74</v>
      </c>
      <c r="G164" s="1411">
        <v>0</v>
      </c>
      <c r="H164" s="1412">
        <f t="shared" si="11"/>
        <v>0</v>
      </c>
      <c r="I164" s="1413"/>
    </row>
    <row r="165" spans="1:9" x14ac:dyDescent="0.2">
      <c r="A165" s="1418" t="s">
        <v>2196</v>
      </c>
      <c r="B165" s="1407">
        <f t="shared" si="13"/>
        <v>0</v>
      </c>
      <c r="C165" s="1408" t="str">
        <f t="shared" si="13"/>
        <v>AMMIXPACK</v>
      </c>
      <c r="D165" s="1408">
        <f t="shared" si="13"/>
        <v>1</v>
      </c>
      <c r="E165" s="1409">
        <v>157</v>
      </c>
      <c r="F165" s="1417"/>
      <c r="G165" s="1412">
        <f>IF(TSR!G18="",0,ROUND(TSR!G18,1))</f>
        <v>0</v>
      </c>
      <c r="H165" s="1412">
        <f t="shared" si="11"/>
        <v>0</v>
      </c>
      <c r="I165" s="1413"/>
    </row>
    <row r="166" spans="1:9" x14ac:dyDescent="0.2">
      <c r="A166" s="1418" t="s">
        <v>426</v>
      </c>
      <c r="B166" s="1407">
        <f t="shared" si="13"/>
        <v>0</v>
      </c>
      <c r="C166" s="1408" t="str">
        <f t="shared" si="13"/>
        <v>AMMIXPACK</v>
      </c>
      <c r="D166" s="1408">
        <f t="shared" si="13"/>
        <v>1</v>
      </c>
      <c r="E166" s="1409">
        <v>158</v>
      </c>
      <c r="F166" s="1414" t="str">
        <f>IF(TSR!H18="","",TSR!H18)</f>
        <v/>
      </c>
      <c r="G166" s="1411">
        <v>0</v>
      </c>
      <c r="H166" s="1412">
        <f t="shared" si="11"/>
        <v>0</v>
      </c>
      <c r="I166" s="1413"/>
    </row>
    <row r="167" spans="1:9" x14ac:dyDescent="0.2">
      <c r="A167" s="1418" t="s">
        <v>429</v>
      </c>
      <c r="B167" s="1407">
        <f t="shared" si="13"/>
        <v>0</v>
      </c>
      <c r="C167" s="1408" t="str">
        <f t="shared" si="13"/>
        <v>AMMIXPACK</v>
      </c>
      <c r="D167" s="1408">
        <f t="shared" si="13"/>
        <v>1</v>
      </c>
      <c r="E167" s="1409">
        <v>159</v>
      </c>
      <c r="F167" s="1424" t="str">
        <f>IF(TSR!G20="","",TSR!G20)</f>
        <v/>
      </c>
      <c r="G167" s="1411">
        <v>0</v>
      </c>
      <c r="H167" s="1412">
        <f t="shared" si="11"/>
        <v>0</v>
      </c>
      <c r="I167" s="1413"/>
    </row>
    <row r="168" spans="1:9" x14ac:dyDescent="0.2">
      <c r="A168" s="1418" t="s">
        <v>1548</v>
      </c>
      <c r="B168" s="1407">
        <f t="shared" si="13"/>
        <v>0</v>
      </c>
      <c r="C168" s="1408" t="str">
        <f t="shared" si="13"/>
        <v>AMMIXPACK</v>
      </c>
      <c r="D168" s="1408">
        <f t="shared" si="13"/>
        <v>1</v>
      </c>
      <c r="E168" s="1409">
        <v>160</v>
      </c>
      <c r="F168" s="1417"/>
      <c r="G168" s="1412">
        <f>IF(TSR!H39="",0,ROUND(TSR!H39,1))</f>
        <v>0</v>
      </c>
      <c r="H168" s="1412">
        <f t="shared" si="11"/>
        <v>0</v>
      </c>
      <c r="I168" s="1413"/>
    </row>
    <row r="169" spans="1:9" x14ac:dyDescent="0.2">
      <c r="A169" s="1418" t="s">
        <v>1547</v>
      </c>
      <c r="B169" s="1407">
        <f t="shared" si="13"/>
        <v>0</v>
      </c>
      <c r="C169" s="1408" t="str">
        <f t="shared" si="13"/>
        <v>AMMIXPACK</v>
      </c>
      <c r="D169" s="1408">
        <f t="shared" si="13"/>
        <v>1</v>
      </c>
      <c r="E169" s="1409">
        <v>161</v>
      </c>
      <c r="F169" s="1417"/>
      <c r="G169" s="1412">
        <f>IF(TSR!H46="",0,ROUND(TSR!H46,1))</f>
        <v>0</v>
      </c>
      <c r="H169" s="1412">
        <f t="shared" si="11"/>
        <v>0</v>
      </c>
      <c r="I169" s="1413"/>
    </row>
    <row r="170" spans="1:9" x14ac:dyDescent="0.2">
      <c r="A170" s="1418" t="s">
        <v>1546</v>
      </c>
      <c r="B170" s="1407">
        <f t="shared" si="13"/>
        <v>0</v>
      </c>
      <c r="C170" s="1408" t="str">
        <f t="shared" si="13"/>
        <v>AMMIXPACK</v>
      </c>
      <c r="D170" s="1408">
        <f t="shared" si="13"/>
        <v>1</v>
      </c>
      <c r="E170" s="1409">
        <v>162</v>
      </c>
      <c r="F170" s="1417"/>
      <c r="G170" s="1412">
        <f>IF(TSR!H52="",0,ROUND(TSR!H52,1))</f>
        <v>0</v>
      </c>
      <c r="H170" s="1412">
        <f t="shared" si="11"/>
        <v>0</v>
      </c>
      <c r="I170" s="1413"/>
    </row>
    <row r="171" spans="1:9" x14ac:dyDescent="0.2">
      <c r="A171" s="1418" t="s">
        <v>1545</v>
      </c>
      <c r="B171" s="1407">
        <f t="shared" ref="B171:D186" si="14">B170</f>
        <v>0</v>
      </c>
      <c r="C171" s="1408" t="str">
        <f t="shared" si="14"/>
        <v>AMMIXPACK</v>
      </c>
      <c r="D171" s="1408">
        <f t="shared" si="14"/>
        <v>1</v>
      </c>
      <c r="E171" s="1409">
        <v>163</v>
      </c>
      <c r="F171" s="1417"/>
      <c r="G171" s="1412">
        <f>IF(TSR!H54="",0,ROUND(TSR!H54,1))</f>
        <v>0</v>
      </c>
      <c r="H171" s="1412">
        <f t="shared" si="11"/>
        <v>0</v>
      </c>
      <c r="I171" s="1413"/>
    </row>
    <row r="172" spans="1:9" x14ac:dyDescent="0.2">
      <c r="A172" s="1418" t="s">
        <v>1544</v>
      </c>
      <c r="B172" s="1407">
        <f t="shared" si="14"/>
        <v>0</v>
      </c>
      <c r="C172" s="1408" t="str">
        <f t="shared" si="14"/>
        <v>AMMIXPACK</v>
      </c>
      <c r="D172" s="1408">
        <f t="shared" si="14"/>
        <v>1</v>
      </c>
      <c r="E172" s="1409">
        <v>164</v>
      </c>
      <c r="F172" s="1417"/>
      <c r="G172" s="1412">
        <f>IF(TSR!H55="",0,ROUND(TSR!H55,1))</f>
        <v>0</v>
      </c>
      <c r="H172" s="1412">
        <f t="shared" si="11"/>
        <v>0</v>
      </c>
      <c r="I172" s="1413"/>
    </row>
    <row r="173" spans="1:9" x14ac:dyDescent="0.2">
      <c r="A173" s="1418" t="s">
        <v>1886</v>
      </c>
      <c r="B173" s="1407">
        <f t="shared" si="14"/>
        <v>0</v>
      </c>
      <c r="C173" s="1408" t="str">
        <f t="shared" si="14"/>
        <v>AMMIXPACK</v>
      </c>
      <c r="D173" s="1408">
        <f t="shared" si="14"/>
        <v>1</v>
      </c>
      <c r="E173" s="1409">
        <v>165</v>
      </c>
      <c r="F173" s="1417"/>
      <c r="G173" s="1421">
        <f>IF(TSR!G57="",0,ROUND(TSR!G57,0))</f>
        <v>0</v>
      </c>
      <c r="H173" s="1412">
        <f t="shared" si="11"/>
        <v>0</v>
      </c>
      <c r="I173" s="1413"/>
    </row>
    <row r="174" spans="1:9" x14ac:dyDescent="0.2">
      <c r="A174" s="1418" t="s">
        <v>1881</v>
      </c>
      <c r="B174" s="1407">
        <f t="shared" si="14"/>
        <v>0</v>
      </c>
      <c r="C174" s="1408" t="str">
        <f t="shared" si="14"/>
        <v>AMMIXPACK</v>
      </c>
      <c r="D174" s="1408">
        <f t="shared" si="14"/>
        <v>1</v>
      </c>
      <c r="E174" s="1409">
        <v>166</v>
      </c>
      <c r="F174" s="1417"/>
      <c r="G174" s="1412">
        <f>IF(TSR!O39="",0,ROUND(TSR!O39,1))</f>
        <v>0</v>
      </c>
      <c r="H174" s="1412">
        <f t="shared" si="11"/>
        <v>0</v>
      </c>
      <c r="I174" s="1413"/>
    </row>
    <row r="175" spans="1:9" x14ac:dyDescent="0.2">
      <c r="A175" s="1418" t="s">
        <v>1882</v>
      </c>
      <c r="B175" s="1407">
        <f t="shared" si="14"/>
        <v>0</v>
      </c>
      <c r="C175" s="1408" t="str">
        <f t="shared" si="14"/>
        <v>AMMIXPACK</v>
      </c>
      <c r="D175" s="1408">
        <f t="shared" si="14"/>
        <v>1</v>
      </c>
      <c r="E175" s="1409">
        <v>167</v>
      </c>
      <c r="F175" s="1417"/>
      <c r="G175" s="1412">
        <f>IF(TSR!O46="",0,ROUND(TSR!O46,1))</f>
        <v>0</v>
      </c>
      <c r="H175" s="1412">
        <f t="shared" si="11"/>
        <v>0</v>
      </c>
      <c r="I175" s="1413"/>
    </row>
    <row r="176" spans="1:9" x14ac:dyDescent="0.2">
      <c r="A176" s="1418" t="s">
        <v>1883</v>
      </c>
      <c r="B176" s="1407">
        <f t="shared" si="14"/>
        <v>0</v>
      </c>
      <c r="C176" s="1408" t="str">
        <f t="shared" si="14"/>
        <v>AMMIXPACK</v>
      </c>
      <c r="D176" s="1408">
        <f t="shared" si="14"/>
        <v>1</v>
      </c>
      <c r="E176" s="1409">
        <v>168</v>
      </c>
      <c r="F176" s="1417"/>
      <c r="G176" s="1412">
        <f>IF(TSR!O52="",0,ROUND(TSR!O52,1))</f>
        <v>0</v>
      </c>
      <c r="H176" s="1412">
        <f t="shared" si="11"/>
        <v>0</v>
      </c>
      <c r="I176" s="1413"/>
    </row>
    <row r="177" spans="1:9" x14ac:dyDescent="0.2">
      <c r="A177" s="1418" t="s">
        <v>1884</v>
      </c>
      <c r="B177" s="1407">
        <f t="shared" si="14"/>
        <v>0</v>
      </c>
      <c r="C177" s="1408" t="str">
        <f t="shared" si="14"/>
        <v>AMMIXPACK</v>
      </c>
      <c r="D177" s="1408">
        <f t="shared" si="14"/>
        <v>1</v>
      </c>
      <c r="E177" s="1409">
        <v>169</v>
      </c>
      <c r="F177" s="1417"/>
      <c r="G177" s="1412">
        <f>IF(TSR!O54="",0,ROUND(TSR!O54,1))</f>
        <v>0</v>
      </c>
      <c r="H177" s="1412">
        <f t="shared" si="11"/>
        <v>0</v>
      </c>
      <c r="I177" s="1413"/>
    </row>
    <row r="178" spans="1:9" x14ac:dyDescent="0.2">
      <c r="A178" s="1418" t="s">
        <v>1885</v>
      </c>
      <c r="B178" s="1407">
        <f t="shared" si="14"/>
        <v>0</v>
      </c>
      <c r="C178" s="1408" t="str">
        <f t="shared" si="14"/>
        <v>AMMIXPACK</v>
      </c>
      <c r="D178" s="1408">
        <f t="shared" si="14"/>
        <v>1</v>
      </c>
      <c r="E178" s="1409">
        <v>170</v>
      </c>
      <c r="F178" s="1417"/>
      <c r="G178" s="1412">
        <f>IF(TSR!O55="",0,ROUND(TSR!O55,1))</f>
        <v>0</v>
      </c>
      <c r="H178" s="1412">
        <f t="shared" si="11"/>
        <v>0</v>
      </c>
      <c r="I178" s="1413"/>
    </row>
    <row r="179" spans="1:9" x14ac:dyDescent="0.2">
      <c r="A179" s="1418" t="s">
        <v>1887</v>
      </c>
      <c r="B179" s="1407">
        <f t="shared" si="14"/>
        <v>0</v>
      </c>
      <c r="C179" s="1408" t="str">
        <f t="shared" si="14"/>
        <v>AMMIXPACK</v>
      </c>
      <c r="D179" s="1408">
        <f t="shared" si="14"/>
        <v>1</v>
      </c>
      <c r="E179" s="1409">
        <v>171</v>
      </c>
      <c r="F179" s="1417"/>
      <c r="G179" s="1421">
        <f>IF(TSR!N57="",0,ROUND(TSR!N57,0))</f>
        <v>0</v>
      </c>
      <c r="H179" s="1412">
        <f t="shared" si="11"/>
        <v>0</v>
      </c>
      <c r="I179" s="1413"/>
    </row>
    <row r="180" spans="1:9" x14ac:dyDescent="0.2">
      <c r="A180" s="1416" t="s">
        <v>974</v>
      </c>
      <c r="B180" s="1407">
        <f t="shared" si="14"/>
        <v>0</v>
      </c>
      <c r="C180" s="1408" t="str">
        <f t="shared" si="14"/>
        <v>AMMIXPACK</v>
      </c>
      <c r="D180" s="1408">
        <f t="shared" si="14"/>
        <v>1</v>
      </c>
      <c r="E180" s="1409">
        <v>172</v>
      </c>
      <c r="F180" s="1417" t="s">
        <v>74</v>
      </c>
      <c r="G180" s="1411">
        <v>0</v>
      </c>
      <c r="H180" s="1412">
        <f t="shared" si="11"/>
        <v>0</v>
      </c>
      <c r="I180" s="1413"/>
    </row>
    <row r="181" spans="1:9" x14ac:dyDescent="0.2">
      <c r="A181" s="1418" t="s">
        <v>111</v>
      </c>
      <c r="B181" s="1407">
        <f t="shared" si="14"/>
        <v>0</v>
      </c>
      <c r="C181" s="1408" t="str">
        <f t="shared" si="14"/>
        <v>AMMIXPACK</v>
      </c>
      <c r="D181" s="1408">
        <f t="shared" si="14"/>
        <v>1</v>
      </c>
      <c r="E181" s="1409">
        <v>173</v>
      </c>
      <c r="F181" s="1414" t="str">
        <f>IF('Design Data'!A23="","",'Design Data'!A23)</f>
        <v/>
      </c>
      <c r="G181" s="1411">
        <v>0</v>
      </c>
      <c r="H181" s="1412">
        <f t="shared" si="11"/>
        <v>0</v>
      </c>
      <c r="I181" s="1413"/>
    </row>
    <row r="182" spans="1:9" x14ac:dyDescent="0.2">
      <c r="A182" s="1418" t="s">
        <v>1001</v>
      </c>
      <c r="B182" s="1407">
        <f t="shared" si="14"/>
        <v>0</v>
      </c>
      <c r="C182" s="1408" t="str">
        <f t="shared" si="14"/>
        <v>AMMIXPACK</v>
      </c>
      <c r="D182" s="1408">
        <f t="shared" si="14"/>
        <v>1</v>
      </c>
      <c r="E182" s="1409">
        <v>174</v>
      </c>
      <c r="F182" s="1414" t="str">
        <f>IF('Design Data'!A24="","",'Design Data'!A24)</f>
        <v/>
      </c>
      <c r="G182" s="1411">
        <v>0</v>
      </c>
      <c r="H182" s="1412">
        <f t="shared" si="11"/>
        <v>0</v>
      </c>
      <c r="I182" s="1413"/>
    </row>
    <row r="183" spans="1:9" x14ac:dyDescent="0.2">
      <c r="A183" s="1418" t="s">
        <v>1002</v>
      </c>
      <c r="B183" s="1407">
        <f t="shared" si="14"/>
        <v>0</v>
      </c>
      <c r="C183" s="1408" t="str">
        <f t="shared" si="14"/>
        <v>AMMIXPACK</v>
      </c>
      <c r="D183" s="1408">
        <f t="shared" si="14"/>
        <v>1</v>
      </c>
      <c r="E183" s="1409">
        <v>175</v>
      </c>
      <c r="F183" s="1414" t="str">
        <f>IF('Design Data'!A25="","",'Design Data'!A25)</f>
        <v/>
      </c>
      <c r="G183" s="1411">
        <v>0</v>
      </c>
      <c r="H183" s="1412">
        <f t="shared" si="11"/>
        <v>0</v>
      </c>
      <c r="I183" s="1413"/>
    </row>
    <row r="184" spans="1:9" x14ac:dyDescent="0.2">
      <c r="A184" s="1418" t="s">
        <v>1003</v>
      </c>
      <c r="B184" s="1407">
        <f t="shared" si="14"/>
        <v>0</v>
      </c>
      <c r="C184" s="1408" t="str">
        <f t="shared" si="14"/>
        <v>AMMIXPACK</v>
      </c>
      <c r="D184" s="1408">
        <f t="shared" si="14"/>
        <v>1</v>
      </c>
      <c r="E184" s="1409">
        <v>176</v>
      </c>
      <c r="F184" s="1414" t="str">
        <f>IF('Design Data'!A26="","",'Design Data'!A26)</f>
        <v/>
      </c>
      <c r="G184" s="1411">
        <v>0</v>
      </c>
      <c r="H184" s="1412">
        <f t="shared" si="11"/>
        <v>0</v>
      </c>
      <c r="I184" s="1413"/>
    </row>
    <row r="185" spans="1:9" x14ac:dyDescent="0.2">
      <c r="A185" s="1418" t="s">
        <v>1004</v>
      </c>
      <c r="B185" s="1407">
        <f t="shared" si="14"/>
        <v>0</v>
      </c>
      <c r="C185" s="1408" t="str">
        <f t="shared" si="14"/>
        <v>AMMIXPACK</v>
      </c>
      <c r="D185" s="1408">
        <f t="shared" si="14"/>
        <v>1</v>
      </c>
      <c r="E185" s="1409">
        <v>177</v>
      </c>
      <c r="F185" s="1414" t="str">
        <f>IF('Design Data'!A27="","",'Design Data'!A27)</f>
        <v/>
      </c>
      <c r="G185" s="1411">
        <v>0</v>
      </c>
      <c r="H185" s="1412">
        <f t="shared" si="11"/>
        <v>0</v>
      </c>
      <c r="I185" s="1413"/>
    </row>
    <row r="186" spans="1:9" x14ac:dyDescent="0.2">
      <c r="A186" s="1418" t="s">
        <v>1005</v>
      </c>
      <c r="B186" s="1407">
        <f t="shared" si="14"/>
        <v>0</v>
      </c>
      <c r="C186" s="1408" t="str">
        <f t="shared" si="14"/>
        <v>AMMIXPACK</v>
      </c>
      <c r="D186" s="1408">
        <f t="shared" si="14"/>
        <v>1</v>
      </c>
      <c r="E186" s="1409">
        <v>178</v>
      </c>
      <c r="F186" s="1414" t="str">
        <f>IF('Design Data'!A28="","",'Design Data'!A28)</f>
        <v/>
      </c>
      <c r="G186" s="1411">
        <v>0</v>
      </c>
      <c r="H186" s="1412">
        <f t="shared" si="11"/>
        <v>0</v>
      </c>
      <c r="I186" s="1413"/>
    </row>
    <row r="187" spans="1:9" x14ac:dyDescent="0.2">
      <c r="A187" s="1418" t="s">
        <v>112</v>
      </c>
      <c r="B187" s="1407">
        <f t="shared" ref="B187:D202" si="15">B186</f>
        <v>0</v>
      </c>
      <c r="C187" s="1408" t="str">
        <f t="shared" si="15"/>
        <v>AMMIXPACK</v>
      </c>
      <c r="D187" s="1408">
        <f t="shared" si="15"/>
        <v>1</v>
      </c>
      <c r="E187" s="1409">
        <v>179</v>
      </c>
      <c r="F187" s="1414" t="str">
        <f>IF('Design Data'!C23="","",'Design Data'!C23)</f>
        <v/>
      </c>
      <c r="G187" s="1411">
        <v>0</v>
      </c>
      <c r="H187" s="1412">
        <f t="shared" si="11"/>
        <v>0</v>
      </c>
      <c r="I187" s="1413"/>
    </row>
    <row r="188" spans="1:9" x14ac:dyDescent="0.2">
      <c r="A188" s="1418" t="s">
        <v>1006</v>
      </c>
      <c r="B188" s="1407">
        <f t="shared" si="15"/>
        <v>0</v>
      </c>
      <c r="C188" s="1408" t="str">
        <f t="shared" si="15"/>
        <v>AMMIXPACK</v>
      </c>
      <c r="D188" s="1408">
        <f t="shared" si="15"/>
        <v>1</v>
      </c>
      <c r="E188" s="1409">
        <v>180</v>
      </c>
      <c r="F188" s="1414" t="str">
        <f>IF('Design Data'!C24="","",'Design Data'!C24)</f>
        <v/>
      </c>
      <c r="G188" s="1411">
        <v>0</v>
      </c>
      <c r="H188" s="1412">
        <f t="shared" si="11"/>
        <v>0</v>
      </c>
      <c r="I188" s="1413"/>
    </row>
    <row r="189" spans="1:9" x14ac:dyDescent="0.2">
      <c r="A189" s="1418" t="s">
        <v>1007</v>
      </c>
      <c r="B189" s="1407">
        <f t="shared" si="15"/>
        <v>0</v>
      </c>
      <c r="C189" s="1408" t="str">
        <f t="shared" si="15"/>
        <v>AMMIXPACK</v>
      </c>
      <c r="D189" s="1408">
        <f t="shared" si="15"/>
        <v>1</v>
      </c>
      <c r="E189" s="1409">
        <v>181</v>
      </c>
      <c r="F189" s="1414" t="str">
        <f>IF('Design Data'!C25="","",'Design Data'!C25)</f>
        <v/>
      </c>
      <c r="G189" s="1411">
        <v>0</v>
      </c>
      <c r="H189" s="1412">
        <f t="shared" si="11"/>
        <v>0</v>
      </c>
      <c r="I189" s="1413"/>
    </row>
    <row r="190" spans="1:9" x14ac:dyDescent="0.2">
      <c r="A190" s="1418" t="s">
        <v>1036</v>
      </c>
      <c r="B190" s="1407">
        <f t="shared" si="15"/>
        <v>0</v>
      </c>
      <c r="C190" s="1408" t="str">
        <f t="shared" si="15"/>
        <v>AMMIXPACK</v>
      </c>
      <c r="D190" s="1408">
        <f t="shared" si="15"/>
        <v>1</v>
      </c>
      <c r="E190" s="1409">
        <v>182</v>
      </c>
      <c r="F190" s="1414" t="str">
        <f>IF('Design Data'!C26="","",'Design Data'!C26)</f>
        <v/>
      </c>
      <c r="G190" s="1411">
        <v>0</v>
      </c>
      <c r="H190" s="1412">
        <f t="shared" si="11"/>
        <v>0</v>
      </c>
      <c r="I190" s="1413"/>
    </row>
    <row r="191" spans="1:9" x14ac:dyDescent="0.2">
      <c r="A191" s="1418" t="s">
        <v>1037</v>
      </c>
      <c r="B191" s="1407">
        <f t="shared" si="15"/>
        <v>0</v>
      </c>
      <c r="C191" s="1408" t="str">
        <f t="shared" si="15"/>
        <v>AMMIXPACK</v>
      </c>
      <c r="D191" s="1408">
        <f t="shared" si="15"/>
        <v>1</v>
      </c>
      <c r="E191" s="1409">
        <v>183</v>
      </c>
      <c r="F191" s="1414" t="str">
        <f>IF('Design Data'!C27="","",'Design Data'!C27)</f>
        <v/>
      </c>
      <c r="G191" s="1411">
        <v>0</v>
      </c>
      <c r="H191" s="1412">
        <f t="shared" si="11"/>
        <v>0</v>
      </c>
      <c r="I191" s="1413"/>
    </row>
    <row r="192" spans="1:9" x14ac:dyDescent="0.2">
      <c r="A192" s="1418" t="s">
        <v>37</v>
      </c>
      <c r="B192" s="1407">
        <f t="shared" si="15"/>
        <v>0</v>
      </c>
      <c r="C192" s="1408" t="str">
        <f t="shared" si="15"/>
        <v>AMMIXPACK</v>
      </c>
      <c r="D192" s="1408">
        <f t="shared" si="15"/>
        <v>1</v>
      </c>
      <c r="E192" s="1409">
        <v>184</v>
      </c>
      <c r="F192" s="1414" t="str">
        <f>IF('Design Data'!C28="","",'Design Data'!C28)</f>
        <v/>
      </c>
      <c r="G192" s="1411">
        <v>0</v>
      </c>
      <c r="H192" s="1412">
        <f t="shared" si="11"/>
        <v>0</v>
      </c>
      <c r="I192" s="1413"/>
    </row>
    <row r="193" spans="1:9" x14ac:dyDescent="0.2">
      <c r="A193" s="1418" t="s">
        <v>2197</v>
      </c>
      <c r="B193" s="1407">
        <f t="shared" si="15"/>
        <v>0</v>
      </c>
      <c r="C193" s="1408" t="str">
        <f t="shared" si="15"/>
        <v>AMMIXPACK</v>
      </c>
      <c r="D193" s="1408">
        <f t="shared" si="15"/>
        <v>1</v>
      </c>
      <c r="E193" s="1409">
        <v>185</v>
      </c>
      <c r="F193" s="1414" t="str">
        <f>IF('Design Data'!H23="","",'Design Data'!H23)</f>
        <v/>
      </c>
      <c r="G193" s="1411">
        <v>0</v>
      </c>
      <c r="H193" s="1412">
        <f t="shared" si="11"/>
        <v>0</v>
      </c>
      <c r="I193" s="1413"/>
    </row>
    <row r="194" spans="1:9" x14ac:dyDescent="0.2">
      <c r="A194" s="1418" t="s">
        <v>38</v>
      </c>
      <c r="B194" s="1407">
        <f t="shared" si="15"/>
        <v>0</v>
      </c>
      <c r="C194" s="1408" t="str">
        <f t="shared" si="15"/>
        <v>AMMIXPACK</v>
      </c>
      <c r="D194" s="1408">
        <f t="shared" si="15"/>
        <v>1</v>
      </c>
      <c r="E194" s="1409">
        <v>186</v>
      </c>
      <c r="F194" s="1414" t="str">
        <f>IF('Design Data'!H24="","",'Design Data'!H24)</f>
        <v/>
      </c>
      <c r="G194" s="1411">
        <v>0</v>
      </c>
      <c r="H194" s="1412">
        <f t="shared" si="11"/>
        <v>0</v>
      </c>
      <c r="I194" s="1413"/>
    </row>
    <row r="195" spans="1:9" x14ac:dyDescent="0.2">
      <c r="A195" s="1418" t="s">
        <v>39</v>
      </c>
      <c r="B195" s="1407">
        <f t="shared" si="15"/>
        <v>0</v>
      </c>
      <c r="C195" s="1408" t="str">
        <f t="shared" si="15"/>
        <v>AMMIXPACK</v>
      </c>
      <c r="D195" s="1408">
        <f t="shared" si="15"/>
        <v>1</v>
      </c>
      <c r="E195" s="1409">
        <v>187</v>
      </c>
      <c r="F195" s="1414" t="str">
        <f>IF('Design Data'!H25="","",'Design Data'!H25)</f>
        <v/>
      </c>
      <c r="G195" s="1411">
        <v>0</v>
      </c>
      <c r="H195" s="1412">
        <f t="shared" si="11"/>
        <v>0</v>
      </c>
      <c r="I195" s="1413"/>
    </row>
    <row r="196" spans="1:9" x14ac:dyDescent="0.2">
      <c r="A196" s="1418" t="s">
        <v>40</v>
      </c>
      <c r="B196" s="1407">
        <f t="shared" si="15"/>
        <v>0</v>
      </c>
      <c r="C196" s="1408" t="str">
        <f t="shared" si="15"/>
        <v>AMMIXPACK</v>
      </c>
      <c r="D196" s="1408">
        <f t="shared" si="15"/>
        <v>1</v>
      </c>
      <c r="E196" s="1409">
        <v>188</v>
      </c>
      <c r="F196" s="1414" t="str">
        <f>IF('Design Data'!H26="","",'Design Data'!H26)</f>
        <v/>
      </c>
      <c r="G196" s="1411">
        <v>0</v>
      </c>
      <c r="H196" s="1412">
        <f t="shared" si="11"/>
        <v>0</v>
      </c>
      <c r="I196" s="1413"/>
    </row>
    <row r="197" spans="1:9" x14ac:dyDescent="0.2">
      <c r="A197" s="1418" t="s">
        <v>41</v>
      </c>
      <c r="B197" s="1407">
        <f t="shared" si="15"/>
        <v>0</v>
      </c>
      <c r="C197" s="1408" t="str">
        <f t="shared" si="15"/>
        <v>AMMIXPACK</v>
      </c>
      <c r="D197" s="1408">
        <f t="shared" si="15"/>
        <v>1</v>
      </c>
      <c r="E197" s="1409">
        <v>189</v>
      </c>
      <c r="F197" s="1414" t="str">
        <f>IF('Design Data'!H27="","",'Design Data'!H27)</f>
        <v/>
      </c>
      <c r="G197" s="1411">
        <v>0</v>
      </c>
      <c r="H197" s="1412">
        <f t="shared" si="11"/>
        <v>0</v>
      </c>
      <c r="I197" s="1413"/>
    </row>
    <row r="198" spans="1:9" x14ac:dyDescent="0.2">
      <c r="A198" s="1418" t="s">
        <v>42</v>
      </c>
      <c r="B198" s="1407">
        <f t="shared" si="15"/>
        <v>0</v>
      </c>
      <c r="C198" s="1408" t="str">
        <f t="shared" si="15"/>
        <v>AMMIXPACK</v>
      </c>
      <c r="D198" s="1408">
        <f t="shared" si="15"/>
        <v>1</v>
      </c>
      <c r="E198" s="1409">
        <v>190</v>
      </c>
      <c r="F198" s="1414" t="str">
        <f>IF('Design Data'!H28="","",'Design Data'!H28)</f>
        <v/>
      </c>
      <c r="G198" s="1411">
        <v>0</v>
      </c>
      <c r="H198" s="1412">
        <f t="shared" si="11"/>
        <v>0</v>
      </c>
      <c r="I198" s="1413"/>
    </row>
    <row r="199" spans="1:9" x14ac:dyDescent="0.2">
      <c r="A199" s="1418" t="s">
        <v>114</v>
      </c>
      <c r="B199" s="1407">
        <f t="shared" si="15"/>
        <v>0</v>
      </c>
      <c r="C199" s="1408" t="str">
        <f t="shared" si="15"/>
        <v>AMMIXPACK</v>
      </c>
      <c r="D199" s="1408">
        <f t="shared" si="15"/>
        <v>1</v>
      </c>
      <c r="E199" s="1409">
        <v>191</v>
      </c>
      <c r="F199" s="1414" t="str">
        <f>IF('Design Data'!J23="","",'Design Data'!J23)</f>
        <v/>
      </c>
      <c r="G199" s="1411">
        <v>0</v>
      </c>
      <c r="H199" s="1412">
        <f t="shared" si="11"/>
        <v>0</v>
      </c>
      <c r="I199" s="1413"/>
    </row>
    <row r="200" spans="1:9" x14ac:dyDescent="0.2">
      <c r="A200" s="1418" t="s">
        <v>43</v>
      </c>
      <c r="B200" s="1407">
        <f t="shared" si="15"/>
        <v>0</v>
      </c>
      <c r="C200" s="1408" t="str">
        <f t="shared" si="15"/>
        <v>AMMIXPACK</v>
      </c>
      <c r="D200" s="1408">
        <f t="shared" si="15"/>
        <v>1</v>
      </c>
      <c r="E200" s="1409">
        <v>192</v>
      </c>
      <c r="F200" s="1414" t="str">
        <f>IF('Design Data'!J24="","",'Design Data'!J24)</f>
        <v/>
      </c>
      <c r="G200" s="1411">
        <v>0</v>
      </c>
      <c r="H200" s="1412">
        <f t="shared" si="11"/>
        <v>0</v>
      </c>
      <c r="I200" s="1413"/>
    </row>
    <row r="201" spans="1:9" x14ac:dyDescent="0.2">
      <c r="A201" s="1418" t="s">
        <v>44</v>
      </c>
      <c r="B201" s="1407">
        <f t="shared" si="15"/>
        <v>0</v>
      </c>
      <c r="C201" s="1408" t="str">
        <f t="shared" si="15"/>
        <v>AMMIXPACK</v>
      </c>
      <c r="D201" s="1408">
        <f t="shared" si="15"/>
        <v>1</v>
      </c>
      <c r="E201" s="1409">
        <v>193</v>
      </c>
      <c r="F201" s="1414" t="str">
        <f>IF('Design Data'!J25="","",'Design Data'!J25)</f>
        <v/>
      </c>
      <c r="G201" s="1411">
        <v>0</v>
      </c>
      <c r="H201" s="1412">
        <f t="shared" ref="H201:H261" si="16">H200</f>
        <v>0</v>
      </c>
      <c r="I201" s="1413"/>
    </row>
    <row r="202" spans="1:9" x14ac:dyDescent="0.2">
      <c r="A202" s="1418" t="s">
        <v>45</v>
      </c>
      <c r="B202" s="1407">
        <f t="shared" si="15"/>
        <v>0</v>
      </c>
      <c r="C202" s="1408" t="str">
        <f t="shared" si="15"/>
        <v>AMMIXPACK</v>
      </c>
      <c r="D202" s="1408">
        <f t="shared" si="15"/>
        <v>1</v>
      </c>
      <c r="E202" s="1409">
        <v>194</v>
      </c>
      <c r="F202" s="1414" t="str">
        <f>IF('Design Data'!J26="","",'Design Data'!J26)</f>
        <v/>
      </c>
      <c r="G202" s="1411">
        <v>0</v>
      </c>
      <c r="H202" s="1412">
        <f t="shared" si="16"/>
        <v>0</v>
      </c>
      <c r="I202" s="1413"/>
    </row>
    <row r="203" spans="1:9" x14ac:dyDescent="0.2">
      <c r="A203" s="1418" t="s">
        <v>46</v>
      </c>
      <c r="B203" s="1407">
        <f t="shared" ref="B203:D218" si="17">B202</f>
        <v>0</v>
      </c>
      <c r="C203" s="1408" t="str">
        <f t="shared" si="17"/>
        <v>AMMIXPACK</v>
      </c>
      <c r="D203" s="1408">
        <f t="shared" si="17"/>
        <v>1</v>
      </c>
      <c r="E203" s="1409">
        <v>195</v>
      </c>
      <c r="F203" s="1414" t="str">
        <f>IF('Design Data'!J27="","",'Design Data'!J27)</f>
        <v/>
      </c>
      <c r="G203" s="1411">
        <v>0</v>
      </c>
      <c r="H203" s="1412">
        <f t="shared" si="16"/>
        <v>0</v>
      </c>
      <c r="I203" s="1413"/>
    </row>
    <row r="204" spans="1:9" x14ac:dyDescent="0.2">
      <c r="A204" s="1418" t="s">
        <v>47</v>
      </c>
      <c r="B204" s="1407">
        <f t="shared" si="17"/>
        <v>0</v>
      </c>
      <c r="C204" s="1408" t="str">
        <f t="shared" si="17"/>
        <v>AMMIXPACK</v>
      </c>
      <c r="D204" s="1408">
        <f t="shared" si="17"/>
        <v>1</v>
      </c>
      <c r="E204" s="1409">
        <v>196</v>
      </c>
      <c r="F204" s="1414" t="str">
        <f>IF('Design Data'!J28="","",'Design Data'!J28)</f>
        <v/>
      </c>
      <c r="G204" s="1411">
        <v>0</v>
      </c>
      <c r="H204" s="1412">
        <f t="shared" si="16"/>
        <v>0</v>
      </c>
      <c r="I204" s="1413"/>
    </row>
    <row r="205" spans="1:9" x14ac:dyDescent="0.2">
      <c r="A205" s="1418" t="s">
        <v>812</v>
      </c>
      <c r="B205" s="1407">
        <f t="shared" si="17"/>
        <v>0</v>
      </c>
      <c r="C205" s="1408" t="str">
        <f t="shared" si="17"/>
        <v>AMMIXPACK</v>
      </c>
      <c r="D205" s="1408">
        <f t="shared" si="17"/>
        <v>1</v>
      </c>
      <c r="E205" s="1409">
        <v>197</v>
      </c>
      <c r="F205" s="1417"/>
      <c r="G205" s="1412">
        <f>IF('Design Data'!L23="",0,ROUND('Design Data'!L23,2))</f>
        <v>0</v>
      </c>
      <c r="H205" s="1412">
        <f t="shared" si="16"/>
        <v>0</v>
      </c>
      <c r="I205" s="1413"/>
    </row>
    <row r="206" spans="1:9" x14ac:dyDescent="0.2">
      <c r="A206" s="1418" t="s">
        <v>816</v>
      </c>
      <c r="B206" s="1407">
        <f t="shared" si="17"/>
        <v>0</v>
      </c>
      <c r="C206" s="1408" t="str">
        <f t="shared" si="17"/>
        <v>AMMIXPACK</v>
      </c>
      <c r="D206" s="1408">
        <f t="shared" si="17"/>
        <v>1</v>
      </c>
      <c r="E206" s="1409">
        <v>198</v>
      </c>
      <c r="F206" s="1417"/>
      <c r="G206" s="1412">
        <f>IF('Design Data'!L24="",0,ROUND('Design Data'!L24,2))</f>
        <v>0</v>
      </c>
      <c r="H206" s="1412">
        <f t="shared" si="16"/>
        <v>0</v>
      </c>
      <c r="I206" s="1413"/>
    </row>
    <row r="207" spans="1:9" x14ac:dyDescent="0.2">
      <c r="A207" s="1418" t="s">
        <v>817</v>
      </c>
      <c r="B207" s="1407">
        <f t="shared" si="17"/>
        <v>0</v>
      </c>
      <c r="C207" s="1408" t="str">
        <f t="shared" si="17"/>
        <v>AMMIXPACK</v>
      </c>
      <c r="D207" s="1408">
        <f t="shared" si="17"/>
        <v>1</v>
      </c>
      <c r="E207" s="1409">
        <v>199</v>
      </c>
      <c r="F207" s="1417"/>
      <c r="G207" s="1412">
        <f>IF('Design Data'!L25="",0,ROUND('Design Data'!L25,2))</f>
        <v>0</v>
      </c>
      <c r="H207" s="1412">
        <f t="shared" si="16"/>
        <v>0</v>
      </c>
      <c r="I207" s="1413"/>
    </row>
    <row r="208" spans="1:9" x14ac:dyDescent="0.2">
      <c r="A208" s="1418" t="s">
        <v>818</v>
      </c>
      <c r="B208" s="1407">
        <f t="shared" si="17"/>
        <v>0</v>
      </c>
      <c r="C208" s="1408" t="str">
        <f t="shared" si="17"/>
        <v>AMMIXPACK</v>
      </c>
      <c r="D208" s="1408">
        <f t="shared" si="17"/>
        <v>1</v>
      </c>
      <c r="E208" s="1409">
        <v>200</v>
      </c>
      <c r="F208" s="1417"/>
      <c r="G208" s="1412">
        <f>IF('Design Data'!L26="",0,ROUND('Design Data'!L26,2))</f>
        <v>0</v>
      </c>
      <c r="H208" s="1412">
        <f t="shared" si="16"/>
        <v>0</v>
      </c>
      <c r="I208" s="1413"/>
    </row>
    <row r="209" spans="1:9" x14ac:dyDescent="0.2">
      <c r="A209" s="1418" t="s">
        <v>819</v>
      </c>
      <c r="B209" s="1407">
        <f t="shared" si="17"/>
        <v>0</v>
      </c>
      <c r="C209" s="1408" t="str">
        <f t="shared" si="17"/>
        <v>AMMIXPACK</v>
      </c>
      <c r="D209" s="1408">
        <f t="shared" si="17"/>
        <v>1</v>
      </c>
      <c r="E209" s="1409">
        <v>201</v>
      </c>
      <c r="F209" s="1417"/>
      <c r="G209" s="1412">
        <f>IF('Design Data'!L27="",0,ROUND('Design Data'!L27,2))</f>
        <v>0</v>
      </c>
      <c r="H209" s="1412">
        <f t="shared" si="16"/>
        <v>0</v>
      </c>
      <c r="I209" s="1413"/>
    </row>
    <row r="210" spans="1:9" x14ac:dyDescent="0.2">
      <c r="A210" s="1418" t="s">
        <v>820</v>
      </c>
      <c r="B210" s="1407">
        <f t="shared" si="17"/>
        <v>0</v>
      </c>
      <c r="C210" s="1408" t="str">
        <f t="shared" si="17"/>
        <v>AMMIXPACK</v>
      </c>
      <c r="D210" s="1408">
        <f t="shared" si="17"/>
        <v>1</v>
      </c>
      <c r="E210" s="1409">
        <v>202</v>
      </c>
      <c r="F210" s="1417"/>
      <c r="G210" s="1412">
        <f>IF('Design Data'!L28="",0,ROUND('Design Data'!L28,2))</f>
        <v>0</v>
      </c>
      <c r="H210" s="1412">
        <f t="shared" si="16"/>
        <v>0</v>
      </c>
      <c r="I210" s="1413"/>
    </row>
    <row r="211" spans="1:9" x14ac:dyDescent="0.2">
      <c r="A211" s="1418" t="s">
        <v>116</v>
      </c>
      <c r="B211" s="1407">
        <f t="shared" si="17"/>
        <v>0</v>
      </c>
      <c r="C211" s="1408" t="str">
        <f t="shared" si="17"/>
        <v>AMMIXPACK</v>
      </c>
      <c r="D211" s="1408">
        <f t="shared" si="17"/>
        <v>1</v>
      </c>
      <c r="E211" s="1409">
        <v>203</v>
      </c>
      <c r="F211" s="1417"/>
      <c r="G211" s="1412">
        <f>IF('Design Data'!M23="",0,ROUND('Design Data'!M23,0))</f>
        <v>0</v>
      </c>
      <c r="H211" s="1412">
        <f t="shared" si="16"/>
        <v>0</v>
      </c>
      <c r="I211" s="1413"/>
    </row>
    <row r="212" spans="1:9" x14ac:dyDescent="0.2">
      <c r="A212" s="1418" t="s">
        <v>48</v>
      </c>
      <c r="B212" s="1407">
        <f t="shared" si="17"/>
        <v>0</v>
      </c>
      <c r="C212" s="1408" t="str">
        <f t="shared" si="17"/>
        <v>AMMIXPACK</v>
      </c>
      <c r="D212" s="1408">
        <f t="shared" si="17"/>
        <v>1</v>
      </c>
      <c r="E212" s="1409">
        <v>204</v>
      </c>
      <c r="F212" s="1417"/>
      <c r="G212" s="1412">
        <f>IF('Design Data'!M24="",0,ROUND('Design Data'!M24,0))</f>
        <v>0</v>
      </c>
      <c r="H212" s="1412">
        <f t="shared" si="16"/>
        <v>0</v>
      </c>
      <c r="I212" s="1413"/>
    </row>
    <row r="213" spans="1:9" x14ac:dyDescent="0.2">
      <c r="A213" s="1418" t="s">
        <v>49</v>
      </c>
      <c r="B213" s="1407">
        <f t="shared" si="17"/>
        <v>0</v>
      </c>
      <c r="C213" s="1408" t="str">
        <f t="shared" si="17"/>
        <v>AMMIXPACK</v>
      </c>
      <c r="D213" s="1408">
        <f t="shared" si="17"/>
        <v>1</v>
      </c>
      <c r="E213" s="1409">
        <v>205</v>
      </c>
      <c r="F213" s="1417"/>
      <c r="G213" s="1412">
        <f>IF('Design Data'!M25="",0,ROUND('Design Data'!M25,0))</f>
        <v>0</v>
      </c>
      <c r="H213" s="1412">
        <f t="shared" si="16"/>
        <v>0</v>
      </c>
      <c r="I213" s="1413"/>
    </row>
    <row r="214" spans="1:9" x14ac:dyDescent="0.2">
      <c r="A214" s="1418" t="s">
        <v>50</v>
      </c>
      <c r="B214" s="1407">
        <f t="shared" si="17"/>
        <v>0</v>
      </c>
      <c r="C214" s="1408" t="str">
        <f t="shared" si="17"/>
        <v>AMMIXPACK</v>
      </c>
      <c r="D214" s="1408">
        <f t="shared" si="17"/>
        <v>1</v>
      </c>
      <c r="E214" s="1409">
        <v>206</v>
      </c>
      <c r="F214" s="1417"/>
      <c r="G214" s="1412">
        <f>IF('Design Data'!M26="",0,ROUND('Design Data'!M26,0))</f>
        <v>0</v>
      </c>
      <c r="H214" s="1412">
        <f t="shared" si="16"/>
        <v>0</v>
      </c>
      <c r="I214" s="1413"/>
    </row>
    <row r="215" spans="1:9" x14ac:dyDescent="0.2">
      <c r="A215" s="1418" t="s">
        <v>51</v>
      </c>
      <c r="B215" s="1407">
        <f t="shared" si="17"/>
        <v>0</v>
      </c>
      <c r="C215" s="1408" t="str">
        <f t="shared" si="17"/>
        <v>AMMIXPACK</v>
      </c>
      <c r="D215" s="1408">
        <f t="shared" si="17"/>
        <v>1</v>
      </c>
      <c r="E215" s="1409">
        <v>207</v>
      </c>
      <c r="F215" s="1417"/>
      <c r="G215" s="1412">
        <f>IF('Design Data'!M27="",0,ROUND('Design Data'!M27,0))</f>
        <v>0</v>
      </c>
      <c r="H215" s="1412">
        <f t="shared" si="16"/>
        <v>0</v>
      </c>
      <c r="I215" s="1413"/>
    </row>
    <row r="216" spans="1:9" x14ac:dyDescent="0.2">
      <c r="A216" s="1418" t="s">
        <v>52</v>
      </c>
      <c r="B216" s="1407">
        <f t="shared" si="17"/>
        <v>0</v>
      </c>
      <c r="C216" s="1408" t="str">
        <f t="shared" si="17"/>
        <v>AMMIXPACK</v>
      </c>
      <c r="D216" s="1408">
        <f t="shared" si="17"/>
        <v>1</v>
      </c>
      <c r="E216" s="1409">
        <v>208</v>
      </c>
      <c r="F216" s="1417"/>
      <c r="G216" s="1412">
        <f>IF('Design Data'!M28="",0,ROUND('Design Data'!M28,0))</f>
        <v>0</v>
      </c>
      <c r="H216" s="1412">
        <f t="shared" si="16"/>
        <v>0</v>
      </c>
      <c r="I216" s="1413"/>
    </row>
    <row r="217" spans="1:9" x14ac:dyDescent="0.2">
      <c r="A217" s="1418" t="s">
        <v>1261</v>
      </c>
      <c r="B217" s="1407">
        <f t="shared" si="17"/>
        <v>0</v>
      </c>
      <c r="C217" s="1408" t="str">
        <f t="shared" si="17"/>
        <v>AMMIXPACK</v>
      </c>
      <c r="D217" s="1408">
        <f t="shared" si="17"/>
        <v>1</v>
      </c>
      <c r="E217" s="1409">
        <v>209</v>
      </c>
      <c r="F217" s="1414" t="str">
        <f>IF('Design Data'!M113="","",'Design Data'!M113)</f>
        <v/>
      </c>
      <c r="G217" s="1411">
        <v>0</v>
      </c>
      <c r="H217" s="1412">
        <f t="shared" si="16"/>
        <v>0</v>
      </c>
      <c r="I217" s="1413"/>
    </row>
    <row r="218" spans="1:9" x14ac:dyDescent="0.2">
      <c r="A218" s="1418" t="s">
        <v>64</v>
      </c>
      <c r="B218" s="1407">
        <f t="shared" si="17"/>
        <v>0</v>
      </c>
      <c r="C218" s="1408" t="str">
        <f t="shared" si="17"/>
        <v>AMMIXPACK</v>
      </c>
      <c r="D218" s="1408">
        <f t="shared" si="17"/>
        <v>1</v>
      </c>
      <c r="E218" s="1409">
        <v>210</v>
      </c>
      <c r="F218" s="1414" t="str">
        <f>IF('Design Data'!M114="","",'Design Data'!M114)</f>
        <v/>
      </c>
      <c r="G218" s="1411">
        <v>0</v>
      </c>
      <c r="H218" s="1412">
        <f t="shared" si="16"/>
        <v>0</v>
      </c>
      <c r="I218" s="1413"/>
    </row>
    <row r="219" spans="1:9" x14ac:dyDescent="0.2">
      <c r="A219" s="1418" t="s">
        <v>65</v>
      </c>
      <c r="B219" s="1407">
        <f t="shared" ref="B219:D234" si="18">B218</f>
        <v>0</v>
      </c>
      <c r="C219" s="1408" t="str">
        <f t="shared" si="18"/>
        <v>AMMIXPACK</v>
      </c>
      <c r="D219" s="1408">
        <f t="shared" si="18"/>
        <v>1</v>
      </c>
      <c r="E219" s="1409">
        <v>211</v>
      </c>
      <c r="F219" s="1414" t="str">
        <f>IF('Design Data'!M115="","",'Design Data'!M115)</f>
        <v/>
      </c>
      <c r="G219" s="1411">
        <v>0</v>
      </c>
      <c r="H219" s="1412">
        <f t="shared" si="16"/>
        <v>0</v>
      </c>
      <c r="I219" s="1413"/>
    </row>
    <row r="220" spans="1:9" x14ac:dyDescent="0.2">
      <c r="A220" s="1418" t="s">
        <v>66</v>
      </c>
      <c r="B220" s="1407">
        <f t="shared" si="18"/>
        <v>0</v>
      </c>
      <c r="C220" s="1408" t="str">
        <f t="shared" si="18"/>
        <v>AMMIXPACK</v>
      </c>
      <c r="D220" s="1408">
        <f t="shared" si="18"/>
        <v>1</v>
      </c>
      <c r="E220" s="1409">
        <v>212</v>
      </c>
      <c r="F220" s="1414" t="str">
        <f>IF('Design Data'!M116="","",'Design Data'!M116)</f>
        <v/>
      </c>
      <c r="G220" s="1411">
        <v>0</v>
      </c>
      <c r="H220" s="1412">
        <f t="shared" si="16"/>
        <v>0</v>
      </c>
      <c r="I220" s="1413"/>
    </row>
    <row r="221" spans="1:9" x14ac:dyDescent="0.2">
      <c r="A221" s="1418" t="s">
        <v>67</v>
      </c>
      <c r="B221" s="1407">
        <f t="shared" si="18"/>
        <v>0</v>
      </c>
      <c r="C221" s="1408" t="str">
        <f t="shared" si="18"/>
        <v>AMMIXPACK</v>
      </c>
      <c r="D221" s="1408">
        <f t="shared" si="18"/>
        <v>1</v>
      </c>
      <c r="E221" s="1409">
        <v>213</v>
      </c>
      <c r="F221" s="1414" t="str">
        <f>IF('Design Data'!M117="","",'Design Data'!M117)</f>
        <v/>
      </c>
      <c r="G221" s="1411">
        <v>0</v>
      </c>
      <c r="H221" s="1412">
        <f t="shared" si="16"/>
        <v>0</v>
      </c>
      <c r="I221" s="1413"/>
    </row>
    <row r="222" spans="1:9" x14ac:dyDescent="0.2">
      <c r="A222" s="1418" t="s">
        <v>68</v>
      </c>
      <c r="B222" s="1407">
        <f t="shared" si="18"/>
        <v>0</v>
      </c>
      <c r="C222" s="1408" t="str">
        <f t="shared" si="18"/>
        <v>AMMIXPACK</v>
      </c>
      <c r="D222" s="1408">
        <f t="shared" si="18"/>
        <v>1</v>
      </c>
      <c r="E222" s="1409">
        <v>214</v>
      </c>
      <c r="F222" s="1414" t="str">
        <f>IF('Design Data'!M118="","",'Design Data'!M118)</f>
        <v/>
      </c>
      <c r="G222" s="1411">
        <v>0</v>
      </c>
      <c r="H222" s="1412">
        <f t="shared" si="16"/>
        <v>0</v>
      </c>
      <c r="I222" s="1413"/>
    </row>
    <row r="223" spans="1:9" x14ac:dyDescent="0.2">
      <c r="A223" s="1418" t="s">
        <v>1996</v>
      </c>
      <c r="B223" s="1407">
        <f t="shared" si="18"/>
        <v>0</v>
      </c>
      <c r="C223" s="1408" t="str">
        <f t="shared" si="18"/>
        <v>AMMIXPACK</v>
      </c>
      <c r="D223" s="1408">
        <f t="shared" si="18"/>
        <v>1</v>
      </c>
      <c r="E223" s="1409">
        <v>215</v>
      </c>
      <c r="F223" s="1414" t="str">
        <f>IF('Design Data'!N113="","",'Design Data'!N113)</f>
        <v/>
      </c>
      <c r="G223" s="1411">
        <v>0</v>
      </c>
      <c r="H223" s="1412">
        <f t="shared" si="16"/>
        <v>0</v>
      </c>
      <c r="I223" s="1413"/>
    </row>
    <row r="224" spans="1:9" x14ac:dyDescent="0.2">
      <c r="A224" s="1418" t="s">
        <v>53</v>
      </c>
      <c r="B224" s="1407">
        <f t="shared" si="18"/>
        <v>0</v>
      </c>
      <c r="C224" s="1408" t="str">
        <f t="shared" si="18"/>
        <v>AMMIXPACK</v>
      </c>
      <c r="D224" s="1408">
        <f t="shared" si="18"/>
        <v>1</v>
      </c>
      <c r="E224" s="1409">
        <v>216</v>
      </c>
      <c r="F224" s="1414" t="str">
        <f>IF('Design Data'!N114="","",'Design Data'!N114)</f>
        <v/>
      </c>
      <c r="G224" s="1411">
        <v>0</v>
      </c>
      <c r="H224" s="1412">
        <f t="shared" si="16"/>
        <v>0</v>
      </c>
      <c r="I224" s="1413"/>
    </row>
    <row r="225" spans="1:9" x14ac:dyDescent="0.2">
      <c r="A225" s="1418" t="s">
        <v>54</v>
      </c>
      <c r="B225" s="1407">
        <f t="shared" si="18"/>
        <v>0</v>
      </c>
      <c r="C225" s="1408" t="str">
        <f t="shared" si="18"/>
        <v>AMMIXPACK</v>
      </c>
      <c r="D225" s="1408">
        <f t="shared" si="18"/>
        <v>1</v>
      </c>
      <c r="E225" s="1409">
        <v>217</v>
      </c>
      <c r="F225" s="1414" t="str">
        <f>IF('Design Data'!N115="","",'Design Data'!N115)</f>
        <v/>
      </c>
      <c r="G225" s="1411">
        <v>0</v>
      </c>
      <c r="H225" s="1412">
        <f t="shared" si="16"/>
        <v>0</v>
      </c>
      <c r="I225" s="1413"/>
    </row>
    <row r="226" spans="1:9" x14ac:dyDescent="0.2">
      <c r="A226" s="1418" t="s">
        <v>55</v>
      </c>
      <c r="B226" s="1407">
        <f t="shared" si="18"/>
        <v>0</v>
      </c>
      <c r="C226" s="1408" t="str">
        <f t="shared" si="18"/>
        <v>AMMIXPACK</v>
      </c>
      <c r="D226" s="1408">
        <f t="shared" si="18"/>
        <v>1</v>
      </c>
      <c r="E226" s="1409">
        <v>218</v>
      </c>
      <c r="F226" s="1414" t="str">
        <f>IF('Design Data'!N116="","",'Design Data'!N116)</f>
        <v/>
      </c>
      <c r="G226" s="1411">
        <v>0</v>
      </c>
      <c r="H226" s="1412">
        <f t="shared" si="16"/>
        <v>0</v>
      </c>
      <c r="I226" s="1413"/>
    </row>
    <row r="227" spans="1:9" x14ac:dyDescent="0.2">
      <c r="A227" s="1418" t="s">
        <v>56</v>
      </c>
      <c r="B227" s="1407">
        <f t="shared" si="18"/>
        <v>0</v>
      </c>
      <c r="C227" s="1408" t="str">
        <f t="shared" si="18"/>
        <v>AMMIXPACK</v>
      </c>
      <c r="D227" s="1408">
        <f t="shared" si="18"/>
        <v>1</v>
      </c>
      <c r="E227" s="1409">
        <v>219</v>
      </c>
      <c r="F227" s="1414" t="str">
        <f>IF('Design Data'!N117="","",'Design Data'!N117)</f>
        <v/>
      </c>
      <c r="G227" s="1411">
        <v>0</v>
      </c>
      <c r="H227" s="1412">
        <f t="shared" si="16"/>
        <v>0</v>
      </c>
      <c r="I227" s="1413"/>
    </row>
    <row r="228" spans="1:9" x14ac:dyDescent="0.2">
      <c r="A228" s="1418" t="s">
        <v>57</v>
      </c>
      <c r="B228" s="1407">
        <f t="shared" si="18"/>
        <v>0</v>
      </c>
      <c r="C228" s="1408" t="str">
        <f t="shared" si="18"/>
        <v>AMMIXPACK</v>
      </c>
      <c r="D228" s="1408">
        <f t="shared" si="18"/>
        <v>1</v>
      </c>
      <c r="E228" s="1409">
        <v>220</v>
      </c>
      <c r="F228" s="1414" t="str">
        <f>IF('Design Data'!N118="","",'Design Data'!N118)</f>
        <v/>
      </c>
      <c r="G228" s="1411">
        <v>0</v>
      </c>
      <c r="H228" s="1412">
        <f t="shared" si="16"/>
        <v>0</v>
      </c>
      <c r="I228" s="1413"/>
    </row>
    <row r="229" spans="1:9" x14ac:dyDescent="0.2">
      <c r="A229" s="1416" t="s">
        <v>973</v>
      </c>
      <c r="B229" s="1407">
        <f t="shared" si="18"/>
        <v>0</v>
      </c>
      <c r="C229" s="1408" t="str">
        <f t="shared" si="18"/>
        <v>AMMIXPACK</v>
      </c>
      <c r="D229" s="1408">
        <f t="shared" si="18"/>
        <v>1</v>
      </c>
      <c r="E229" s="1409">
        <v>221</v>
      </c>
      <c r="F229" s="1417" t="s">
        <v>74</v>
      </c>
      <c r="G229" s="1411">
        <v>0</v>
      </c>
      <c r="H229" s="1412">
        <f t="shared" si="16"/>
        <v>0</v>
      </c>
      <c r="I229" s="1413"/>
    </row>
    <row r="230" spans="1:9" x14ac:dyDescent="0.2">
      <c r="A230" s="1418" t="s">
        <v>821</v>
      </c>
      <c r="B230" s="1407">
        <f t="shared" si="18"/>
        <v>0</v>
      </c>
      <c r="C230" s="1408" t="str">
        <f t="shared" si="18"/>
        <v>AMMIXPACK</v>
      </c>
      <c r="D230" s="1408">
        <f t="shared" si="18"/>
        <v>1</v>
      </c>
      <c r="E230" s="1409">
        <v>222</v>
      </c>
      <c r="F230" s="1417"/>
      <c r="G230" s="1412">
        <f>IF('1-Pt. Check'!C30="",0,ROUND('1-Pt. Check'!C30,1))</f>
        <v>0</v>
      </c>
      <c r="H230" s="1412">
        <f t="shared" si="16"/>
        <v>0</v>
      </c>
      <c r="I230" s="1413"/>
    </row>
    <row r="231" spans="1:9" x14ac:dyDescent="0.2">
      <c r="A231" s="1418" t="s">
        <v>381</v>
      </c>
      <c r="B231" s="1407">
        <f t="shared" si="18"/>
        <v>0</v>
      </c>
      <c r="C231" s="1408" t="str">
        <f t="shared" si="18"/>
        <v>AMMIXPACK</v>
      </c>
      <c r="D231" s="1408">
        <f t="shared" si="18"/>
        <v>1</v>
      </c>
      <c r="E231" s="1409">
        <v>223</v>
      </c>
      <c r="F231" s="1417"/>
      <c r="G231" s="1412">
        <f>IF('1-Pt. Check'!C31="",0,ROUND('1-Pt. Check'!C31,1))</f>
        <v>0</v>
      </c>
      <c r="H231" s="1412">
        <f t="shared" si="16"/>
        <v>0</v>
      </c>
      <c r="I231" s="1413"/>
    </row>
    <row r="232" spans="1:9" x14ac:dyDescent="0.2">
      <c r="A232" s="1418" t="s">
        <v>384</v>
      </c>
      <c r="B232" s="1407">
        <f t="shared" si="18"/>
        <v>0</v>
      </c>
      <c r="C232" s="1408" t="str">
        <f t="shared" si="18"/>
        <v>AMMIXPACK</v>
      </c>
      <c r="D232" s="1408">
        <f t="shared" si="18"/>
        <v>1</v>
      </c>
      <c r="E232" s="1409">
        <v>224</v>
      </c>
      <c r="F232" s="1417"/>
      <c r="G232" s="1412">
        <f>IF('1-Pt. Check'!C32="",0,ROUND('1-Pt. Check'!C32,1))</f>
        <v>0</v>
      </c>
      <c r="H232" s="1412">
        <f t="shared" si="16"/>
        <v>0</v>
      </c>
      <c r="I232" s="1413"/>
    </row>
    <row r="233" spans="1:9" x14ac:dyDescent="0.2">
      <c r="A233" s="1418" t="s">
        <v>822</v>
      </c>
      <c r="B233" s="1407">
        <f t="shared" si="18"/>
        <v>0</v>
      </c>
      <c r="C233" s="1408" t="str">
        <f t="shared" si="18"/>
        <v>AMMIXPACK</v>
      </c>
      <c r="D233" s="1408">
        <f t="shared" si="18"/>
        <v>1</v>
      </c>
      <c r="E233" s="1409">
        <v>225</v>
      </c>
      <c r="F233" s="1417"/>
      <c r="G233" s="1412">
        <f>IF('1-Pt. Check'!C33="",0,ROUND('1-Pt. Check'!C33,2))</f>
        <v>0</v>
      </c>
      <c r="H233" s="1412">
        <f t="shared" si="16"/>
        <v>0</v>
      </c>
      <c r="I233" s="1413"/>
    </row>
    <row r="234" spans="1:9" x14ac:dyDescent="0.2">
      <c r="A234" s="1418" t="s">
        <v>379</v>
      </c>
      <c r="B234" s="1407">
        <f t="shared" si="18"/>
        <v>0</v>
      </c>
      <c r="C234" s="1408" t="str">
        <f t="shared" si="18"/>
        <v>AMMIXPACK</v>
      </c>
      <c r="D234" s="1408">
        <f t="shared" si="18"/>
        <v>1</v>
      </c>
      <c r="E234" s="1409">
        <v>226</v>
      </c>
      <c r="F234" s="1417"/>
      <c r="G234" s="1412">
        <f>IF('1-Pt. Check'!E30="",0,ROUND('1-Pt. Check'!E30,1))</f>
        <v>0</v>
      </c>
      <c r="H234" s="1412">
        <f t="shared" si="16"/>
        <v>0</v>
      </c>
      <c r="I234" s="1413"/>
    </row>
    <row r="235" spans="1:9" x14ac:dyDescent="0.2">
      <c r="A235" s="1418" t="s">
        <v>2199</v>
      </c>
      <c r="B235" s="1407">
        <f t="shared" ref="B235:D250" si="19">B234</f>
        <v>0</v>
      </c>
      <c r="C235" s="1408" t="str">
        <f t="shared" si="19"/>
        <v>AMMIXPACK</v>
      </c>
      <c r="D235" s="1408">
        <f t="shared" si="19"/>
        <v>1</v>
      </c>
      <c r="E235" s="1409">
        <v>227</v>
      </c>
      <c r="F235" s="1417"/>
      <c r="G235" s="1412">
        <f>IF('1-Pt. Check'!E31="",0,ROUND('1-Pt. Check'!E31,3))</f>
        <v>0</v>
      </c>
      <c r="H235" s="1412">
        <f t="shared" si="16"/>
        <v>0</v>
      </c>
      <c r="I235" s="1413"/>
    </row>
    <row r="236" spans="1:9" x14ac:dyDescent="0.2">
      <c r="A236" s="1418" t="s">
        <v>385</v>
      </c>
      <c r="B236" s="1407">
        <f t="shared" si="19"/>
        <v>0</v>
      </c>
      <c r="C236" s="1408" t="str">
        <f t="shared" si="19"/>
        <v>AMMIXPACK</v>
      </c>
      <c r="D236" s="1408">
        <f t="shared" si="19"/>
        <v>1</v>
      </c>
      <c r="E236" s="1409">
        <v>228</v>
      </c>
      <c r="F236" s="1417"/>
      <c r="G236" s="1412">
        <f>IF('1-Pt. Check'!E32="",0,ROUND('1-Pt. Check'!E32,1))</f>
        <v>0</v>
      </c>
      <c r="H236" s="1412">
        <f t="shared" si="16"/>
        <v>0</v>
      </c>
      <c r="I236" s="1413"/>
    </row>
    <row r="237" spans="1:9" x14ac:dyDescent="0.2">
      <c r="A237" s="1418" t="s">
        <v>2200</v>
      </c>
      <c r="B237" s="1407">
        <f t="shared" si="19"/>
        <v>0</v>
      </c>
      <c r="C237" s="1408" t="str">
        <f t="shared" si="19"/>
        <v>AMMIXPACK</v>
      </c>
      <c r="D237" s="1408">
        <f t="shared" si="19"/>
        <v>1</v>
      </c>
      <c r="E237" s="1409">
        <v>229</v>
      </c>
      <c r="F237" s="1417"/>
      <c r="G237" s="1412">
        <f>IF('1-Pt. Check'!E33="",0,ROUND('1-Pt. Check'!E33,3))</f>
        <v>0</v>
      </c>
      <c r="H237" s="1412">
        <f t="shared" si="16"/>
        <v>0</v>
      </c>
      <c r="I237" s="1413"/>
    </row>
    <row r="238" spans="1:9" x14ac:dyDescent="0.2">
      <c r="A238" s="1418" t="s">
        <v>380</v>
      </c>
      <c r="B238" s="1407">
        <f t="shared" si="19"/>
        <v>0</v>
      </c>
      <c r="C238" s="1408" t="str">
        <f t="shared" si="19"/>
        <v>AMMIXPACK</v>
      </c>
      <c r="D238" s="1408">
        <f t="shared" si="19"/>
        <v>1</v>
      </c>
      <c r="E238" s="1409">
        <v>230</v>
      </c>
      <c r="F238" s="1417"/>
      <c r="G238" s="1412">
        <f>IF('1-Pt. Check'!H30="",0,ROUND('1-Pt. Check'!H30,1))</f>
        <v>0</v>
      </c>
      <c r="H238" s="1412">
        <f t="shared" si="16"/>
        <v>0</v>
      </c>
      <c r="I238" s="1413"/>
    </row>
    <row r="239" spans="1:9" x14ac:dyDescent="0.2">
      <c r="A239" s="1418" t="s">
        <v>383</v>
      </c>
      <c r="B239" s="1407">
        <f t="shared" si="19"/>
        <v>0</v>
      </c>
      <c r="C239" s="1408" t="str">
        <f t="shared" si="19"/>
        <v>AMMIXPACK</v>
      </c>
      <c r="D239" s="1408">
        <f t="shared" si="19"/>
        <v>1</v>
      </c>
      <c r="E239" s="1409">
        <v>231</v>
      </c>
      <c r="F239" s="1417"/>
      <c r="G239" s="1412">
        <f>IF('1-Pt. Check'!H31="",0,ROUND('1-Pt. Check'!H31,1))</f>
        <v>0</v>
      </c>
      <c r="H239" s="1412">
        <f t="shared" si="16"/>
        <v>0</v>
      </c>
      <c r="I239" s="1413"/>
    </row>
    <row r="240" spans="1:9" x14ac:dyDescent="0.2">
      <c r="A240" s="1418" t="s">
        <v>386</v>
      </c>
      <c r="B240" s="1407">
        <f t="shared" si="19"/>
        <v>0</v>
      </c>
      <c r="C240" s="1408" t="str">
        <f t="shared" si="19"/>
        <v>AMMIXPACK</v>
      </c>
      <c r="D240" s="1408">
        <f t="shared" si="19"/>
        <v>1</v>
      </c>
      <c r="E240" s="1409">
        <v>232</v>
      </c>
      <c r="F240" s="1417"/>
      <c r="G240" s="1412">
        <f>IF('1-Pt. Check'!H32="",0,ROUND('1-Pt. Check'!H32,2))</f>
        <v>0</v>
      </c>
      <c r="H240" s="1412">
        <f t="shared" si="16"/>
        <v>0</v>
      </c>
      <c r="I240" s="1413"/>
    </row>
    <row r="241" spans="1:9" x14ac:dyDescent="0.2">
      <c r="A241" s="1418" t="s">
        <v>389</v>
      </c>
      <c r="B241" s="1407">
        <f t="shared" si="19"/>
        <v>0</v>
      </c>
      <c r="C241" s="1408" t="str">
        <f t="shared" si="19"/>
        <v>AMMIXPACK</v>
      </c>
      <c r="D241" s="1408">
        <f t="shared" si="19"/>
        <v>1</v>
      </c>
      <c r="E241" s="1409">
        <v>233</v>
      </c>
      <c r="F241" s="1414" t="str">
        <f>'1-Pt. Check'!H33</f>
        <v/>
      </c>
      <c r="G241" s="1411">
        <v>0</v>
      </c>
      <c r="H241" s="1412">
        <f t="shared" si="16"/>
        <v>0</v>
      </c>
      <c r="I241" s="1413"/>
    </row>
    <row r="242" spans="1:9" x14ac:dyDescent="0.2">
      <c r="A242" s="1416" t="s">
        <v>972</v>
      </c>
      <c r="B242" s="1407">
        <f t="shared" si="19"/>
        <v>0</v>
      </c>
      <c r="C242" s="1408" t="str">
        <f t="shared" si="19"/>
        <v>AMMIXPACK</v>
      </c>
      <c r="D242" s="1408">
        <f t="shared" si="19"/>
        <v>1</v>
      </c>
      <c r="E242" s="1409">
        <v>234</v>
      </c>
      <c r="F242" s="1417" t="s">
        <v>74</v>
      </c>
      <c r="G242" s="1411">
        <v>0</v>
      </c>
      <c r="H242" s="1412">
        <f t="shared" si="16"/>
        <v>0</v>
      </c>
      <c r="I242" s="1413"/>
    </row>
    <row r="243" spans="1:9" x14ac:dyDescent="0.2">
      <c r="A243" s="1418" t="s">
        <v>1264</v>
      </c>
      <c r="B243" s="1407">
        <f t="shared" si="19"/>
        <v>0</v>
      </c>
      <c r="C243" s="1408" t="str">
        <f t="shared" si="19"/>
        <v>AMMIXPACK</v>
      </c>
      <c r="D243" s="1408">
        <f t="shared" si="19"/>
        <v>1</v>
      </c>
      <c r="E243" s="1409">
        <v>235</v>
      </c>
      <c r="F243" s="1414" t="str">
        <f>IF('Design Data'!J122="","",'Design Data'!J122)</f>
        <v/>
      </c>
      <c r="G243" s="1411">
        <v>0</v>
      </c>
      <c r="H243" s="1412">
        <f t="shared" si="16"/>
        <v>0</v>
      </c>
      <c r="I243" s="1413"/>
    </row>
    <row r="244" spans="1:9" x14ac:dyDescent="0.2">
      <c r="A244" s="1418" t="s">
        <v>59</v>
      </c>
      <c r="B244" s="1407">
        <f t="shared" si="19"/>
        <v>0</v>
      </c>
      <c r="C244" s="1408" t="str">
        <f t="shared" si="19"/>
        <v>AMMIXPACK</v>
      </c>
      <c r="D244" s="1408">
        <f t="shared" si="19"/>
        <v>1</v>
      </c>
      <c r="E244" s="1409">
        <v>236</v>
      </c>
      <c r="F244" s="1414" t="str">
        <f>IF('Design Data'!J123="","",'Design Data'!J123)</f>
        <v/>
      </c>
      <c r="G244" s="1411">
        <v>0</v>
      </c>
      <c r="H244" s="1412">
        <f t="shared" si="16"/>
        <v>0</v>
      </c>
      <c r="I244" s="1413"/>
    </row>
    <row r="245" spans="1:9" x14ac:dyDescent="0.2">
      <c r="A245" s="1418" t="s">
        <v>60</v>
      </c>
      <c r="B245" s="1407">
        <f t="shared" si="19"/>
        <v>0</v>
      </c>
      <c r="C245" s="1408" t="str">
        <f t="shared" si="19"/>
        <v>AMMIXPACK</v>
      </c>
      <c r="D245" s="1408">
        <f t="shared" si="19"/>
        <v>1</v>
      </c>
      <c r="E245" s="1409">
        <v>237</v>
      </c>
      <c r="F245" s="1414" t="str">
        <f>IF('Design Data'!J124="","",'Design Data'!J124)</f>
        <v/>
      </c>
      <c r="G245" s="1411">
        <v>0</v>
      </c>
      <c r="H245" s="1412">
        <f t="shared" si="16"/>
        <v>0</v>
      </c>
      <c r="I245" s="1413"/>
    </row>
    <row r="246" spans="1:9" x14ac:dyDescent="0.2">
      <c r="A246" s="1418" t="s">
        <v>61</v>
      </c>
      <c r="B246" s="1407">
        <f t="shared" si="19"/>
        <v>0</v>
      </c>
      <c r="C246" s="1408" t="str">
        <f t="shared" si="19"/>
        <v>AMMIXPACK</v>
      </c>
      <c r="D246" s="1408">
        <f t="shared" si="19"/>
        <v>1</v>
      </c>
      <c r="E246" s="1409">
        <v>238</v>
      </c>
      <c r="F246" s="1414" t="str">
        <f>IF('Design Data'!J125="","",'Design Data'!J125)</f>
        <v/>
      </c>
      <c r="G246" s="1411">
        <v>0</v>
      </c>
      <c r="H246" s="1412">
        <f t="shared" si="16"/>
        <v>0</v>
      </c>
      <c r="I246" s="1413"/>
    </row>
    <row r="247" spans="1:9" x14ac:dyDescent="0.2">
      <c r="A247" s="1418" t="s">
        <v>62</v>
      </c>
      <c r="B247" s="1407">
        <f t="shared" si="19"/>
        <v>0</v>
      </c>
      <c r="C247" s="1408" t="str">
        <f t="shared" si="19"/>
        <v>AMMIXPACK</v>
      </c>
      <c r="D247" s="1408">
        <f t="shared" si="19"/>
        <v>1</v>
      </c>
      <c r="E247" s="1409">
        <v>239</v>
      </c>
      <c r="F247" s="1414" t="str">
        <f>IF('Design Data'!J126="","",'Design Data'!J126)</f>
        <v/>
      </c>
      <c r="G247" s="1411">
        <v>0</v>
      </c>
      <c r="H247" s="1412">
        <f t="shared" si="16"/>
        <v>0</v>
      </c>
      <c r="I247" s="1413"/>
    </row>
    <row r="248" spans="1:9" x14ac:dyDescent="0.2">
      <c r="A248" s="1418" t="s">
        <v>63</v>
      </c>
      <c r="B248" s="1407">
        <f t="shared" si="19"/>
        <v>0</v>
      </c>
      <c r="C248" s="1408" t="str">
        <f t="shared" si="19"/>
        <v>AMMIXPACK</v>
      </c>
      <c r="D248" s="1408">
        <f t="shared" si="19"/>
        <v>1</v>
      </c>
      <c r="E248" s="1409">
        <v>240</v>
      </c>
      <c r="F248" s="1414" t="str">
        <f>IF('Design Data'!J127="","",'Design Data'!J127)</f>
        <v/>
      </c>
      <c r="G248" s="1411">
        <v>0</v>
      </c>
      <c r="H248" s="1412">
        <f t="shared" si="16"/>
        <v>0</v>
      </c>
      <c r="I248" s="1413"/>
    </row>
    <row r="249" spans="1:9" x14ac:dyDescent="0.2">
      <c r="A249" s="1418" t="s">
        <v>1261</v>
      </c>
      <c r="B249" s="1407">
        <f t="shared" si="19"/>
        <v>0</v>
      </c>
      <c r="C249" s="1408" t="str">
        <f t="shared" si="19"/>
        <v>AMMIXPACK</v>
      </c>
      <c r="D249" s="1408">
        <f t="shared" si="19"/>
        <v>1</v>
      </c>
      <c r="E249" s="1409">
        <v>241</v>
      </c>
      <c r="F249" s="1414" t="str">
        <f>IF('Design Data'!M122="","",'Design Data'!M122)</f>
        <v/>
      </c>
      <c r="G249" s="1411">
        <v>0</v>
      </c>
      <c r="H249" s="1412">
        <f t="shared" si="16"/>
        <v>0</v>
      </c>
      <c r="I249" s="1413"/>
    </row>
    <row r="250" spans="1:9" x14ac:dyDescent="0.2">
      <c r="A250" s="1418" t="s">
        <v>69</v>
      </c>
      <c r="B250" s="1407">
        <f t="shared" si="19"/>
        <v>0</v>
      </c>
      <c r="C250" s="1408" t="str">
        <f t="shared" si="19"/>
        <v>AMMIXPACK</v>
      </c>
      <c r="D250" s="1408">
        <f t="shared" si="19"/>
        <v>1</v>
      </c>
      <c r="E250" s="1409">
        <v>242</v>
      </c>
      <c r="F250" s="1414" t="str">
        <f>IF('Design Data'!M123="","",'Design Data'!M123)</f>
        <v/>
      </c>
      <c r="G250" s="1411">
        <v>0</v>
      </c>
      <c r="H250" s="1412">
        <f t="shared" si="16"/>
        <v>0</v>
      </c>
      <c r="I250" s="1413"/>
    </row>
    <row r="251" spans="1:9" x14ac:dyDescent="0.2">
      <c r="A251" s="1418" t="s">
        <v>70</v>
      </c>
      <c r="B251" s="1407">
        <f t="shared" ref="B251:D266" si="20">B250</f>
        <v>0</v>
      </c>
      <c r="C251" s="1408" t="str">
        <f t="shared" si="20"/>
        <v>AMMIXPACK</v>
      </c>
      <c r="D251" s="1408">
        <f t="shared" si="20"/>
        <v>1</v>
      </c>
      <c r="E251" s="1409">
        <v>243</v>
      </c>
      <c r="F251" s="1414" t="str">
        <f>IF('Design Data'!M124="","",'Design Data'!M124)</f>
        <v/>
      </c>
      <c r="G251" s="1411">
        <v>0</v>
      </c>
      <c r="H251" s="1412">
        <f t="shared" si="16"/>
        <v>0</v>
      </c>
      <c r="I251" s="1413"/>
    </row>
    <row r="252" spans="1:9" x14ac:dyDescent="0.2">
      <c r="A252" s="1418" t="s">
        <v>71</v>
      </c>
      <c r="B252" s="1407">
        <f t="shared" si="20"/>
        <v>0</v>
      </c>
      <c r="C252" s="1408" t="str">
        <f t="shared" si="20"/>
        <v>AMMIXPACK</v>
      </c>
      <c r="D252" s="1408">
        <f t="shared" si="20"/>
        <v>1</v>
      </c>
      <c r="E252" s="1409">
        <v>244</v>
      </c>
      <c r="F252" s="1414" t="str">
        <f>IF('Design Data'!M125="","",'Design Data'!M125)</f>
        <v/>
      </c>
      <c r="G252" s="1411">
        <v>0</v>
      </c>
      <c r="H252" s="1412">
        <f t="shared" si="16"/>
        <v>0</v>
      </c>
      <c r="I252" s="1413"/>
    </row>
    <row r="253" spans="1:9" x14ac:dyDescent="0.2">
      <c r="A253" s="1418" t="s">
        <v>72</v>
      </c>
      <c r="B253" s="1407">
        <f t="shared" si="20"/>
        <v>0</v>
      </c>
      <c r="C253" s="1408" t="str">
        <f t="shared" si="20"/>
        <v>AMMIXPACK</v>
      </c>
      <c r="D253" s="1408">
        <f t="shared" si="20"/>
        <v>1</v>
      </c>
      <c r="E253" s="1409">
        <v>245</v>
      </c>
      <c r="F253" s="1414" t="str">
        <f>IF('Design Data'!M126="","",'Design Data'!M126)</f>
        <v/>
      </c>
      <c r="G253" s="1411">
        <v>0</v>
      </c>
      <c r="H253" s="1412">
        <f t="shared" si="16"/>
        <v>0</v>
      </c>
      <c r="I253" s="1413"/>
    </row>
    <row r="254" spans="1:9" x14ac:dyDescent="0.2">
      <c r="A254" s="1418" t="s">
        <v>73</v>
      </c>
      <c r="B254" s="1407">
        <f t="shared" si="20"/>
        <v>0</v>
      </c>
      <c r="C254" s="1408" t="str">
        <f t="shared" si="20"/>
        <v>AMMIXPACK</v>
      </c>
      <c r="D254" s="1408">
        <f t="shared" si="20"/>
        <v>1</v>
      </c>
      <c r="E254" s="1409">
        <v>246</v>
      </c>
      <c r="F254" s="1414" t="str">
        <f>IF('Design Data'!M127="","",'Design Data'!M127)</f>
        <v/>
      </c>
      <c r="G254" s="1411">
        <v>0</v>
      </c>
      <c r="H254" s="1412">
        <f t="shared" si="16"/>
        <v>0</v>
      </c>
      <c r="I254" s="1413"/>
    </row>
    <row r="255" spans="1:9" x14ac:dyDescent="0.2">
      <c r="A255" s="1418" t="s">
        <v>1998</v>
      </c>
      <c r="B255" s="1407">
        <f t="shared" si="20"/>
        <v>0</v>
      </c>
      <c r="C255" s="1408" t="str">
        <f t="shared" si="20"/>
        <v>AMMIXPACK</v>
      </c>
      <c r="D255" s="1408">
        <f t="shared" si="20"/>
        <v>1</v>
      </c>
      <c r="E255" s="1409">
        <v>247</v>
      </c>
      <c r="F255" s="1414" t="str">
        <f>IF('Design Data'!N122="","",'Design Data'!N122)</f>
        <v/>
      </c>
      <c r="G255" s="1411">
        <v>0</v>
      </c>
      <c r="H255" s="1412">
        <f t="shared" si="16"/>
        <v>0</v>
      </c>
      <c r="I255" s="1413"/>
    </row>
    <row r="256" spans="1:9" x14ac:dyDescent="0.2">
      <c r="A256" s="1418" t="s">
        <v>2051</v>
      </c>
      <c r="B256" s="1407">
        <f t="shared" si="20"/>
        <v>0</v>
      </c>
      <c r="C256" s="1408" t="str">
        <f t="shared" si="20"/>
        <v>AMMIXPACK</v>
      </c>
      <c r="D256" s="1408">
        <f t="shared" si="20"/>
        <v>1</v>
      </c>
      <c r="E256" s="1409">
        <v>248</v>
      </c>
      <c r="F256" s="1414" t="str">
        <f>IF('Design Data'!N123="","",'Design Data'!N123)</f>
        <v/>
      </c>
      <c r="G256" s="1411">
        <v>0</v>
      </c>
      <c r="H256" s="1412">
        <f t="shared" si="16"/>
        <v>0</v>
      </c>
      <c r="I256" s="1413"/>
    </row>
    <row r="257" spans="1:9" x14ac:dyDescent="0.2">
      <c r="A257" s="1418" t="s">
        <v>2052</v>
      </c>
      <c r="B257" s="1407">
        <f t="shared" si="20"/>
        <v>0</v>
      </c>
      <c r="C257" s="1408" t="str">
        <f t="shared" si="20"/>
        <v>AMMIXPACK</v>
      </c>
      <c r="D257" s="1408">
        <f t="shared" si="20"/>
        <v>1</v>
      </c>
      <c r="E257" s="1409">
        <v>249</v>
      </c>
      <c r="F257" s="1414" t="str">
        <f>IF('Design Data'!N124="","",'Design Data'!N124)</f>
        <v/>
      </c>
      <c r="G257" s="1411">
        <v>0</v>
      </c>
      <c r="H257" s="1412">
        <f t="shared" si="16"/>
        <v>0</v>
      </c>
      <c r="I257" s="1413"/>
    </row>
    <row r="258" spans="1:9" x14ac:dyDescent="0.2">
      <c r="A258" s="1418" t="s">
        <v>2053</v>
      </c>
      <c r="B258" s="1407">
        <f t="shared" si="20"/>
        <v>0</v>
      </c>
      <c r="C258" s="1408" t="str">
        <f t="shared" si="20"/>
        <v>AMMIXPACK</v>
      </c>
      <c r="D258" s="1408">
        <f t="shared" si="20"/>
        <v>1</v>
      </c>
      <c r="E258" s="1409">
        <v>250</v>
      </c>
      <c r="F258" s="1414" t="str">
        <f>IF('Design Data'!N125="","",'Design Data'!N125)</f>
        <v/>
      </c>
      <c r="G258" s="1411">
        <v>0</v>
      </c>
      <c r="H258" s="1412">
        <f t="shared" si="16"/>
        <v>0</v>
      </c>
      <c r="I258" s="1413"/>
    </row>
    <row r="259" spans="1:9" x14ac:dyDescent="0.2">
      <c r="A259" s="1418" t="s">
        <v>2054</v>
      </c>
      <c r="B259" s="1407">
        <f t="shared" si="20"/>
        <v>0</v>
      </c>
      <c r="C259" s="1408" t="str">
        <f t="shared" si="20"/>
        <v>AMMIXPACK</v>
      </c>
      <c r="D259" s="1408">
        <f t="shared" si="20"/>
        <v>1</v>
      </c>
      <c r="E259" s="1409">
        <v>251</v>
      </c>
      <c r="F259" s="1414" t="str">
        <f>IF('Design Data'!N126="","",'Design Data'!N126)</f>
        <v/>
      </c>
      <c r="G259" s="1411">
        <v>0</v>
      </c>
      <c r="H259" s="1412">
        <f t="shared" si="16"/>
        <v>0</v>
      </c>
      <c r="I259" s="1413"/>
    </row>
    <row r="260" spans="1:9" x14ac:dyDescent="0.2">
      <c r="A260" s="1418" t="s">
        <v>2061</v>
      </c>
      <c r="B260" s="1407">
        <f t="shared" si="20"/>
        <v>0</v>
      </c>
      <c r="C260" s="1408" t="str">
        <f t="shared" si="20"/>
        <v>AMMIXPACK</v>
      </c>
      <c r="D260" s="1408">
        <f t="shared" si="20"/>
        <v>1</v>
      </c>
      <c r="E260" s="1409">
        <v>252</v>
      </c>
      <c r="F260" s="1414" t="str">
        <f>IF('Design Data'!N127="","",'Design Data'!N127)</f>
        <v/>
      </c>
      <c r="G260" s="1411">
        <v>0</v>
      </c>
      <c r="H260" s="1412">
        <f t="shared" si="16"/>
        <v>0</v>
      </c>
      <c r="I260" s="1413"/>
    </row>
    <row r="261" spans="1:9" x14ac:dyDescent="0.2">
      <c r="A261" s="1418" t="s">
        <v>1995</v>
      </c>
      <c r="B261" s="1425">
        <f t="shared" si="20"/>
        <v>0</v>
      </c>
      <c r="C261" s="1426" t="str">
        <f t="shared" si="20"/>
        <v>AMMIXPACK</v>
      </c>
      <c r="D261" s="1426">
        <f t="shared" si="20"/>
        <v>1</v>
      </c>
      <c r="E261" s="1427">
        <v>253</v>
      </c>
      <c r="F261" s="1428"/>
      <c r="G261" s="1429">
        <f>IF('Chart Data'!T15="",0,ROUND('Chart Data'!T15,2))</f>
        <v>0</v>
      </c>
      <c r="H261" s="1429">
        <f t="shared" si="16"/>
        <v>0</v>
      </c>
      <c r="I261" s="1430"/>
    </row>
    <row r="262" spans="1:9" x14ac:dyDescent="0.2">
      <c r="A262" s="1418" t="s">
        <v>2393</v>
      </c>
      <c r="B262" s="1407">
        <f t="shared" si="20"/>
        <v>0</v>
      </c>
      <c r="C262" s="1408" t="str">
        <f t="shared" si="20"/>
        <v>AMMIXPACK</v>
      </c>
      <c r="D262" s="1408">
        <f t="shared" si="20"/>
        <v>1</v>
      </c>
      <c r="E262" s="1409" t="s">
        <v>2395</v>
      </c>
      <c r="F262" s="1414" t="str">
        <f>IF('Design Data'!P94="","",'Design Data'!P94)</f>
        <v/>
      </c>
      <c r="G262" s="1411">
        <v>0</v>
      </c>
      <c r="H262" s="1412">
        <f>H261</f>
        <v>0</v>
      </c>
      <c r="I262" s="1413"/>
    </row>
    <row r="263" spans="1:9" x14ac:dyDescent="0.2">
      <c r="A263" s="1418" t="s">
        <v>2392</v>
      </c>
      <c r="B263" s="1407">
        <f t="shared" si="20"/>
        <v>0</v>
      </c>
      <c r="C263" s="1408" t="str">
        <f t="shared" si="20"/>
        <v>AMMIXPACK</v>
      </c>
      <c r="D263" s="1408">
        <f t="shared" si="20"/>
        <v>1</v>
      </c>
      <c r="E263" s="1409" t="s">
        <v>2396</v>
      </c>
      <c r="F263" s="1414" t="str">
        <f>IF('Design Data'!P95="","",'Design Data'!P95)</f>
        <v/>
      </c>
      <c r="G263" s="1411">
        <v>0</v>
      </c>
      <c r="H263" s="1412">
        <f>H262</f>
        <v>0</v>
      </c>
      <c r="I263" s="1413"/>
    </row>
    <row r="264" spans="1:9" x14ac:dyDescent="0.2">
      <c r="A264" s="1418" t="s">
        <v>2394</v>
      </c>
      <c r="B264" s="1425">
        <f t="shared" si="20"/>
        <v>0</v>
      </c>
      <c r="C264" s="1426" t="str">
        <f t="shared" si="20"/>
        <v>AMMIXPACK</v>
      </c>
      <c r="D264" s="1426">
        <f t="shared" si="20"/>
        <v>1</v>
      </c>
      <c r="E264" s="1427" t="s">
        <v>2397</v>
      </c>
      <c r="F264" s="1414" t="str">
        <f>IF('Design Data'!P96="","",'Design Data'!P96)</f>
        <v/>
      </c>
      <c r="G264" s="1411">
        <v>0</v>
      </c>
      <c r="H264" s="1429">
        <f>H263</f>
        <v>0</v>
      </c>
      <c r="I264" s="1430"/>
    </row>
    <row r="265" spans="1:9" x14ac:dyDescent="0.2">
      <c r="A265" s="1418" t="s">
        <v>2567</v>
      </c>
      <c r="B265" s="1425">
        <f t="shared" si="20"/>
        <v>0</v>
      </c>
      <c r="C265" s="1426" t="str">
        <f t="shared" si="20"/>
        <v>AMMIXPACK</v>
      </c>
      <c r="D265" s="1426">
        <f t="shared" si="20"/>
        <v>1</v>
      </c>
      <c r="E265" s="1427" t="s">
        <v>2560</v>
      </c>
      <c r="F265" s="1411"/>
      <c r="G265" s="1429">
        <f>IF('Performance Specimens'!H41="",0,'Performance Specimens'!H41)</f>
        <v>0</v>
      </c>
      <c r="H265" s="1429">
        <f t="shared" ref="H265:H328" si="21">H264</f>
        <v>0</v>
      </c>
      <c r="I265" s="1430"/>
    </row>
    <row r="266" spans="1:9" x14ac:dyDescent="0.2">
      <c r="A266" s="1418" t="s">
        <v>2568</v>
      </c>
      <c r="B266" s="1425">
        <f t="shared" si="20"/>
        <v>0</v>
      </c>
      <c r="C266" s="1426" t="str">
        <f t="shared" si="20"/>
        <v>AMMIXPACK</v>
      </c>
      <c r="D266" s="1426">
        <f t="shared" si="20"/>
        <v>1</v>
      </c>
      <c r="E266" s="1427" t="s">
        <v>2561</v>
      </c>
      <c r="F266" s="1411"/>
      <c r="G266" s="1429">
        <f>IF('Performance Specimens'!O41="",0,'Performance Specimens'!O41)</f>
        <v>0</v>
      </c>
      <c r="H266" s="1429">
        <f t="shared" si="21"/>
        <v>0</v>
      </c>
      <c r="I266" s="1430"/>
    </row>
    <row r="267" spans="1:9" x14ac:dyDescent="0.2">
      <c r="A267" s="1418" t="s">
        <v>2569</v>
      </c>
      <c r="B267" s="1425">
        <f t="shared" ref="B267:D282" si="22">B266</f>
        <v>0</v>
      </c>
      <c r="C267" s="1426" t="str">
        <f t="shared" si="22"/>
        <v>AMMIXPACK</v>
      </c>
      <c r="D267" s="1426">
        <f t="shared" si="22"/>
        <v>1</v>
      </c>
      <c r="E267" s="1427" t="s">
        <v>2562</v>
      </c>
      <c r="F267" s="1414" t="str">
        <f>'Chart Data'!AJ37</f>
        <v>PG64-22</v>
      </c>
      <c r="G267" s="1411"/>
      <c r="H267" s="1429">
        <f t="shared" si="21"/>
        <v>0</v>
      </c>
      <c r="I267" s="1430"/>
    </row>
    <row r="268" spans="1:9" x14ac:dyDescent="0.2">
      <c r="A268" s="1418" t="s">
        <v>2570</v>
      </c>
      <c r="B268" s="1425">
        <f t="shared" si="22"/>
        <v>0</v>
      </c>
      <c r="C268" s="1426" t="str">
        <f t="shared" si="22"/>
        <v>AMMIXPACK</v>
      </c>
      <c r="D268" s="1426">
        <f t="shared" si="22"/>
        <v>1</v>
      </c>
      <c r="E268" s="1427" t="s">
        <v>2563</v>
      </c>
      <c r="F268" s="1411"/>
      <c r="G268" s="1429">
        <f ca="1">IF('KYCT Data'!$B$14="",0,'KYCT Data'!$B$14)</f>
        <v>0</v>
      </c>
      <c r="H268" s="1429">
        <f t="shared" si="21"/>
        <v>0</v>
      </c>
      <c r="I268" s="1430"/>
    </row>
    <row r="269" spans="1:9" x14ac:dyDescent="0.2">
      <c r="A269" s="1418" t="s">
        <v>2578</v>
      </c>
      <c r="B269" s="1425">
        <f t="shared" si="22"/>
        <v>0</v>
      </c>
      <c r="C269" s="1426" t="str">
        <f t="shared" si="22"/>
        <v>AMMIXPACK</v>
      </c>
      <c r="D269" s="1426">
        <f t="shared" si="22"/>
        <v>1</v>
      </c>
      <c r="E269" s="1427" t="s">
        <v>2564</v>
      </c>
      <c r="F269" s="1411"/>
      <c r="G269" s="1429">
        <f ca="1">IF('KYCT Data'!$B$18="",0,'KYCT Data'!$B$18)</f>
        <v>0</v>
      </c>
      <c r="H269" s="1429">
        <f t="shared" si="21"/>
        <v>0</v>
      </c>
      <c r="I269" s="1430"/>
    </row>
    <row r="270" spans="1:9" x14ac:dyDescent="0.2">
      <c r="A270" s="1418" t="s">
        <v>2571</v>
      </c>
      <c r="B270" s="1425">
        <f t="shared" si="22"/>
        <v>0</v>
      </c>
      <c r="C270" s="1426" t="str">
        <f t="shared" si="22"/>
        <v>AMMIXPACK</v>
      </c>
      <c r="D270" s="1426">
        <f t="shared" si="22"/>
        <v>1</v>
      </c>
      <c r="E270" s="1427" t="s">
        <v>2565</v>
      </c>
      <c r="F270" s="1411"/>
      <c r="G270" s="1429">
        <f ca="1">IF('KYCT Data'!$B$19="",0,'KYCT Data'!$B$19)</f>
        <v>0</v>
      </c>
      <c r="H270" s="1429">
        <f t="shared" si="21"/>
        <v>0</v>
      </c>
      <c r="I270" s="1430"/>
    </row>
    <row r="271" spans="1:9" x14ac:dyDescent="0.2">
      <c r="A271" s="1418" t="s">
        <v>2572</v>
      </c>
      <c r="B271" s="1425">
        <f t="shared" si="22"/>
        <v>0</v>
      </c>
      <c r="C271" s="1426" t="str">
        <f t="shared" si="22"/>
        <v>AMMIXPACK</v>
      </c>
      <c r="D271" s="1426">
        <f t="shared" si="22"/>
        <v>1</v>
      </c>
      <c r="E271" s="1427" t="s">
        <v>2566</v>
      </c>
      <c r="F271" s="1411"/>
      <c r="G271" s="1429">
        <f ca="1">IF('KYCT Data'!$B$20="",0,'KYCT Data'!$B$20)</f>
        <v>0</v>
      </c>
      <c r="H271" s="1429">
        <f t="shared" si="21"/>
        <v>0</v>
      </c>
      <c r="I271" s="1430"/>
    </row>
    <row r="272" spans="1:9" x14ac:dyDescent="0.2">
      <c r="A272" s="1418" t="s">
        <v>2573</v>
      </c>
      <c r="B272" s="1425">
        <f t="shared" si="22"/>
        <v>0</v>
      </c>
      <c r="C272" s="1426" t="str">
        <f t="shared" si="22"/>
        <v>AMMIXPACK</v>
      </c>
      <c r="D272" s="1426">
        <f t="shared" si="22"/>
        <v>1</v>
      </c>
      <c r="E272" s="1427">
        <v>265</v>
      </c>
      <c r="F272" s="1411"/>
      <c r="G272" s="1429">
        <f ca="1">IF('KYCT Data'!$B$21="",0,'KYCT Data'!$B$21)</f>
        <v>0</v>
      </c>
      <c r="H272" s="1429">
        <f t="shared" si="21"/>
        <v>0</v>
      </c>
      <c r="I272" s="1430"/>
    </row>
    <row r="273" spans="1:9" x14ac:dyDescent="0.2">
      <c r="A273" s="1418" t="s">
        <v>2574</v>
      </c>
      <c r="B273" s="1425">
        <f t="shared" si="22"/>
        <v>0</v>
      </c>
      <c r="C273" s="1426" t="str">
        <f t="shared" si="22"/>
        <v>AMMIXPACK</v>
      </c>
      <c r="D273" s="1426">
        <f t="shared" si="22"/>
        <v>1</v>
      </c>
      <c r="E273" s="1427">
        <v>266</v>
      </c>
      <c r="F273" s="1411"/>
      <c r="G273" s="1429">
        <f ca="1">IF('KYCT Data'!$D$14="",0,'KYCT Data'!$D$14)</f>
        <v>0</v>
      </c>
      <c r="H273" s="1429">
        <f t="shared" si="21"/>
        <v>0</v>
      </c>
      <c r="I273" s="1430"/>
    </row>
    <row r="274" spans="1:9" x14ac:dyDescent="0.2">
      <c r="A274" s="1418" t="s">
        <v>2579</v>
      </c>
      <c r="B274" s="1425">
        <f t="shared" si="22"/>
        <v>0</v>
      </c>
      <c r="C274" s="1426" t="str">
        <f t="shared" si="22"/>
        <v>AMMIXPACK</v>
      </c>
      <c r="D274" s="1426">
        <f t="shared" si="22"/>
        <v>1</v>
      </c>
      <c r="E274" s="1427">
        <v>267</v>
      </c>
      <c r="F274" s="1411"/>
      <c r="G274" s="1429">
        <f ca="1">IF('KYCT Data'!$D$18="",0,'KYCT Data'!$D$18)</f>
        <v>0</v>
      </c>
      <c r="H274" s="1429">
        <f t="shared" si="21"/>
        <v>0</v>
      </c>
      <c r="I274" s="1430"/>
    </row>
    <row r="275" spans="1:9" x14ac:dyDescent="0.2">
      <c r="A275" s="1418" t="s">
        <v>2575</v>
      </c>
      <c r="B275" s="1425">
        <f t="shared" si="22"/>
        <v>0</v>
      </c>
      <c r="C275" s="1426" t="str">
        <f t="shared" si="22"/>
        <v>AMMIXPACK</v>
      </c>
      <c r="D275" s="1426">
        <f t="shared" si="22"/>
        <v>1</v>
      </c>
      <c r="E275" s="1427">
        <v>268</v>
      </c>
      <c r="F275" s="1411"/>
      <c r="G275" s="1429">
        <f ca="1">IF('KYCT Data'!$D$19="",0,'KYCT Data'!$D$19)</f>
        <v>0</v>
      </c>
      <c r="H275" s="1429">
        <f t="shared" si="21"/>
        <v>0</v>
      </c>
      <c r="I275" s="1430"/>
    </row>
    <row r="276" spans="1:9" x14ac:dyDescent="0.2">
      <c r="A276" s="1418" t="s">
        <v>2576</v>
      </c>
      <c r="B276" s="1425">
        <f t="shared" si="22"/>
        <v>0</v>
      </c>
      <c r="C276" s="1426" t="str">
        <f t="shared" si="22"/>
        <v>AMMIXPACK</v>
      </c>
      <c r="D276" s="1426">
        <f t="shared" si="22"/>
        <v>1</v>
      </c>
      <c r="E276" s="1427">
        <v>269</v>
      </c>
      <c r="F276" s="1411"/>
      <c r="G276" s="1429">
        <f ca="1">IF('KYCT Data'!$D$20="",0,'KYCT Data'!$D$20)</f>
        <v>0</v>
      </c>
      <c r="H276" s="1429">
        <f t="shared" si="21"/>
        <v>0</v>
      </c>
      <c r="I276" s="1430"/>
    </row>
    <row r="277" spans="1:9" x14ac:dyDescent="0.2">
      <c r="A277" s="1418" t="s">
        <v>2577</v>
      </c>
      <c r="B277" s="1425">
        <f t="shared" si="22"/>
        <v>0</v>
      </c>
      <c r="C277" s="1426" t="str">
        <f t="shared" si="22"/>
        <v>AMMIXPACK</v>
      </c>
      <c r="D277" s="1426">
        <f t="shared" si="22"/>
        <v>1</v>
      </c>
      <c r="E277" s="1427">
        <v>270</v>
      </c>
      <c r="F277" s="1411"/>
      <c r="G277" s="1429">
        <f ca="1">IF('KYCT Data'!$D$21="",0,'KYCT Data'!$D$21)</f>
        <v>0</v>
      </c>
      <c r="H277" s="1429">
        <f t="shared" si="21"/>
        <v>0</v>
      </c>
      <c r="I277" s="1430"/>
    </row>
    <row r="278" spans="1:9" x14ac:dyDescent="0.2">
      <c r="A278" s="1418" t="s">
        <v>2580</v>
      </c>
      <c r="B278" s="1425">
        <f t="shared" si="22"/>
        <v>0</v>
      </c>
      <c r="C278" s="1426" t="str">
        <f t="shared" si="22"/>
        <v>AMMIXPACK</v>
      </c>
      <c r="D278" s="1426">
        <f t="shared" si="22"/>
        <v>1</v>
      </c>
      <c r="E278" s="1427">
        <v>271</v>
      </c>
      <c r="F278" s="1411"/>
      <c r="G278" s="1429">
        <f ca="1">IF('KYCT Data'!$F$14="",0,'KYCT Data'!$F$14)</f>
        <v>0</v>
      </c>
      <c r="H278" s="1429">
        <f t="shared" si="21"/>
        <v>0</v>
      </c>
      <c r="I278" s="1430"/>
    </row>
    <row r="279" spans="1:9" x14ac:dyDescent="0.2">
      <c r="A279" s="1418" t="s">
        <v>2581</v>
      </c>
      <c r="B279" s="1425">
        <f t="shared" si="22"/>
        <v>0</v>
      </c>
      <c r="C279" s="1426" t="str">
        <f t="shared" si="22"/>
        <v>AMMIXPACK</v>
      </c>
      <c r="D279" s="1426">
        <f t="shared" si="22"/>
        <v>1</v>
      </c>
      <c r="E279" s="1427">
        <v>272</v>
      </c>
      <c r="F279" s="1411"/>
      <c r="G279" s="1429">
        <f ca="1">IF('KYCT Data'!$F$18="",0,'KYCT Data'!$F$18)</f>
        <v>0</v>
      </c>
      <c r="H279" s="1429">
        <f t="shared" si="21"/>
        <v>0</v>
      </c>
      <c r="I279" s="1430"/>
    </row>
    <row r="280" spans="1:9" x14ac:dyDescent="0.2">
      <c r="A280" s="1418" t="s">
        <v>2582</v>
      </c>
      <c r="B280" s="1425">
        <f t="shared" si="22"/>
        <v>0</v>
      </c>
      <c r="C280" s="1426" t="str">
        <f t="shared" si="22"/>
        <v>AMMIXPACK</v>
      </c>
      <c r="D280" s="1426">
        <f t="shared" si="22"/>
        <v>1</v>
      </c>
      <c r="E280" s="1427">
        <v>273</v>
      </c>
      <c r="F280" s="1411"/>
      <c r="G280" s="1429">
        <f ca="1">IF('KYCT Data'!$F$19="",0,'KYCT Data'!$F$19)</f>
        <v>0</v>
      </c>
      <c r="H280" s="1429">
        <f t="shared" si="21"/>
        <v>0</v>
      </c>
      <c r="I280" s="1430"/>
    </row>
    <row r="281" spans="1:9" x14ac:dyDescent="0.2">
      <c r="A281" s="1418" t="s">
        <v>2583</v>
      </c>
      <c r="B281" s="1425">
        <f t="shared" si="22"/>
        <v>0</v>
      </c>
      <c r="C281" s="1426" t="str">
        <f t="shared" si="22"/>
        <v>AMMIXPACK</v>
      </c>
      <c r="D281" s="1426">
        <f t="shared" si="22"/>
        <v>1</v>
      </c>
      <c r="E281" s="1427">
        <v>274</v>
      </c>
      <c r="F281" s="1411"/>
      <c r="G281" s="1429">
        <f ca="1">IF('KYCT Data'!$F$20="",0,'KYCT Data'!$F$20)</f>
        <v>0</v>
      </c>
      <c r="H281" s="1429">
        <f t="shared" si="21"/>
        <v>0</v>
      </c>
      <c r="I281" s="1430"/>
    </row>
    <row r="282" spans="1:9" x14ac:dyDescent="0.2">
      <c r="A282" s="1418" t="s">
        <v>2584</v>
      </c>
      <c r="B282" s="1425">
        <f t="shared" si="22"/>
        <v>0</v>
      </c>
      <c r="C282" s="1426" t="str">
        <f t="shared" si="22"/>
        <v>AMMIXPACK</v>
      </c>
      <c r="D282" s="1426">
        <f t="shared" si="22"/>
        <v>1</v>
      </c>
      <c r="E282" s="1427">
        <v>275</v>
      </c>
      <c r="F282" s="1411"/>
      <c r="G282" s="1429">
        <f ca="1">IF('KYCT Data'!$F$21="",0,'KYCT Data'!$F$21)</f>
        <v>0</v>
      </c>
      <c r="H282" s="1429">
        <f t="shared" si="21"/>
        <v>0</v>
      </c>
      <c r="I282" s="1430"/>
    </row>
    <row r="283" spans="1:9" x14ac:dyDescent="0.2">
      <c r="A283" s="1418" t="s">
        <v>2585</v>
      </c>
      <c r="B283" s="1425">
        <f t="shared" ref="B283:D298" si="23">B282</f>
        <v>0</v>
      </c>
      <c r="C283" s="1426" t="str">
        <f t="shared" si="23"/>
        <v>AMMIXPACK</v>
      </c>
      <c r="D283" s="1426">
        <f t="shared" si="23"/>
        <v>1</v>
      </c>
      <c r="E283" s="1427">
        <v>276</v>
      </c>
      <c r="F283" s="1411"/>
      <c r="G283" s="1429">
        <f ca="1">IF('KYCT Data'!$H$14="",0,'KYCT Data'!$H$14)</f>
        <v>0</v>
      </c>
      <c r="H283" s="1429">
        <f t="shared" si="21"/>
        <v>0</v>
      </c>
      <c r="I283" s="1430"/>
    </row>
    <row r="284" spans="1:9" x14ac:dyDescent="0.2">
      <c r="A284" s="1418" t="s">
        <v>2586</v>
      </c>
      <c r="B284" s="1425">
        <f t="shared" si="23"/>
        <v>0</v>
      </c>
      <c r="C284" s="1426" t="str">
        <f t="shared" si="23"/>
        <v>AMMIXPACK</v>
      </c>
      <c r="D284" s="1426">
        <f t="shared" si="23"/>
        <v>1</v>
      </c>
      <c r="E284" s="1427">
        <v>277</v>
      </c>
      <c r="F284" s="1411"/>
      <c r="G284" s="1429">
        <f ca="1">IF('KYCT Data'!$H$18="",0,'KYCT Data'!$H$18)</f>
        <v>0</v>
      </c>
      <c r="H284" s="1429">
        <f t="shared" si="21"/>
        <v>0</v>
      </c>
      <c r="I284" s="1430"/>
    </row>
    <row r="285" spans="1:9" x14ac:dyDescent="0.2">
      <c r="A285" s="1418" t="s">
        <v>2587</v>
      </c>
      <c r="B285" s="1425">
        <f t="shared" si="23"/>
        <v>0</v>
      </c>
      <c r="C285" s="1426" t="str">
        <f t="shared" si="23"/>
        <v>AMMIXPACK</v>
      </c>
      <c r="D285" s="1426">
        <f t="shared" si="23"/>
        <v>1</v>
      </c>
      <c r="E285" s="1427">
        <v>278</v>
      </c>
      <c r="F285" s="1411"/>
      <c r="G285" s="1429">
        <f ca="1">IF('KYCT Data'!$H$19="",0,'KYCT Data'!$H$19)</f>
        <v>0</v>
      </c>
      <c r="H285" s="1429">
        <f t="shared" si="21"/>
        <v>0</v>
      </c>
      <c r="I285" s="1430"/>
    </row>
    <row r="286" spans="1:9" x14ac:dyDescent="0.2">
      <c r="A286" s="1418" t="s">
        <v>2588</v>
      </c>
      <c r="B286" s="1425">
        <f t="shared" si="23"/>
        <v>0</v>
      </c>
      <c r="C286" s="1426" t="str">
        <f t="shared" si="23"/>
        <v>AMMIXPACK</v>
      </c>
      <c r="D286" s="1426">
        <f t="shared" si="23"/>
        <v>1</v>
      </c>
      <c r="E286" s="1427">
        <v>279</v>
      </c>
      <c r="F286" s="1411"/>
      <c r="G286" s="1429">
        <f ca="1">IF('KYCT Data'!$H$20="",0,'KYCT Data'!$H$20)</f>
        <v>0</v>
      </c>
      <c r="H286" s="1429">
        <f t="shared" si="21"/>
        <v>0</v>
      </c>
      <c r="I286" s="1430"/>
    </row>
    <row r="287" spans="1:9" x14ac:dyDescent="0.2">
      <c r="A287" s="1418" t="s">
        <v>2589</v>
      </c>
      <c r="B287" s="1425">
        <f t="shared" si="23"/>
        <v>0</v>
      </c>
      <c r="C287" s="1426" t="str">
        <f t="shared" si="23"/>
        <v>AMMIXPACK</v>
      </c>
      <c r="D287" s="1426">
        <f t="shared" si="23"/>
        <v>1</v>
      </c>
      <c r="E287" s="1427">
        <v>280</v>
      </c>
      <c r="F287" s="1411"/>
      <c r="G287" s="1429">
        <f ca="1">IF('KYCT Data'!$H$21="",0,'KYCT Data'!$H$21)</f>
        <v>0</v>
      </c>
      <c r="H287" s="1429">
        <f t="shared" si="21"/>
        <v>0</v>
      </c>
      <c r="I287" s="1430"/>
    </row>
    <row r="288" spans="1:9" x14ac:dyDescent="0.2">
      <c r="A288" s="1418" t="s">
        <v>2590</v>
      </c>
      <c r="B288" s="1425">
        <f t="shared" si="23"/>
        <v>0</v>
      </c>
      <c r="C288" s="1426" t="str">
        <f t="shared" si="23"/>
        <v>AMMIXPACK</v>
      </c>
      <c r="D288" s="1426">
        <f t="shared" si="23"/>
        <v>1</v>
      </c>
      <c r="E288" s="1427">
        <v>281</v>
      </c>
      <c r="F288" s="1411"/>
      <c r="G288" s="1429">
        <f ca="1">IF('KYCT Data'!$J$14="",0,'KYCT Data'!$J$14)</f>
        <v>0</v>
      </c>
      <c r="H288" s="1429">
        <f t="shared" si="21"/>
        <v>0</v>
      </c>
      <c r="I288" s="1430"/>
    </row>
    <row r="289" spans="1:9" x14ac:dyDescent="0.2">
      <c r="A289" s="1418" t="s">
        <v>2591</v>
      </c>
      <c r="B289" s="1425">
        <f t="shared" si="23"/>
        <v>0</v>
      </c>
      <c r="C289" s="1426" t="str">
        <f t="shared" si="23"/>
        <v>AMMIXPACK</v>
      </c>
      <c r="D289" s="1426">
        <f t="shared" si="23"/>
        <v>1</v>
      </c>
      <c r="E289" s="1427">
        <v>282</v>
      </c>
      <c r="F289" s="1411"/>
      <c r="G289" s="1429">
        <f ca="1">IF('KYCT Data'!$J$18="",0,'KYCT Data'!$J$18)</f>
        <v>0</v>
      </c>
      <c r="H289" s="1429">
        <f t="shared" si="21"/>
        <v>0</v>
      </c>
      <c r="I289" s="1430"/>
    </row>
    <row r="290" spans="1:9" x14ac:dyDescent="0.2">
      <c r="A290" s="1418" t="s">
        <v>2592</v>
      </c>
      <c r="B290" s="1425">
        <f t="shared" si="23"/>
        <v>0</v>
      </c>
      <c r="C290" s="1426" t="str">
        <f t="shared" si="23"/>
        <v>AMMIXPACK</v>
      </c>
      <c r="D290" s="1426">
        <f t="shared" si="23"/>
        <v>1</v>
      </c>
      <c r="E290" s="1427">
        <v>283</v>
      </c>
      <c r="F290" s="1411"/>
      <c r="G290" s="1429">
        <f ca="1">IF('KYCT Data'!$J$19="",0,'KYCT Data'!$J$19)</f>
        <v>0</v>
      </c>
      <c r="H290" s="1429">
        <f t="shared" si="21"/>
        <v>0</v>
      </c>
      <c r="I290" s="1430"/>
    </row>
    <row r="291" spans="1:9" x14ac:dyDescent="0.2">
      <c r="A291" s="1418" t="s">
        <v>2593</v>
      </c>
      <c r="B291" s="1425">
        <f t="shared" si="23"/>
        <v>0</v>
      </c>
      <c r="C291" s="1426" t="str">
        <f t="shared" si="23"/>
        <v>AMMIXPACK</v>
      </c>
      <c r="D291" s="1426">
        <f t="shared" si="23"/>
        <v>1</v>
      </c>
      <c r="E291" s="1427">
        <v>284</v>
      </c>
      <c r="F291" s="1411"/>
      <c r="G291" s="1429">
        <f ca="1">IF('KYCT Data'!$J$20="",0,'KYCT Data'!$J$20)</f>
        <v>0</v>
      </c>
      <c r="H291" s="1429">
        <f t="shared" si="21"/>
        <v>0</v>
      </c>
      <c r="I291" s="1430"/>
    </row>
    <row r="292" spans="1:9" x14ac:dyDescent="0.2">
      <c r="A292" s="1418" t="s">
        <v>2594</v>
      </c>
      <c r="B292" s="1425">
        <f t="shared" si="23"/>
        <v>0</v>
      </c>
      <c r="C292" s="1426" t="str">
        <f t="shared" si="23"/>
        <v>AMMIXPACK</v>
      </c>
      <c r="D292" s="1426">
        <f t="shared" si="23"/>
        <v>1</v>
      </c>
      <c r="E292" s="1427">
        <v>285</v>
      </c>
      <c r="F292" s="1411"/>
      <c r="G292" s="1429">
        <f ca="1">IF('KYCT Data'!$J$21="",0,'KYCT Data'!$J$21)</f>
        <v>0</v>
      </c>
      <c r="H292" s="1429">
        <f t="shared" si="21"/>
        <v>0</v>
      </c>
      <c r="I292" s="1430"/>
    </row>
    <row r="293" spans="1:9" x14ac:dyDescent="0.2">
      <c r="A293" s="1418" t="s">
        <v>2595</v>
      </c>
      <c r="B293" s="1407">
        <f t="shared" si="23"/>
        <v>0</v>
      </c>
      <c r="C293" s="1408" t="str">
        <f t="shared" si="23"/>
        <v>AMMIXPACK</v>
      </c>
      <c r="D293" s="1408">
        <f t="shared" si="23"/>
        <v>1</v>
      </c>
      <c r="E293" s="1409">
        <v>286</v>
      </c>
      <c r="F293" s="1411"/>
      <c r="G293" s="1429">
        <f ca="1">IF('KYCT Data'!$L$14="",0,'KYCT Data'!$L$14)</f>
        <v>0</v>
      </c>
      <c r="H293" s="1412">
        <f t="shared" si="21"/>
        <v>0</v>
      </c>
      <c r="I293" s="1413"/>
    </row>
    <row r="294" spans="1:9" x14ac:dyDescent="0.2">
      <c r="A294" s="1418" t="s">
        <v>2596</v>
      </c>
      <c r="B294" s="1407">
        <f t="shared" si="23"/>
        <v>0</v>
      </c>
      <c r="C294" s="1408" t="str">
        <f t="shared" si="23"/>
        <v>AMMIXPACK</v>
      </c>
      <c r="D294" s="1408">
        <f t="shared" si="23"/>
        <v>1</v>
      </c>
      <c r="E294" s="1409">
        <v>287</v>
      </c>
      <c r="F294" s="1411"/>
      <c r="G294" s="1429">
        <f ca="1">IF('KYCT Data'!$L$18="",0,'KYCT Data'!$L$18)</f>
        <v>0</v>
      </c>
      <c r="H294" s="1412">
        <f t="shared" si="21"/>
        <v>0</v>
      </c>
      <c r="I294" s="1413"/>
    </row>
    <row r="295" spans="1:9" x14ac:dyDescent="0.2">
      <c r="A295" s="1418" t="s">
        <v>2597</v>
      </c>
      <c r="B295" s="1407">
        <f t="shared" si="23"/>
        <v>0</v>
      </c>
      <c r="C295" s="1408" t="str">
        <f t="shared" si="23"/>
        <v>AMMIXPACK</v>
      </c>
      <c r="D295" s="1408">
        <f t="shared" si="23"/>
        <v>1</v>
      </c>
      <c r="E295" s="1409">
        <v>288</v>
      </c>
      <c r="F295" s="1411"/>
      <c r="G295" s="1429">
        <f ca="1">IF('KYCT Data'!$L$19="",0,'KYCT Data'!$L$19)</f>
        <v>0</v>
      </c>
      <c r="H295" s="1412">
        <f t="shared" si="21"/>
        <v>0</v>
      </c>
      <c r="I295" s="1413"/>
    </row>
    <row r="296" spans="1:9" x14ac:dyDescent="0.2">
      <c r="A296" s="1418" t="s">
        <v>2598</v>
      </c>
      <c r="B296" s="1407">
        <f t="shared" si="23"/>
        <v>0</v>
      </c>
      <c r="C296" s="1408" t="str">
        <f t="shared" si="23"/>
        <v>AMMIXPACK</v>
      </c>
      <c r="D296" s="1408">
        <f t="shared" si="23"/>
        <v>1</v>
      </c>
      <c r="E296" s="1409">
        <v>289</v>
      </c>
      <c r="F296" s="1411"/>
      <c r="G296" s="1429">
        <f ca="1">IF('KYCT Data'!$L$20="",0,'KYCT Data'!$L$20)</f>
        <v>0</v>
      </c>
      <c r="H296" s="1412">
        <f t="shared" si="21"/>
        <v>0</v>
      </c>
      <c r="I296" s="1413"/>
    </row>
    <row r="297" spans="1:9" x14ac:dyDescent="0.2">
      <c r="A297" s="1418" t="s">
        <v>2599</v>
      </c>
      <c r="B297" s="1425">
        <f t="shared" si="23"/>
        <v>0</v>
      </c>
      <c r="C297" s="1426" t="str">
        <f t="shared" si="23"/>
        <v>AMMIXPACK</v>
      </c>
      <c r="D297" s="1426">
        <f t="shared" si="23"/>
        <v>1</v>
      </c>
      <c r="E297" s="1427">
        <v>290</v>
      </c>
      <c r="F297" s="1411"/>
      <c r="G297" s="1429">
        <f ca="1">IF('KYCT Data'!$L$21="",0,'KYCT Data'!$L$21)</f>
        <v>0</v>
      </c>
      <c r="H297" s="1429">
        <f t="shared" si="21"/>
        <v>0</v>
      </c>
      <c r="I297" s="1430"/>
    </row>
    <row r="298" spans="1:9" x14ac:dyDescent="0.2">
      <c r="A298" s="1418" t="s">
        <v>2600</v>
      </c>
      <c r="B298" s="1407">
        <f t="shared" si="23"/>
        <v>0</v>
      </c>
      <c r="C298" s="1408" t="str">
        <f t="shared" si="23"/>
        <v>AMMIXPACK</v>
      </c>
      <c r="D298" s="1408">
        <f t="shared" si="23"/>
        <v>1</v>
      </c>
      <c r="E298" s="1409">
        <v>291</v>
      </c>
      <c r="F298" s="1411"/>
      <c r="G298" s="1429">
        <f ca="1">IF('KYCT Data'!$N$14="",0,'KYCT Data'!$N$14)</f>
        <v>0</v>
      </c>
      <c r="H298" s="1412">
        <f t="shared" si="21"/>
        <v>0</v>
      </c>
      <c r="I298" s="1413"/>
    </row>
    <row r="299" spans="1:9" x14ac:dyDescent="0.2">
      <c r="A299" s="1418" t="s">
        <v>2601</v>
      </c>
      <c r="B299" s="1407">
        <f t="shared" ref="B299:D314" si="24">B298</f>
        <v>0</v>
      </c>
      <c r="C299" s="1408" t="str">
        <f t="shared" si="24"/>
        <v>AMMIXPACK</v>
      </c>
      <c r="D299" s="1408">
        <f t="shared" si="24"/>
        <v>1</v>
      </c>
      <c r="E299" s="1409">
        <v>292</v>
      </c>
      <c r="F299" s="1411"/>
      <c r="G299" s="1429">
        <f ca="1">IF('KYCT Data'!$N$18="",0,'KYCT Data'!$N$18)</f>
        <v>0</v>
      </c>
      <c r="H299" s="1412">
        <f t="shared" si="21"/>
        <v>0</v>
      </c>
      <c r="I299" s="1413"/>
    </row>
    <row r="300" spans="1:9" x14ac:dyDescent="0.2">
      <c r="A300" s="1418" t="s">
        <v>2602</v>
      </c>
      <c r="B300" s="1407">
        <f t="shared" si="24"/>
        <v>0</v>
      </c>
      <c r="C300" s="1408" t="str">
        <f t="shared" si="24"/>
        <v>AMMIXPACK</v>
      </c>
      <c r="D300" s="1408">
        <f t="shared" si="24"/>
        <v>1</v>
      </c>
      <c r="E300" s="1409">
        <v>293</v>
      </c>
      <c r="F300" s="1411"/>
      <c r="G300" s="1429">
        <f ca="1">IF('KYCT Data'!$N$19="",0,'KYCT Data'!$N$19)</f>
        <v>0</v>
      </c>
      <c r="H300" s="1412">
        <f t="shared" si="21"/>
        <v>0</v>
      </c>
      <c r="I300" s="1413"/>
    </row>
    <row r="301" spans="1:9" x14ac:dyDescent="0.2">
      <c r="A301" s="1418" t="s">
        <v>2603</v>
      </c>
      <c r="B301" s="1407">
        <f t="shared" si="24"/>
        <v>0</v>
      </c>
      <c r="C301" s="1408" t="str">
        <f t="shared" si="24"/>
        <v>AMMIXPACK</v>
      </c>
      <c r="D301" s="1408">
        <f t="shared" si="24"/>
        <v>1</v>
      </c>
      <c r="E301" s="1409">
        <v>294</v>
      </c>
      <c r="F301" s="1411"/>
      <c r="G301" s="1429">
        <f ca="1">IF('KYCT Data'!$N$20="",0,'KYCT Data'!$N$20)</f>
        <v>0</v>
      </c>
      <c r="H301" s="1412">
        <f t="shared" si="21"/>
        <v>0</v>
      </c>
      <c r="I301" s="1413"/>
    </row>
    <row r="302" spans="1:9" x14ac:dyDescent="0.2">
      <c r="A302" s="1418" t="s">
        <v>2604</v>
      </c>
      <c r="B302" s="1425">
        <f t="shared" si="24"/>
        <v>0</v>
      </c>
      <c r="C302" s="1426" t="str">
        <f t="shared" si="24"/>
        <v>AMMIXPACK</v>
      </c>
      <c r="D302" s="1426">
        <f t="shared" si="24"/>
        <v>1</v>
      </c>
      <c r="E302" s="1427">
        <v>295</v>
      </c>
      <c r="F302" s="1411"/>
      <c r="G302" s="1429">
        <f ca="1">IF('KYCT Data'!$N$21="",0,'KYCT Data'!$N$21)</f>
        <v>0</v>
      </c>
      <c r="H302" s="1429">
        <f t="shared" si="21"/>
        <v>0</v>
      </c>
      <c r="I302" s="1430"/>
    </row>
    <row r="303" spans="1:9" x14ac:dyDescent="0.2">
      <c r="A303" s="1418" t="s">
        <v>2605</v>
      </c>
      <c r="B303" s="1407">
        <f t="shared" si="24"/>
        <v>0</v>
      </c>
      <c r="C303" s="1408" t="str">
        <f t="shared" si="24"/>
        <v>AMMIXPACK</v>
      </c>
      <c r="D303" s="1408">
        <f t="shared" si="24"/>
        <v>1</v>
      </c>
      <c r="E303" s="1409">
        <v>296</v>
      </c>
      <c r="F303" s="1411"/>
      <c r="G303" s="1429">
        <f ca="1">IF('KYCT Data'!$P$14="",0,'KYCT Data'!$P$14)</f>
        <v>0</v>
      </c>
      <c r="H303" s="1412">
        <f t="shared" si="21"/>
        <v>0</v>
      </c>
      <c r="I303" s="1413"/>
    </row>
    <row r="304" spans="1:9" x14ac:dyDescent="0.2">
      <c r="A304" s="1418" t="s">
        <v>2606</v>
      </c>
      <c r="B304" s="1407">
        <f t="shared" si="24"/>
        <v>0</v>
      </c>
      <c r="C304" s="1408" t="str">
        <f t="shared" si="24"/>
        <v>AMMIXPACK</v>
      </c>
      <c r="D304" s="1408">
        <f t="shared" si="24"/>
        <v>1</v>
      </c>
      <c r="E304" s="1409">
        <v>297</v>
      </c>
      <c r="F304" s="1411"/>
      <c r="G304" s="1429">
        <f ca="1">IF('KYCT Data'!$P$18="",0,'KYCT Data'!$P$18)</f>
        <v>0</v>
      </c>
      <c r="H304" s="1412">
        <f t="shared" si="21"/>
        <v>0</v>
      </c>
      <c r="I304" s="1413"/>
    </row>
    <row r="305" spans="1:9" x14ac:dyDescent="0.2">
      <c r="A305" s="1418" t="s">
        <v>2607</v>
      </c>
      <c r="B305" s="1407">
        <f t="shared" si="24"/>
        <v>0</v>
      </c>
      <c r="C305" s="1408" t="str">
        <f t="shared" si="24"/>
        <v>AMMIXPACK</v>
      </c>
      <c r="D305" s="1408">
        <f t="shared" si="24"/>
        <v>1</v>
      </c>
      <c r="E305" s="1409">
        <v>298</v>
      </c>
      <c r="F305" s="1411"/>
      <c r="G305" s="1429">
        <f ca="1">IF('KYCT Data'!$P$19="",0,'KYCT Data'!$P$19)</f>
        <v>0</v>
      </c>
      <c r="H305" s="1412">
        <f t="shared" si="21"/>
        <v>0</v>
      </c>
      <c r="I305" s="1413"/>
    </row>
    <row r="306" spans="1:9" x14ac:dyDescent="0.2">
      <c r="A306" s="1418" t="s">
        <v>2608</v>
      </c>
      <c r="B306" s="1407">
        <f t="shared" si="24"/>
        <v>0</v>
      </c>
      <c r="C306" s="1408" t="str">
        <f t="shared" si="24"/>
        <v>AMMIXPACK</v>
      </c>
      <c r="D306" s="1408">
        <f t="shared" si="24"/>
        <v>1</v>
      </c>
      <c r="E306" s="1409">
        <v>299</v>
      </c>
      <c r="F306" s="1411"/>
      <c r="G306" s="1429">
        <f ca="1">IF('KYCT Data'!$P$20="",0,'KYCT Data'!$P$20)</f>
        <v>0</v>
      </c>
      <c r="H306" s="1412">
        <f t="shared" si="21"/>
        <v>0</v>
      </c>
      <c r="I306" s="1413"/>
    </row>
    <row r="307" spans="1:9" x14ac:dyDescent="0.2">
      <c r="A307" s="1418" t="s">
        <v>2609</v>
      </c>
      <c r="B307" s="1407">
        <f t="shared" si="24"/>
        <v>0</v>
      </c>
      <c r="C307" s="1408" t="str">
        <f t="shared" si="24"/>
        <v>AMMIXPACK</v>
      </c>
      <c r="D307" s="1408">
        <f t="shared" si="24"/>
        <v>1</v>
      </c>
      <c r="E307" s="1409">
        <v>300</v>
      </c>
      <c r="F307" s="1411"/>
      <c r="G307" s="1429">
        <f ca="1">IF('KYCT Data'!$P$21="",0,'KYCT Data'!$P$21)</f>
        <v>0</v>
      </c>
      <c r="H307" s="1429">
        <f t="shared" si="21"/>
        <v>0</v>
      </c>
      <c r="I307" s="1430"/>
    </row>
    <row r="308" spans="1:9" x14ac:dyDescent="0.2">
      <c r="A308" s="1418" t="s">
        <v>2610</v>
      </c>
      <c r="B308" s="1407">
        <f t="shared" si="24"/>
        <v>0</v>
      </c>
      <c r="C308" s="1408" t="str">
        <f t="shared" si="24"/>
        <v>AMMIXPACK</v>
      </c>
      <c r="D308" s="1408">
        <f t="shared" si="24"/>
        <v>1</v>
      </c>
      <c r="E308" s="1409">
        <v>301</v>
      </c>
      <c r="F308" s="1429" t="str">
        <f>'Chart Data'!AJ37</f>
        <v>PG64-22</v>
      </c>
      <c r="G308" s="1411"/>
      <c r="H308" s="1412">
        <f t="shared" si="21"/>
        <v>0</v>
      </c>
      <c r="I308" s="1413"/>
    </row>
    <row r="309" spans="1:9" x14ac:dyDescent="0.2">
      <c r="A309" s="1418" t="s">
        <v>2611</v>
      </c>
      <c r="B309" s="1407">
        <f t="shared" si="24"/>
        <v>0</v>
      </c>
      <c r="C309" s="1408" t="str">
        <f t="shared" si="24"/>
        <v>AMMIXPACK</v>
      </c>
      <c r="D309" s="1408">
        <f t="shared" si="24"/>
        <v>1</v>
      </c>
      <c r="E309" s="1409">
        <v>302</v>
      </c>
      <c r="F309" s="1411"/>
      <c r="G309" s="1429">
        <f>IF('Hamburg Data'!$J$19="",0,'Hamburg Data'!$J$19)</f>
        <v>0</v>
      </c>
      <c r="H309" s="1412">
        <f t="shared" si="21"/>
        <v>0</v>
      </c>
      <c r="I309" s="1413"/>
    </row>
    <row r="310" spans="1:9" x14ac:dyDescent="0.2">
      <c r="A310" s="1418" t="s">
        <v>2612</v>
      </c>
      <c r="B310" s="1407">
        <f t="shared" si="24"/>
        <v>0</v>
      </c>
      <c r="C310" s="1408" t="str">
        <f t="shared" si="24"/>
        <v>AMMIXPACK</v>
      </c>
      <c r="D310" s="1408">
        <f t="shared" si="24"/>
        <v>1</v>
      </c>
      <c r="E310" s="1409">
        <v>303</v>
      </c>
      <c r="F310" s="1411"/>
      <c r="G310" s="1429">
        <f>IF('Hamburg Data'!$M$19="",0,'Hamburg Data'!$M$19)</f>
        <v>0</v>
      </c>
      <c r="H310" s="1412">
        <f t="shared" si="21"/>
        <v>0</v>
      </c>
      <c r="I310" s="1413"/>
    </row>
    <row r="311" spans="1:9" x14ac:dyDescent="0.2">
      <c r="A311" s="1418" t="s">
        <v>2613</v>
      </c>
      <c r="B311" s="1407">
        <f t="shared" si="24"/>
        <v>0</v>
      </c>
      <c r="C311" s="1408" t="str">
        <f t="shared" si="24"/>
        <v>AMMIXPACK</v>
      </c>
      <c r="D311" s="1408">
        <f t="shared" si="24"/>
        <v>1</v>
      </c>
      <c r="E311" s="1409">
        <v>304</v>
      </c>
      <c r="F311" s="1411"/>
      <c r="G311" s="1429">
        <f>IF('Hamburg Data'!$J$20="",0,'Hamburg Data'!$J$20)</f>
        <v>0</v>
      </c>
      <c r="H311" s="1412">
        <f t="shared" si="21"/>
        <v>0</v>
      </c>
      <c r="I311" s="1413"/>
    </row>
    <row r="312" spans="1:9" x14ac:dyDescent="0.2">
      <c r="A312" s="1418" t="s">
        <v>2614</v>
      </c>
      <c r="B312" s="1407">
        <f t="shared" si="24"/>
        <v>0</v>
      </c>
      <c r="C312" s="1408" t="str">
        <f t="shared" si="24"/>
        <v>AMMIXPACK</v>
      </c>
      <c r="D312" s="1408">
        <f t="shared" si="24"/>
        <v>1</v>
      </c>
      <c r="E312" s="1409">
        <v>305</v>
      </c>
      <c r="F312" s="1411"/>
      <c r="G312" s="1429">
        <f>IF('Hamburg Data'!$M$20="",0,'Hamburg Data'!$M$20)</f>
        <v>0</v>
      </c>
      <c r="H312" s="1412">
        <f t="shared" si="21"/>
        <v>0</v>
      </c>
      <c r="I312" s="1413"/>
    </row>
    <row r="313" spans="1:9" x14ac:dyDescent="0.2">
      <c r="A313" s="1418" t="s">
        <v>2615</v>
      </c>
      <c r="B313" s="1407">
        <f t="shared" si="24"/>
        <v>0</v>
      </c>
      <c r="C313" s="1408" t="str">
        <f t="shared" si="24"/>
        <v>AMMIXPACK</v>
      </c>
      <c r="D313" s="1408">
        <f t="shared" si="24"/>
        <v>1</v>
      </c>
      <c r="E313" s="1409">
        <v>306</v>
      </c>
      <c r="F313" s="1411"/>
      <c r="G313" s="1429">
        <f>IF('Hamburg Data'!$J$21="",0,'Hamburg Data'!$J$21)</f>
        <v>0</v>
      </c>
      <c r="H313" s="1412">
        <f t="shared" si="21"/>
        <v>0</v>
      </c>
      <c r="I313" s="1413"/>
    </row>
    <row r="314" spans="1:9" x14ac:dyDescent="0.2">
      <c r="A314" s="1418" t="s">
        <v>2616</v>
      </c>
      <c r="B314" s="1407">
        <f t="shared" si="24"/>
        <v>0</v>
      </c>
      <c r="C314" s="1408" t="str">
        <f t="shared" si="24"/>
        <v>AMMIXPACK</v>
      </c>
      <c r="D314" s="1408">
        <f t="shared" si="24"/>
        <v>1</v>
      </c>
      <c r="E314" s="1409">
        <v>307</v>
      </c>
      <c r="F314" s="1411"/>
      <c r="G314" s="1429">
        <f>IF('Hamburg Data'!$M$21="",0,'Hamburg Data'!$M$21)</f>
        <v>0</v>
      </c>
      <c r="H314" s="1412">
        <f t="shared" si="21"/>
        <v>0</v>
      </c>
      <c r="I314" s="1413"/>
    </row>
    <row r="315" spans="1:9" x14ac:dyDescent="0.2">
      <c r="A315" s="1418" t="s">
        <v>2617</v>
      </c>
      <c r="B315" s="1407">
        <f t="shared" ref="B315:D326" si="25">B314</f>
        <v>0</v>
      </c>
      <c r="C315" s="1408" t="str">
        <f t="shared" si="25"/>
        <v>AMMIXPACK</v>
      </c>
      <c r="D315" s="1408">
        <f t="shared" si="25"/>
        <v>1</v>
      </c>
      <c r="E315" s="1409">
        <v>308</v>
      </c>
      <c r="F315" s="1411"/>
      <c r="G315" s="1429">
        <f>IF('Hamburg Data'!$J$22="",0,'Hamburg Data'!$J$22)</f>
        <v>0</v>
      </c>
      <c r="H315" s="1412">
        <f t="shared" si="21"/>
        <v>0</v>
      </c>
      <c r="I315" s="1413"/>
    </row>
    <row r="316" spans="1:9" x14ac:dyDescent="0.2">
      <c r="A316" s="1418" t="s">
        <v>2618</v>
      </c>
      <c r="B316" s="1407">
        <f t="shared" si="25"/>
        <v>0</v>
      </c>
      <c r="C316" s="1408" t="str">
        <f t="shared" si="25"/>
        <v>AMMIXPACK</v>
      </c>
      <c r="D316" s="1408">
        <f t="shared" si="25"/>
        <v>1</v>
      </c>
      <c r="E316" s="1409">
        <v>309</v>
      </c>
      <c r="F316" s="1411"/>
      <c r="G316" s="1429">
        <f>IF('Hamburg Data'!$M$22="",0,'Hamburg Data'!$M$22)</f>
        <v>0</v>
      </c>
      <c r="H316" s="1412">
        <f t="shared" si="21"/>
        <v>0</v>
      </c>
      <c r="I316" s="1413"/>
    </row>
    <row r="317" spans="1:9" x14ac:dyDescent="0.2">
      <c r="A317" s="1418" t="s">
        <v>2619</v>
      </c>
      <c r="B317" s="1407">
        <f t="shared" si="25"/>
        <v>0</v>
      </c>
      <c r="C317" s="1408" t="str">
        <f t="shared" si="25"/>
        <v>AMMIXPACK</v>
      </c>
      <c r="D317" s="1408">
        <f t="shared" si="25"/>
        <v>1</v>
      </c>
      <c r="E317" s="1409">
        <v>310</v>
      </c>
      <c r="F317" s="1411"/>
      <c r="G317" s="1429">
        <f>IF('Hamburg Data'!$J$23="",0,'Hamburg Data'!$J$23)</f>
        <v>0</v>
      </c>
      <c r="H317" s="1412">
        <f t="shared" si="21"/>
        <v>0</v>
      </c>
      <c r="I317" s="1413"/>
    </row>
    <row r="318" spans="1:9" x14ac:dyDescent="0.2">
      <c r="A318" s="1418" t="s">
        <v>2620</v>
      </c>
      <c r="B318" s="1407">
        <f t="shared" si="25"/>
        <v>0</v>
      </c>
      <c r="C318" s="1408" t="str">
        <f t="shared" si="25"/>
        <v>AMMIXPACK</v>
      </c>
      <c r="D318" s="1408">
        <f t="shared" si="25"/>
        <v>1</v>
      </c>
      <c r="E318" s="1409">
        <v>311</v>
      </c>
      <c r="F318" s="1411"/>
      <c r="G318" s="1429">
        <f>IF('Hamburg Data'!$M$23="",0,'Hamburg Data'!$M$23)</f>
        <v>0</v>
      </c>
      <c r="H318" s="1412">
        <f t="shared" si="21"/>
        <v>0</v>
      </c>
      <c r="I318" s="1413"/>
    </row>
    <row r="319" spans="1:9" x14ac:dyDescent="0.2">
      <c r="A319" s="1418" t="s">
        <v>2621</v>
      </c>
      <c r="B319" s="1407">
        <f t="shared" si="25"/>
        <v>0</v>
      </c>
      <c r="C319" s="1408" t="str">
        <f t="shared" si="25"/>
        <v>AMMIXPACK</v>
      </c>
      <c r="D319" s="1408">
        <f t="shared" si="25"/>
        <v>1</v>
      </c>
      <c r="E319" s="1409">
        <v>312</v>
      </c>
      <c r="F319" s="1411"/>
      <c r="G319" s="1429">
        <f>IF('Hamburg Data'!$J$24="",0,'Hamburg Data'!$J$24)</f>
        <v>0</v>
      </c>
      <c r="H319" s="1412">
        <f t="shared" si="21"/>
        <v>0</v>
      </c>
      <c r="I319" s="1413"/>
    </row>
    <row r="320" spans="1:9" x14ac:dyDescent="0.2">
      <c r="A320" s="1418" t="s">
        <v>2622</v>
      </c>
      <c r="B320" s="1407">
        <f t="shared" si="25"/>
        <v>0</v>
      </c>
      <c r="C320" s="1408" t="str">
        <f t="shared" si="25"/>
        <v>AMMIXPACK</v>
      </c>
      <c r="D320" s="1408">
        <f t="shared" si="25"/>
        <v>1</v>
      </c>
      <c r="E320" s="1409">
        <v>313</v>
      </c>
      <c r="F320" s="1411"/>
      <c r="G320" s="1429">
        <f>IF('Hamburg Data'!$M$24="",0,'Hamburg Data'!$M$24)</f>
        <v>0</v>
      </c>
      <c r="H320" s="1412">
        <f t="shared" si="21"/>
        <v>0</v>
      </c>
      <c r="I320" s="1413"/>
    </row>
    <row r="321" spans="1:11" x14ac:dyDescent="0.2">
      <c r="A321" s="1418" t="s">
        <v>2623</v>
      </c>
      <c r="B321" s="1407">
        <f t="shared" si="25"/>
        <v>0</v>
      </c>
      <c r="C321" s="1408" t="str">
        <f t="shared" si="25"/>
        <v>AMMIXPACK</v>
      </c>
      <c r="D321" s="1408">
        <f t="shared" si="25"/>
        <v>1</v>
      </c>
      <c r="E321" s="1409">
        <v>314</v>
      </c>
      <c r="F321" s="1411"/>
      <c r="G321" s="1429">
        <f>IF('Hamburg Data'!$J$26="",0,'Hamburg Data'!$J$26)</f>
        <v>0</v>
      </c>
      <c r="H321" s="1412">
        <f t="shared" si="21"/>
        <v>0</v>
      </c>
      <c r="I321" s="1413"/>
    </row>
    <row r="322" spans="1:11" x14ac:dyDescent="0.2">
      <c r="A322" s="1418" t="s">
        <v>2624</v>
      </c>
      <c r="B322" s="1407">
        <f t="shared" si="25"/>
        <v>0</v>
      </c>
      <c r="C322" s="1408" t="str">
        <f t="shared" si="25"/>
        <v>AMMIXPACK</v>
      </c>
      <c r="D322" s="1408">
        <f t="shared" si="25"/>
        <v>1</v>
      </c>
      <c r="E322" s="1409">
        <v>315</v>
      </c>
      <c r="F322" s="1411"/>
      <c r="G322" s="1429">
        <f>IF('Hamburg Data'!$M$26="",0,'Hamburg Data'!$M$26)</f>
        <v>0</v>
      </c>
      <c r="H322" s="1412">
        <f t="shared" si="21"/>
        <v>0</v>
      </c>
      <c r="I322" s="1413"/>
    </row>
    <row r="323" spans="1:11" x14ac:dyDescent="0.2">
      <c r="A323" s="1418" t="s">
        <v>2625</v>
      </c>
      <c r="B323" s="1407">
        <f t="shared" si="25"/>
        <v>0</v>
      </c>
      <c r="C323" s="1408" t="str">
        <f t="shared" si="25"/>
        <v>AMMIXPACK</v>
      </c>
      <c r="D323" s="1408">
        <f t="shared" si="25"/>
        <v>1</v>
      </c>
      <c r="E323" s="1409">
        <v>316</v>
      </c>
      <c r="F323" s="1411"/>
      <c r="G323" s="1429">
        <f>IF('Hamburg Data'!$J$27="",0,'Hamburg Data'!$J$27)</f>
        <v>0</v>
      </c>
      <c r="H323" s="1412">
        <f t="shared" si="21"/>
        <v>0</v>
      </c>
      <c r="I323" s="1413"/>
    </row>
    <row r="324" spans="1:11" x14ac:dyDescent="0.2">
      <c r="A324" s="1418" t="s">
        <v>2626</v>
      </c>
      <c r="B324" s="1407">
        <f t="shared" si="25"/>
        <v>0</v>
      </c>
      <c r="C324" s="1408" t="str">
        <f t="shared" si="25"/>
        <v>AMMIXPACK</v>
      </c>
      <c r="D324" s="1408">
        <f t="shared" si="25"/>
        <v>1</v>
      </c>
      <c r="E324" s="1409">
        <v>317</v>
      </c>
      <c r="F324" s="1411"/>
      <c r="G324" s="1429">
        <f>IF('Hamburg Data'!$M$27="",0,'Hamburg Data'!$M$27)</f>
        <v>0</v>
      </c>
      <c r="H324" s="1412">
        <f t="shared" si="21"/>
        <v>0</v>
      </c>
      <c r="I324" s="1413"/>
    </row>
    <row r="325" spans="1:11" x14ac:dyDescent="0.2">
      <c r="A325" s="1418" t="s">
        <v>2627</v>
      </c>
      <c r="B325" s="1407">
        <f t="shared" si="25"/>
        <v>0</v>
      </c>
      <c r="C325" s="1408" t="str">
        <f t="shared" si="25"/>
        <v>AMMIXPACK</v>
      </c>
      <c r="D325" s="1408">
        <f t="shared" si="25"/>
        <v>1</v>
      </c>
      <c r="E325" s="1409">
        <v>318</v>
      </c>
      <c r="F325" s="1411"/>
      <c r="G325" s="1429">
        <f>IF('Hamburg Data'!$J$28="",0,'Hamburg Data'!$J$28)</f>
        <v>0</v>
      </c>
      <c r="H325" s="1412">
        <f t="shared" si="21"/>
        <v>0</v>
      </c>
      <c r="I325" s="1413"/>
    </row>
    <row r="326" spans="1:11" x14ac:dyDescent="0.2">
      <c r="A326" s="1418" t="s">
        <v>2628</v>
      </c>
      <c r="B326" s="1425">
        <f t="shared" si="25"/>
        <v>0</v>
      </c>
      <c r="C326" s="1426" t="str">
        <f t="shared" si="25"/>
        <v>AMMIXPACK</v>
      </c>
      <c r="D326" s="1426">
        <f t="shared" si="25"/>
        <v>1</v>
      </c>
      <c r="E326" s="1427">
        <v>319</v>
      </c>
      <c r="F326" s="1411"/>
      <c r="G326" s="1429">
        <f>IF('Hamburg Data'!$M$28="",0,'Hamburg Data'!$M$28)</f>
        <v>0</v>
      </c>
      <c r="H326" s="1429">
        <f t="shared" si="21"/>
        <v>0</v>
      </c>
      <c r="I326" s="1430"/>
    </row>
    <row r="327" spans="1:11" x14ac:dyDescent="0.2">
      <c r="A327" s="1418" t="s">
        <v>2629</v>
      </c>
      <c r="B327" s="1407">
        <f t="shared" ref="B327:D327" si="26">B326</f>
        <v>0</v>
      </c>
      <c r="C327" s="1408" t="str">
        <f t="shared" si="26"/>
        <v>AMMIXPACK</v>
      </c>
      <c r="D327" s="1408">
        <f t="shared" si="26"/>
        <v>1</v>
      </c>
      <c r="E327" s="1409">
        <v>320</v>
      </c>
      <c r="F327" s="1411"/>
      <c r="G327" s="1412">
        <f ca="1">IF('KYCT Data'!A29="",0,'KYCT Data'!A29)</f>
        <v>0</v>
      </c>
      <c r="H327" s="1412">
        <f t="shared" si="21"/>
        <v>0</v>
      </c>
      <c r="I327" s="1413"/>
      <c r="K327" s="1431"/>
    </row>
    <row r="328" spans="1:11" x14ac:dyDescent="0.2">
      <c r="A328" s="1418" t="s">
        <v>2630</v>
      </c>
      <c r="B328" s="1407">
        <f t="shared" ref="B328:D328" si="27">B327</f>
        <v>0</v>
      </c>
      <c r="C328" s="1408" t="str">
        <f t="shared" si="27"/>
        <v>AMMIXPACK</v>
      </c>
      <c r="D328" s="1408">
        <f t="shared" si="27"/>
        <v>1</v>
      </c>
      <c r="E328" s="1409">
        <v>321</v>
      </c>
      <c r="F328" s="1411"/>
      <c r="G328" s="1412">
        <f>IF('KYCT Data'!B29="",0,'KYCT Data'!B29)</f>
        <v>0</v>
      </c>
      <c r="H328" s="1412">
        <f t="shared" si="21"/>
        <v>0</v>
      </c>
      <c r="I328" s="1413"/>
      <c r="K328" s="1431"/>
    </row>
    <row r="329" spans="1:11" x14ac:dyDescent="0.2">
      <c r="A329" s="1418" t="s">
        <v>2631</v>
      </c>
      <c r="B329" s="1407">
        <f t="shared" ref="B329:D329" si="28">B328</f>
        <v>0</v>
      </c>
      <c r="C329" s="1408" t="str">
        <f t="shared" si="28"/>
        <v>AMMIXPACK</v>
      </c>
      <c r="D329" s="1408">
        <f t="shared" si="28"/>
        <v>1</v>
      </c>
      <c r="E329" s="1409">
        <v>322</v>
      </c>
      <c r="F329" s="1411"/>
      <c r="G329" s="1412">
        <f ca="1">IF('KYCT Data'!C29="",0,'KYCT Data'!C29)</f>
        <v>0</v>
      </c>
      <c r="H329" s="1412">
        <f t="shared" ref="H329:H342" si="29">H328</f>
        <v>0</v>
      </c>
      <c r="I329" s="1413"/>
      <c r="K329" s="1431"/>
    </row>
    <row r="330" spans="1:11" x14ac:dyDescent="0.2">
      <c r="A330" s="1418" t="s">
        <v>2632</v>
      </c>
      <c r="B330" s="1407">
        <f t="shared" ref="B330:D330" si="30">B329</f>
        <v>0</v>
      </c>
      <c r="C330" s="1408" t="str">
        <f t="shared" si="30"/>
        <v>AMMIXPACK</v>
      </c>
      <c r="D330" s="1408">
        <f t="shared" si="30"/>
        <v>1</v>
      </c>
      <c r="E330" s="1409">
        <v>323</v>
      </c>
      <c r="F330" s="1411"/>
      <c r="G330" s="1412">
        <f>IF('KYCT Data'!D29="",0,'KYCT Data'!D29)</f>
        <v>0</v>
      </c>
      <c r="H330" s="1412">
        <f t="shared" si="29"/>
        <v>0</v>
      </c>
      <c r="I330" s="1413"/>
      <c r="K330" s="1431"/>
    </row>
    <row r="331" spans="1:11" x14ac:dyDescent="0.2">
      <c r="A331" s="1418" t="s">
        <v>2633</v>
      </c>
      <c r="B331" s="1407">
        <f t="shared" ref="B331:D331" si="31">B330</f>
        <v>0</v>
      </c>
      <c r="C331" s="1408" t="str">
        <f t="shared" si="31"/>
        <v>AMMIXPACK</v>
      </c>
      <c r="D331" s="1408">
        <f t="shared" si="31"/>
        <v>1</v>
      </c>
      <c r="E331" s="1409">
        <v>324</v>
      </c>
      <c r="F331" s="1411"/>
      <c r="G331" s="1412">
        <f ca="1">IF('KYCT Data'!E29="",0,'KYCT Data'!E29)</f>
        <v>0</v>
      </c>
      <c r="H331" s="1412">
        <f t="shared" si="29"/>
        <v>0</v>
      </c>
      <c r="I331" s="1413"/>
      <c r="K331" s="1431"/>
    </row>
    <row r="332" spans="1:11" x14ac:dyDescent="0.2">
      <c r="A332" s="1418" t="s">
        <v>2634</v>
      </c>
      <c r="B332" s="1407">
        <f t="shared" ref="B332:D332" si="32">B331</f>
        <v>0</v>
      </c>
      <c r="C332" s="1408" t="str">
        <f t="shared" si="32"/>
        <v>AMMIXPACK</v>
      </c>
      <c r="D332" s="1408">
        <f t="shared" si="32"/>
        <v>1</v>
      </c>
      <c r="E332" s="1409">
        <v>325</v>
      </c>
      <c r="F332" s="1411"/>
      <c r="G332" s="1412">
        <f>IF('KYCT Data'!F29="",0,'KYCT Data'!F29)</f>
        <v>0</v>
      </c>
      <c r="H332" s="1412">
        <f t="shared" si="29"/>
        <v>0</v>
      </c>
      <c r="I332" s="1413"/>
      <c r="K332" s="1431"/>
    </row>
    <row r="333" spans="1:11" x14ac:dyDescent="0.2">
      <c r="A333" s="1418" t="s">
        <v>2635</v>
      </c>
      <c r="B333" s="1407">
        <f t="shared" ref="B333:D333" si="33">B332</f>
        <v>0</v>
      </c>
      <c r="C333" s="1408" t="str">
        <f t="shared" si="33"/>
        <v>AMMIXPACK</v>
      </c>
      <c r="D333" s="1408">
        <f t="shared" si="33"/>
        <v>1</v>
      </c>
      <c r="E333" s="1409">
        <v>326</v>
      </c>
      <c r="F333" s="1411"/>
      <c r="G333" s="1412">
        <f ca="1">IF('KYCT Data'!G29="",0,'KYCT Data'!G29)</f>
        <v>0</v>
      </c>
      <c r="H333" s="1412">
        <f t="shared" si="29"/>
        <v>0</v>
      </c>
      <c r="I333" s="1413"/>
      <c r="K333" s="1431"/>
    </row>
    <row r="334" spans="1:11" x14ac:dyDescent="0.2">
      <c r="A334" s="1418" t="s">
        <v>2636</v>
      </c>
      <c r="B334" s="1407">
        <f t="shared" ref="B334:D334" si="34">B333</f>
        <v>0</v>
      </c>
      <c r="C334" s="1408" t="str">
        <f t="shared" si="34"/>
        <v>AMMIXPACK</v>
      </c>
      <c r="D334" s="1408">
        <f t="shared" si="34"/>
        <v>1</v>
      </c>
      <c r="E334" s="1409">
        <v>327</v>
      </c>
      <c r="F334" s="1411"/>
      <c r="G334" s="1412">
        <f>IF('KYCT Data'!H29="",0,'KYCT Data'!H29)</f>
        <v>0</v>
      </c>
      <c r="H334" s="1412">
        <f t="shared" si="29"/>
        <v>0</v>
      </c>
      <c r="I334" s="1413"/>
      <c r="K334" s="1431"/>
    </row>
    <row r="335" spans="1:11" x14ac:dyDescent="0.2">
      <c r="A335" s="1418" t="s">
        <v>2637</v>
      </c>
      <c r="B335" s="1407">
        <f t="shared" ref="B335:D335" si="35">B334</f>
        <v>0</v>
      </c>
      <c r="C335" s="1408" t="str">
        <f t="shared" si="35"/>
        <v>AMMIXPACK</v>
      </c>
      <c r="D335" s="1408">
        <f t="shared" si="35"/>
        <v>1</v>
      </c>
      <c r="E335" s="1409">
        <v>328</v>
      </c>
      <c r="F335" s="1411"/>
      <c r="G335" s="1412">
        <f ca="1">IF('KYCT Data'!I29="",0,'KYCT Data'!I29)</f>
        <v>0</v>
      </c>
      <c r="H335" s="1412">
        <f t="shared" si="29"/>
        <v>0</v>
      </c>
      <c r="I335" s="1413"/>
      <c r="K335" s="1431"/>
    </row>
    <row r="336" spans="1:11" x14ac:dyDescent="0.2">
      <c r="A336" s="1418" t="s">
        <v>2638</v>
      </c>
      <c r="B336" s="1407">
        <f t="shared" ref="B336:D336" si="36">B335</f>
        <v>0</v>
      </c>
      <c r="C336" s="1408" t="str">
        <f t="shared" si="36"/>
        <v>AMMIXPACK</v>
      </c>
      <c r="D336" s="1408">
        <f t="shared" si="36"/>
        <v>1</v>
      </c>
      <c r="E336" s="1409">
        <v>329</v>
      </c>
      <c r="F336" s="1411"/>
      <c r="G336" s="1412">
        <f>IF('KYCT Data'!J29="",0,'KYCT Data'!J29)</f>
        <v>0</v>
      </c>
      <c r="H336" s="1412">
        <f t="shared" si="29"/>
        <v>0</v>
      </c>
      <c r="I336" s="1413"/>
      <c r="K336" s="1431"/>
    </row>
    <row r="337" spans="1:11" x14ac:dyDescent="0.2">
      <c r="A337" s="1418" t="s">
        <v>2639</v>
      </c>
      <c r="B337" s="1407">
        <f t="shared" ref="B337:D337" si="37">B336</f>
        <v>0</v>
      </c>
      <c r="C337" s="1408" t="str">
        <f t="shared" si="37"/>
        <v>AMMIXPACK</v>
      </c>
      <c r="D337" s="1408">
        <f t="shared" si="37"/>
        <v>1</v>
      </c>
      <c r="E337" s="1409">
        <v>330</v>
      </c>
      <c r="F337" s="1411"/>
      <c r="G337" s="1412">
        <f ca="1">IF('KYCT Data'!K29="",0,'KYCT Data'!K29)</f>
        <v>0</v>
      </c>
      <c r="H337" s="1412">
        <f t="shared" si="29"/>
        <v>0</v>
      </c>
      <c r="I337" s="1413"/>
      <c r="K337" s="1431"/>
    </row>
    <row r="338" spans="1:11" x14ac:dyDescent="0.2">
      <c r="A338" s="1418" t="s">
        <v>2640</v>
      </c>
      <c r="B338" s="1407">
        <f t="shared" ref="B338:D338" si="38">B337</f>
        <v>0</v>
      </c>
      <c r="C338" s="1408" t="str">
        <f t="shared" si="38"/>
        <v>AMMIXPACK</v>
      </c>
      <c r="D338" s="1408">
        <f t="shared" si="38"/>
        <v>1</v>
      </c>
      <c r="E338" s="1409">
        <v>331</v>
      </c>
      <c r="F338" s="1411"/>
      <c r="G338" s="1412">
        <f>IF('KYCT Data'!L29="",0,'KYCT Data'!L29)</f>
        <v>0</v>
      </c>
      <c r="H338" s="1412">
        <f t="shared" si="29"/>
        <v>0</v>
      </c>
      <c r="I338" s="1413"/>
      <c r="K338" s="1431"/>
    </row>
    <row r="339" spans="1:11" x14ac:dyDescent="0.2">
      <c r="A339" s="1418" t="s">
        <v>2641</v>
      </c>
      <c r="B339" s="1407">
        <f t="shared" ref="B339:D339" si="39">B338</f>
        <v>0</v>
      </c>
      <c r="C339" s="1408" t="str">
        <f t="shared" si="39"/>
        <v>AMMIXPACK</v>
      </c>
      <c r="D339" s="1408">
        <f t="shared" si="39"/>
        <v>1</v>
      </c>
      <c r="E339" s="1409">
        <v>332</v>
      </c>
      <c r="F339" s="1411"/>
      <c r="G339" s="1412">
        <f ca="1">IF('KYCT Data'!M29="",0,'KYCT Data'!M29)</f>
        <v>0</v>
      </c>
      <c r="H339" s="1412">
        <f t="shared" si="29"/>
        <v>0</v>
      </c>
      <c r="I339" s="1413"/>
      <c r="K339" s="1431"/>
    </row>
    <row r="340" spans="1:11" x14ac:dyDescent="0.2">
      <c r="A340" s="1418" t="s">
        <v>2642</v>
      </c>
      <c r="B340" s="1407">
        <f t="shared" ref="B340:D340" si="40">B339</f>
        <v>0</v>
      </c>
      <c r="C340" s="1408" t="str">
        <f t="shared" si="40"/>
        <v>AMMIXPACK</v>
      </c>
      <c r="D340" s="1408">
        <f t="shared" si="40"/>
        <v>1</v>
      </c>
      <c r="E340" s="1409">
        <v>333</v>
      </c>
      <c r="F340" s="1411"/>
      <c r="G340" s="1412">
        <f>IF('KYCT Data'!N29="",0,'KYCT Data'!N29)</f>
        <v>0</v>
      </c>
      <c r="H340" s="1412">
        <f t="shared" si="29"/>
        <v>0</v>
      </c>
      <c r="I340" s="1413"/>
      <c r="K340" s="1431"/>
    </row>
    <row r="341" spans="1:11" x14ac:dyDescent="0.2">
      <c r="A341" s="1418" t="s">
        <v>2643</v>
      </c>
      <c r="B341" s="1407">
        <f t="shared" ref="B341:D341" si="41">B340</f>
        <v>0</v>
      </c>
      <c r="C341" s="1408" t="str">
        <f t="shared" si="41"/>
        <v>AMMIXPACK</v>
      </c>
      <c r="D341" s="1408">
        <f t="shared" si="41"/>
        <v>1</v>
      </c>
      <c r="E341" s="1409">
        <v>334</v>
      </c>
      <c r="F341" s="1411"/>
      <c r="G341" s="1412">
        <f ca="1">IF('KYCT Data'!O29="",0,'KYCT Data'!O29)</f>
        <v>0</v>
      </c>
      <c r="H341" s="1412">
        <f t="shared" si="29"/>
        <v>0</v>
      </c>
      <c r="I341" s="1413"/>
      <c r="K341" s="1431"/>
    </row>
    <row r="342" spans="1:11" x14ac:dyDescent="0.2">
      <c r="A342" s="1418" t="s">
        <v>2644</v>
      </c>
      <c r="B342" s="1425">
        <f t="shared" ref="B342:D342" si="42">B341</f>
        <v>0</v>
      </c>
      <c r="C342" s="1426" t="str">
        <f t="shared" si="42"/>
        <v>AMMIXPACK</v>
      </c>
      <c r="D342" s="1426">
        <f t="shared" si="42"/>
        <v>1</v>
      </c>
      <c r="E342" s="1427">
        <v>335</v>
      </c>
      <c r="F342" s="1411"/>
      <c r="G342" s="1412">
        <f>IF('KYCT Data'!P29="",0,'KYCT Data'!P29)</f>
        <v>0</v>
      </c>
      <c r="H342" s="1429">
        <f t="shared" si="29"/>
        <v>0</v>
      </c>
      <c r="I342" s="1430"/>
      <c r="K342" s="1431"/>
    </row>
  </sheetData>
  <pageMargins left="0.75" right="0.75" top="1" bottom="1" header="0.5" footer="0.5"/>
  <pageSetup paperSize="17" scale="51" fitToHeight="0" orientation="landscape" r:id="rId1"/>
  <headerFooter alignWithMargins="0">
    <oddHeader>&amp;F</oddHeader>
    <oddFooter>&amp;L&amp;A&amp;CPage &amp;P of &amp;N</oddFooter>
  </headerFooter>
  <ignoredErrors>
    <ignoredError sqref="E262:E271" numberStoredAsText="1"/>
  </ignoredErrors>
  <legacyDrawing r:id="rId2"/>
  <tableParts count="1">
    <tablePart r:id="rId3"/>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tabColor indexed="45"/>
    <pageSetUpPr fitToPage="1"/>
  </sheetPr>
  <dimension ref="A1:AJ8"/>
  <sheetViews>
    <sheetView zoomScale="75" workbookViewId="0">
      <pane xSplit="2" ySplit="7" topLeftCell="C8" activePane="bottomRight" state="frozen"/>
      <selection activeCell="C9" sqref="C9"/>
      <selection pane="topRight" activeCell="C9" sqref="C9"/>
      <selection pane="bottomLeft" activeCell="C9" sqref="C9"/>
      <selection pane="bottomRight" activeCell="A10" sqref="A10"/>
      <extLst>
        <ext xmlns:xlsdti="http://schemas.microsoft.com/office/spreadsheetml/2023/showDataTypeIcons" uri="{77bfe23e-c014-4d31-8a63-9c772dbf06b6}">
          <xlsdti:showDataTypeIcons visible="0"/>
        </ext>
      </extLst>
    </sheetView>
  </sheetViews>
  <sheetFormatPr defaultRowHeight="12.75" x14ac:dyDescent="0.2"/>
  <cols>
    <col min="1" max="1" width="45.7109375" customWidth="1"/>
    <col min="2" max="2" width="22" customWidth="1"/>
    <col min="3" max="3" width="30.28515625" customWidth="1"/>
    <col min="4" max="4" width="26.5703125" customWidth="1"/>
    <col min="5" max="5" width="42.7109375" customWidth="1"/>
    <col min="6" max="6" width="55.5703125" customWidth="1"/>
    <col min="7" max="7" width="30.7109375" customWidth="1"/>
    <col min="8" max="8" width="30.5703125" customWidth="1"/>
    <col min="9" max="10" width="13.5703125" customWidth="1"/>
    <col min="11" max="11" width="13.7109375" customWidth="1"/>
    <col min="12" max="12" width="62.140625" customWidth="1"/>
    <col min="13" max="13" width="17.28515625" customWidth="1"/>
    <col min="14" max="14" width="18.140625" customWidth="1"/>
    <col min="15" max="15" width="17.7109375" customWidth="1"/>
    <col min="16" max="16" width="16.140625" customWidth="1"/>
    <col min="17" max="17" width="17" customWidth="1"/>
    <col min="18" max="18" width="17.28515625" customWidth="1"/>
    <col min="19" max="19" width="21" customWidth="1"/>
    <col min="20" max="20" width="17.5703125" customWidth="1"/>
    <col min="21" max="21" width="11" customWidth="1"/>
    <col min="22" max="22" width="26.140625" customWidth="1"/>
    <col min="23" max="23" width="15" customWidth="1"/>
    <col min="24" max="24" width="17.5703125" customWidth="1"/>
    <col min="25" max="25" width="14.28515625" customWidth="1"/>
    <col min="26" max="27" width="17.28515625" customWidth="1"/>
    <col min="28" max="28" width="28.42578125" customWidth="1"/>
    <col min="29" max="29" width="17.85546875" customWidth="1"/>
    <col min="30" max="30" width="26.28515625" customWidth="1"/>
    <col min="31" max="31" width="16.42578125" customWidth="1"/>
    <col min="32" max="32" width="20.5703125" customWidth="1"/>
    <col min="33" max="33" width="11.85546875" customWidth="1"/>
    <col min="34" max="34" width="17.7109375" customWidth="1"/>
    <col min="35" max="35" width="16.7109375" customWidth="1"/>
    <col min="36" max="36" width="14.140625" customWidth="1"/>
  </cols>
  <sheetData>
    <row r="1" spans="1:36" s="6" customFormat="1" ht="12.75" customHeight="1" x14ac:dyDescent="0.2">
      <c r="A1" s="811" t="s">
        <v>1557</v>
      </c>
      <c r="B1" s="812"/>
      <c r="C1" s="812"/>
      <c r="D1" s="812"/>
      <c r="E1" s="812"/>
      <c r="F1" s="812"/>
      <c r="G1" s="812"/>
      <c r="H1" s="812"/>
      <c r="I1" s="812"/>
      <c r="J1" s="813" t="s">
        <v>1559</v>
      </c>
      <c r="K1" s="812"/>
      <c r="L1" s="812"/>
      <c r="M1" s="812"/>
      <c r="N1" s="812"/>
      <c r="O1" s="812"/>
      <c r="P1" s="812"/>
      <c r="Q1" s="812"/>
      <c r="R1" s="812"/>
      <c r="S1" s="812"/>
      <c r="T1" s="812"/>
      <c r="U1" s="812"/>
      <c r="V1" s="812"/>
      <c r="W1" s="812"/>
      <c r="X1" s="812"/>
      <c r="Y1" s="812"/>
      <c r="Z1" s="812"/>
      <c r="AA1" s="812"/>
      <c r="AB1" s="812"/>
      <c r="AC1" s="812"/>
      <c r="AD1" s="812"/>
      <c r="AE1" s="813" t="s">
        <v>1559</v>
      </c>
      <c r="AF1" s="813" t="s">
        <v>1559</v>
      </c>
      <c r="AG1" s="813" t="s">
        <v>1559</v>
      </c>
      <c r="AH1" s="812"/>
      <c r="AI1" s="813" t="s">
        <v>1558</v>
      </c>
      <c r="AJ1" s="813" t="s">
        <v>1559</v>
      </c>
    </row>
    <row r="2" spans="1:36" s="6" customFormat="1" ht="12.75" customHeight="1" x14ac:dyDescent="0.2">
      <c r="A2" s="811" t="s">
        <v>1560</v>
      </c>
      <c r="B2" s="865" t="s">
        <v>1815</v>
      </c>
      <c r="C2" s="865" t="s">
        <v>1815</v>
      </c>
      <c r="D2" s="865" t="s">
        <v>1815</v>
      </c>
      <c r="E2" s="865" t="s">
        <v>1815</v>
      </c>
      <c r="F2" s="865" t="s">
        <v>1815</v>
      </c>
      <c r="G2" s="865" t="s">
        <v>1815</v>
      </c>
      <c r="H2" s="865" t="s">
        <v>1815</v>
      </c>
      <c r="I2" s="865" t="s">
        <v>1815</v>
      </c>
      <c r="J2" s="865" t="s">
        <v>1815</v>
      </c>
      <c r="K2" s="865" t="s">
        <v>1815</v>
      </c>
      <c r="L2" s="865" t="s">
        <v>1815</v>
      </c>
      <c r="M2" s="865" t="s">
        <v>1815</v>
      </c>
      <c r="N2" s="865" t="s">
        <v>1815</v>
      </c>
      <c r="O2" s="865" t="s">
        <v>1815</v>
      </c>
      <c r="P2" s="865" t="s">
        <v>1815</v>
      </c>
      <c r="Q2" s="865" t="s">
        <v>1815</v>
      </c>
      <c r="R2" s="865" t="s">
        <v>1815</v>
      </c>
      <c r="S2" s="865" t="s">
        <v>1815</v>
      </c>
      <c r="T2" s="865" t="s">
        <v>1815</v>
      </c>
      <c r="U2" s="865" t="s">
        <v>1815</v>
      </c>
      <c r="V2" s="865" t="s">
        <v>1815</v>
      </c>
      <c r="W2" s="865" t="s">
        <v>1815</v>
      </c>
      <c r="X2" s="865" t="s">
        <v>1815</v>
      </c>
      <c r="Y2" s="865"/>
      <c r="Z2" s="865"/>
      <c r="AA2" s="865"/>
      <c r="AB2" s="865"/>
      <c r="AC2" s="865"/>
      <c r="AD2" s="865"/>
      <c r="AE2" s="865"/>
      <c r="AF2" s="865"/>
      <c r="AG2" s="865"/>
      <c r="AH2" s="865" t="s">
        <v>1815</v>
      </c>
      <c r="AI2" s="865" t="s">
        <v>1815</v>
      </c>
      <c r="AJ2" s="865"/>
    </row>
    <row r="3" spans="1:36" s="6" customFormat="1" ht="12.75" customHeight="1" thickBot="1" x14ac:dyDescent="0.25">
      <c r="A3" s="811" t="s">
        <v>1562</v>
      </c>
      <c r="B3" s="911" t="s">
        <v>1791</v>
      </c>
      <c r="C3" s="911" t="s">
        <v>1792</v>
      </c>
      <c r="D3" s="817" t="s">
        <v>1575</v>
      </c>
      <c r="E3" s="817" t="s">
        <v>1578</v>
      </c>
      <c r="F3" s="817" t="s">
        <v>1793</v>
      </c>
      <c r="G3" s="817" t="s">
        <v>1847</v>
      </c>
      <c r="H3" s="817" t="s">
        <v>1848</v>
      </c>
      <c r="I3" s="817" t="s">
        <v>1774</v>
      </c>
      <c r="J3" s="866" t="s">
        <v>1794</v>
      </c>
      <c r="K3" s="817" t="s">
        <v>1795</v>
      </c>
      <c r="L3" s="817" t="s">
        <v>1796</v>
      </c>
      <c r="M3" s="817" t="s">
        <v>1849</v>
      </c>
      <c r="N3" s="817" t="s">
        <v>1850</v>
      </c>
      <c r="O3" s="817" t="s">
        <v>1851</v>
      </c>
      <c r="P3" s="817" t="s">
        <v>1852</v>
      </c>
      <c r="Q3" s="817" t="s">
        <v>1853</v>
      </c>
      <c r="R3" s="817" t="s">
        <v>1854</v>
      </c>
      <c r="S3" s="817" t="s">
        <v>1855</v>
      </c>
      <c r="T3" s="817" t="s">
        <v>1856</v>
      </c>
      <c r="U3" s="817" t="s">
        <v>1857</v>
      </c>
      <c r="V3" s="817" t="s">
        <v>1860</v>
      </c>
      <c r="W3" s="817" t="s">
        <v>1861</v>
      </c>
      <c r="X3" s="817" t="s">
        <v>1862</v>
      </c>
      <c r="Y3" s="817" t="s">
        <v>1863</v>
      </c>
      <c r="Z3" s="817" t="s">
        <v>1864</v>
      </c>
      <c r="AA3" s="817" t="s">
        <v>1865</v>
      </c>
      <c r="AB3" s="817" t="s">
        <v>1866</v>
      </c>
      <c r="AC3" s="817" t="s">
        <v>1868</v>
      </c>
      <c r="AD3" s="817" t="s">
        <v>1869</v>
      </c>
      <c r="AE3" s="817" t="s">
        <v>1870</v>
      </c>
      <c r="AF3" s="817" t="s">
        <v>1871</v>
      </c>
      <c r="AG3" s="817" t="s">
        <v>1580</v>
      </c>
      <c r="AH3" s="817" t="s">
        <v>1573</v>
      </c>
      <c r="AI3" s="817" t="s">
        <v>1572</v>
      </c>
      <c r="AJ3" s="817" t="s">
        <v>1872</v>
      </c>
    </row>
    <row r="4" spans="1:36" s="824" customFormat="1" ht="166.5" thickBot="1" x14ac:dyDescent="0.25">
      <c r="A4" s="811" t="s">
        <v>1616</v>
      </c>
      <c r="B4" s="907" t="s">
        <v>1770</v>
      </c>
      <c r="C4" s="919" t="s">
        <v>1620</v>
      </c>
      <c r="D4" s="918" t="s">
        <v>1639</v>
      </c>
      <c r="E4" s="943" t="s">
        <v>1826</v>
      </c>
      <c r="F4" s="948" t="s">
        <v>1825</v>
      </c>
      <c r="G4" s="822" t="s">
        <v>573</v>
      </c>
      <c r="H4" s="822" t="s">
        <v>575</v>
      </c>
      <c r="I4" s="819"/>
      <c r="J4" s="821"/>
      <c r="K4" s="819"/>
      <c r="L4" s="820" t="s">
        <v>281</v>
      </c>
      <c r="M4" s="819"/>
      <c r="N4" s="819"/>
      <c r="O4" s="819"/>
      <c r="P4" s="819"/>
      <c r="Q4" s="819"/>
      <c r="R4" s="819"/>
      <c r="S4" s="819"/>
      <c r="T4" s="819"/>
      <c r="U4" s="819"/>
      <c r="V4" s="819"/>
      <c r="W4" s="819"/>
      <c r="X4" s="819"/>
      <c r="Y4" s="819"/>
      <c r="Z4" s="819"/>
      <c r="AA4" s="819"/>
      <c r="AB4" s="822" t="s">
        <v>1618</v>
      </c>
      <c r="AC4" s="819"/>
      <c r="AD4" s="822" t="s">
        <v>1618</v>
      </c>
      <c r="AE4" s="821"/>
      <c r="AF4" s="821"/>
      <c r="AG4" s="821"/>
      <c r="AH4" s="819"/>
      <c r="AI4" s="821"/>
      <c r="AJ4" s="821"/>
    </row>
    <row r="5" spans="1:36" s="6" customFormat="1" ht="153.75" customHeight="1" thickBot="1" x14ac:dyDescent="0.25">
      <c r="A5" s="811" t="s">
        <v>1644</v>
      </c>
      <c r="B5" s="904"/>
      <c r="C5" s="912"/>
      <c r="D5" s="819"/>
      <c r="E5" s="819"/>
      <c r="F5" s="822" t="s">
        <v>1555</v>
      </c>
      <c r="G5" s="819"/>
      <c r="H5" s="822"/>
      <c r="I5" s="943"/>
      <c r="J5" s="826" t="s">
        <v>1811</v>
      </c>
      <c r="K5" s="819"/>
      <c r="L5" s="822" t="s">
        <v>1555</v>
      </c>
      <c r="M5" s="943" t="s">
        <v>469</v>
      </c>
      <c r="N5" s="945" t="s">
        <v>469</v>
      </c>
      <c r="O5" s="943" t="s">
        <v>470</v>
      </c>
      <c r="P5" s="819" t="s">
        <v>576</v>
      </c>
      <c r="Q5" s="819" t="s">
        <v>576</v>
      </c>
      <c r="R5" s="943" t="s">
        <v>471</v>
      </c>
      <c r="S5" s="819"/>
      <c r="T5" s="819" t="s">
        <v>576</v>
      </c>
      <c r="U5" s="819" t="s">
        <v>576</v>
      </c>
      <c r="V5" s="819" t="s">
        <v>576</v>
      </c>
      <c r="W5" s="819" t="s">
        <v>576</v>
      </c>
      <c r="X5" s="943" t="s">
        <v>492</v>
      </c>
      <c r="Y5" s="819" t="s">
        <v>576</v>
      </c>
      <c r="Z5" s="819" t="s">
        <v>576</v>
      </c>
      <c r="AA5" s="819"/>
      <c r="AB5" s="819"/>
      <c r="AC5" s="819"/>
      <c r="AD5" s="819"/>
      <c r="AE5" s="946" t="s">
        <v>1811</v>
      </c>
      <c r="AF5" s="862" t="s">
        <v>1806</v>
      </c>
      <c r="AG5" s="862" t="s">
        <v>1806</v>
      </c>
      <c r="AH5" s="819"/>
      <c r="AI5" s="821" t="s">
        <v>1648</v>
      </c>
      <c r="AJ5" s="862" t="s">
        <v>1806</v>
      </c>
    </row>
    <row r="6" spans="1:36" ht="54" customHeight="1" x14ac:dyDescent="0.2">
      <c r="A6" s="830" t="s">
        <v>1653</v>
      </c>
      <c r="B6" s="1006" t="s">
        <v>1674</v>
      </c>
      <c r="C6" s="1007" t="s">
        <v>1797</v>
      </c>
      <c r="D6" s="1007" t="s">
        <v>1666</v>
      </c>
      <c r="E6" s="1007" t="s">
        <v>1798</v>
      </c>
      <c r="F6" s="1006" t="s">
        <v>1799</v>
      </c>
      <c r="G6" s="1007" t="s">
        <v>1816</v>
      </c>
      <c r="H6" s="1007" t="s">
        <v>1817</v>
      </c>
      <c r="I6" s="1007" t="s">
        <v>1775</v>
      </c>
      <c r="J6" s="1007" t="s">
        <v>1800</v>
      </c>
      <c r="K6" s="1007" t="s">
        <v>1801</v>
      </c>
      <c r="L6" s="1007" t="s">
        <v>1802</v>
      </c>
      <c r="M6" s="1007" t="s">
        <v>1818</v>
      </c>
      <c r="N6" s="1007" t="s">
        <v>1819</v>
      </c>
      <c r="O6" s="1007" t="s">
        <v>1820</v>
      </c>
      <c r="P6" s="1007" t="s">
        <v>1821</v>
      </c>
      <c r="Q6" s="1007" t="s">
        <v>1822</v>
      </c>
      <c r="R6" s="1007" t="s">
        <v>1823</v>
      </c>
      <c r="S6" s="1007" t="s">
        <v>1824</v>
      </c>
      <c r="T6" s="1007" t="s">
        <v>1835</v>
      </c>
      <c r="U6" s="1007" t="s">
        <v>1836</v>
      </c>
      <c r="V6" s="1007" t="s">
        <v>1837</v>
      </c>
      <c r="W6" s="1006" t="s">
        <v>1838</v>
      </c>
      <c r="X6" s="1007" t="s">
        <v>1839</v>
      </c>
      <c r="Y6" s="1007" t="s">
        <v>205</v>
      </c>
      <c r="Z6" s="1007" t="s">
        <v>439</v>
      </c>
      <c r="AA6" s="1007" t="s">
        <v>1840</v>
      </c>
      <c r="AB6" s="1007" t="s">
        <v>1841</v>
      </c>
      <c r="AC6" s="1007" t="s">
        <v>1842</v>
      </c>
      <c r="AD6" s="1007" t="s">
        <v>1843</v>
      </c>
      <c r="AE6" s="1008" t="s">
        <v>1844</v>
      </c>
      <c r="AF6" s="1008" t="s">
        <v>1845</v>
      </c>
      <c r="AG6" s="1008" t="s">
        <v>1751</v>
      </c>
      <c r="AH6" s="1006" t="s">
        <v>1664</v>
      </c>
      <c r="AI6" s="1008" t="s">
        <v>1663</v>
      </c>
      <c r="AJ6" s="1008" t="s">
        <v>1846</v>
      </c>
    </row>
    <row r="7" spans="1:36" s="6" customFormat="1" ht="26.25" thickBot="1" x14ac:dyDescent="0.25">
      <c r="A7" s="831" t="s">
        <v>1808</v>
      </c>
      <c r="B7" s="1004" t="s">
        <v>1791</v>
      </c>
      <c r="C7" s="957" t="s">
        <v>1792</v>
      </c>
      <c r="D7" s="957" t="s">
        <v>1575</v>
      </c>
      <c r="E7" s="957" t="s">
        <v>1578</v>
      </c>
      <c r="F7" s="957" t="s">
        <v>1793</v>
      </c>
      <c r="G7" s="957" t="s">
        <v>1847</v>
      </c>
      <c r="H7" s="957" t="s">
        <v>1848</v>
      </c>
      <c r="I7" s="957" t="s">
        <v>1774</v>
      </c>
      <c r="J7" s="957" t="s">
        <v>1794</v>
      </c>
      <c r="K7" s="957" t="s">
        <v>1795</v>
      </c>
      <c r="L7" s="957" t="s">
        <v>1796</v>
      </c>
      <c r="M7" s="957" t="s">
        <v>1849</v>
      </c>
      <c r="N7" s="957" t="s">
        <v>1850</v>
      </c>
      <c r="O7" s="957" t="s">
        <v>1851</v>
      </c>
      <c r="P7" s="957" t="s">
        <v>1852</v>
      </c>
      <c r="Q7" s="957" t="s">
        <v>1853</v>
      </c>
      <c r="R7" s="957" t="s">
        <v>1854</v>
      </c>
      <c r="S7" s="957" t="s">
        <v>1855</v>
      </c>
      <c r="T7" s="957" t="s">
        <v>1856</v>
      </c>
      <c r="U7" s="957" t="s">
        <v>1857</v>
      </c>
      <c r="V7" s="957" t="s">
        <v>1860</v>
      </c>
      <c r="W7" s="957" t="s">
        <v>1861</v>
      </c>
      <c r="X7" s="957" t="s">
        <v>1862</v>
      </c>
      <c r="Y7" s="957" t="s">
        <v>1863</v>
      </c>
      <c r="Z7" s="957" t="s">
        <v>1864</v>
      </c>
      <c r="AA7" s="957" t="s">
        <v>1865</v>
      </c>
      <c r="AB7" s="957" t="s">
        <v>1866</v>
      </c>
      <c r="AC7" s="957" t="s">
        <v>1868</v>
      </c>
      <c r="AD7" s="957" t="s">
        <v>1869</v>
      </c>
      <c r="AE7" s="957" t="s">
        <v>1870</v>
      </c>
      <c r="AF7" s="957" t="s">
        <v>1871</v>
      </c>
      <c r="AG7" s="957" t="s">
        <v>1580</v>
      </c>
      <c r="AH7" s="957" t="s">
        <v>1573</v>
      </c>
      <c r="AI7" s="957" t="s">
        <v>1572</v>
      </c>
      <c r="AJ7" s="1034" t="s">
        <v>1872</v>
      </c>
    </row>
    <row r="8" spans="1:36" x14ac:dyDescent="0.2">
      <c r="A8" s="832"/>
      <c r="B8" s="1041">
        <f>'Design Data'!H10</f>
        <v>0</v>
      </c>
      <c r="C8" s="1035" t="s">
        <v>568</v>
      </c>
      <c r="D8" s="1035" t="str">
        <f>'Design Data'!Q16</f>
        <v/>
      </c>
      <c r="E8" s="1011" t="e">
        <f>'Design Data'!Q14</f>
        <v>#N/A</v>
      </c>
      <c r="F8" s="1011">
        <f>'Design Data'!K16</f>
        <v>0</v>
      </c>
      <c r="G8" s="1035" t="str">
        <f>'Chart Data'!E48</f>
        <v/>
      </c>
      <c r="H8" s="1011" t="str">
        <f>'Chart Data'!M48</f>
        <v/>
      </c>
      <c r="I8" s="1042">
        <f>'Design Data'!H16</f>
        <v>0</v>
      </c>
      <c r="J8" s="1013">
        <v>0</v>
      </c>
      <c r="K8" s="1042">
        <f>'Design Data'!H16</f>
        <v>0</v>
      </c>
      <c r="L8" s="1011" t="str">
        <f>IF('Design Data'!S82="","",'Design Data'!S82)</f>
        <v/>
      </c>
      <c r="M8" s="1011" t="str">
        <f>'Design Data'!Q87</f>
        <v/>
      </c>
      <c r="N8" s="1011" t="str">
        <f>'Design Data'!Q89</f>
        <v/>
      </c>
      <c r="O8" s="1011" t="str">
        <f>'Design Data'!Q88</f>
        <v/>
      </c>
      <c r="P8" s="1011" t="str">
        <f>IF('Design Data'!O59="","",ROUND('Design Data'!O59,1))</f>
        <v/>
      </c>
      <c r="Q8" s="1011" t="str">
        <f>IF('Design Data'!O60="","",ROUND('Design Data'!O60,1))</f>
        <v/>
      </c>
      <c r="R8" s="1011" t="str">
        <f>IF('Design Data'!H20="N/A",0,IF('Design Data'!H20=" ",0,'Design Data'!H20))</f>
        <v/>
      </c>
      <c r="S8" s="1011">
        <f>IF('Design Data'!O63="",0,ROUND('Design Data'!O63,1))</f>
        <v>0</v>
      </c>
      <c r="T8" s="1011" t="str">
        <f>IF('Design Data'!O58="","",ROUND('Design Data'!O58,1))</f>
        <v/>
      </c>
      <c r="U8" s="1011" t="str">
        <f>IF('Design Data'!O57="","",ROUND('Design Data'!O57,1))</f>
        <v/>
      </c>
      <c r="V8" s="1011" t="str">
        <f>IF('Design Data'!O56="","",ROUND('Design Data'!O56,1))</f>
        <v/>
      </c>
      <c r="W8" s="1011" t="str">
        <f>IF('Design Data'!O72="","",ROUND('Design Data'!O72,0))</f>
        <v/>
      </c>
      <c r="X8" s="1011">
        <f>ROUND('Design Data'!O55,0)</f>
        <v>0</v>
      </c>
      <c r="Y8" s="1011">
        <f>IF('Design Data'!O65="",0,ROUND('Design Data'!O65,3))</f>
        <v>0</v>
      </c>
      <c r="Z8" s="1011">
        <f>IF('Design Data'!O62="",0,ROUND('Design Data'!O62,1))</f>
        <v>0</v>
      </c>
      <c r="AA8" s="1011" t="str">
        <f>'Design Data'!K18</f>
        <v/>
      </c>
      <c r="AB8" s="1011" t="s">
        <v>1617</v>
      </c>
      <c r="AC8" s="1011" t="str">
        <f>'Design Data'!K18</f>
        <v/>
      </c>
      <c r="AD8" s="1011" t="s">
        <v>1617</v>
      </c>
      <c r="AE8" s="1013" t="s">
        <v>74</v>
      </c>
      <c r="AF8" s="1013" t="s">
        <v>74</v>
      </c>
      <c r="AG8" s="1013" t="s">
        <v>74</v>
      </c>
      <c r="AH8" s="1011">
        <f>'Design Data'!S82</f>
        <v>0</v>
      </c>
      <c r="AI8" s="1013"/>
      <c r="AJ8" s="1022" t="s">
        <v>74</v>
      </c>
    </row>
  </sheetData>
  <phoneticPr fontId="16" type="noConversion"/>
  <pageMargins left="0.4" right="0.26" top="1" bottom="1" header="0.5" footer="0.5"/>
  <pageSetup paperSize="17" fitToWidth="0" orientation="landscape" r:id="rId1"/>
  <headerFooter alignWithMargins="0">
    <oddHeader>&amp;F</oddHeader>
    <oddFooter>&amp;L&amp;A&amp;CPage &amp;P of &amp;N</oddFooter>
  </headerFooter>
  <legacyDrawing r:id="rId2"/>
  <tableParts count="1">
    <tablePart r:id="rId3"/>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tabColor indexed="45"/>
    <pageSetUpPr fitToPage="1"/>
  </sheetPr>
  <dimension ref="A1:AJ14"/>
  <sheetViews>
    <sheetView zoomScale="75" workbookViewId="0">
      <pane xSplit="2" ySplit="7" topLeftCell="C8" activePane="bottomRight" state="frozen"/>
      <selection activeCell="C9" sqref="C9"/>
      <selection pane="topRight" activeCell="C9" sqref="C9"/>
      <selection pane="bottomLeft" activeCell="C9" sqref="C9"/>
      <selection pane="bottomRight" activeCell="A16" sqref="A16"/>
      <extLst>
        <ext xmlns:xlsdti="http://schemas.microsoft.com/office/spreadsheetml/2023/showDataTypeIcons" uri="{77bfe23e-c014-4d31-8a63-9c772dbf06b6}">
          <xlsdti:showDataTypeIcons visible="0"/>
        </ext>
      </extLst>
    </sheetView>
  </sheetViews>
  <sheetFormatPr defaultRowHeight="12.75" x14ac:dyDescent="0.2"/>
  <cols>
    <col min="1" max="1" width="45.7109375" customWidth="1"/>
    <col min="2" max="2" width="22" customWidth="1"/>
    <col min="3" max="3" width="30" customWidth="1"/>
    <col min="4" max="4" width="27.5703125" customWidth="1"/>
    <col min="5" max="5" width="39.85546875" customWidth="1"/>
    <col min="6" max="6" width="44.28515625" customWidth="1"/>
    <col min="7" max="7" width="11" customWidth="1"/>
    <col min="8" max="8" width="19.42578125" bestFit="1" customWidth="1"/>
    <col min="9" max="9" width="18.28515625" customWidth="1"/>
    <col min="10" max="10" width="28.5703125" customWidth="1"/>
    <col min="11" max="11" width="17.7109375" customWidth="1"/>
    <col min="12" max="12" width="18.85546875" bestFit="1" customWidth="1"/>
    <col min="13" max="13" width="11" customWidth="1"/>
    <col min="14" max="21" width="11.42578125" customWidth="1"/>
    <col min="22" max="22" width="12.140625" customWidth="1"/>
    <col min="23" max="23" width="11.85546875" customWidth="1"/>
    <col min="24" max="31" width="12.140625" customWidth="1"/>
    <col min="32" max="32" width="12.5703125" customWidth="1"/>
    <col min="33" max="33" width="12.140625" customWidth="1"/>
    <col min="34" max="36" width="12.5703125" customWidth="1"/>
  </cols>
  <sheetData>
    <row r="1" spans="1:36" s="6" customFormat="1" ht="12.75" customHeight="1" x14ac:dyDescent="0.2">
      <c r="A1" s="811" t="s">
        <v>1557</v>
      </c>
      <c r="B1" s="812"/>
      <c r="C1" s="812"/>
      <c r="D1" s="812"/>
      <c r="E1" s="812"/>
      <c r="F1" s="813" t="s">
        <v>1559</v>
      </c>
      <c r="G1" s="812"/>
      <c r="H1" s="812"/>
      <c r="I1" s="812"/>
      <c r="J1" s="812"/>
      <c r="K1" s="812"/>
      <c r="L1" s="813" t="s">
        <v>1558</v>
      </c>
    </row>
    <row r="2" spans="1:36" s="6" customFormat="1" ht="12.75" customHeight="1" x14ac:dyDescent="0.2">
      <c r="A2" s="811" t="s">
        <v>1560</v>
      </c>
      <c r="B2" s="865" t="s">
        <v>1880</v>
      </c>
      <c r="C2" s="865" t="s">
        <v>1880</v>
      </c>
      <c r="D2" s="865" t="s">
        <v>1880</v>
      </c>
      <c r="E2" s="865" t="s">
        <v>1880</v>
      </c>
      <c r="F2" s="865" t="s">
        <v>1880</v>
      </c>
      <c r="G2" s="865" t="s">
        <v>1880</v>
      </c>
      <c r="H2" s="865" t="s">
        <v>1880</v>
      </c>
      <c r="I2" s="865" t="s">
        <v>1880</v>
      </c>
      <c r="J2" s="865" t="s">
        <v>1880</v>
      </c>
      <c r="K2" s="865" t="s">
        <v>1880</v>
      </c>
      <c r="L2" s="865" t="s">
        <v>1880</v>
      </c>
    </row>
    <row r="3" spans="1:36" s="6" customFormat="1" ht="12.75" customHeight="1" thickBot="1" x14ac:dyDescent="0.25">
      <c r="A3" s="811" t="s">
        <v>1562</v>
      </c>
      <c r="B3" s="911" t="s">
        <v>1791</v>
      </c>
      <c r="C3" s="911" t="s">
        <v>1792</v>
      </c>
      <c r="D3" s="911" t="s">
        <v>1575</v>
      </c>
      <c r="E3" s="911" t="s">
        <v>1578</v>
      </c>
      <c r="F3" s="817" t="s">
        <v>1877</v>
      </c>
      <c r="G3" s="817" t="s">
        <v>1878</v>
      </c>
      <c r="H3" s="817" t="s">
        <v>1864</v>
      </c>
      <c r="I3" s="817" t="s">
        <v>1879</v>
      </c>
      <c r="J3" s="817" t="s">
        <v>1563</v>
      </c>
      <c r="K3" s="817" t="s">
        <v>1573</v>
      </c>
      <c r="L3" s="817" t="s">
        <v>1572</v>
      </c>
    </row>
    <row r="4" spans="1:36" s="824" customFormat="1" ht="83.25" customHeight="1" thickBot="1" x14ac:dyDescent="0.25">
      <c r="A4" s="811" t="s">
        <v>1616</v>
      </c>
      <c r="B4" s="907" t="s">
        <v>1770</v>
      </c>
      <c r="C4" s="913" t="s">
        <v>1620</v>
      </c>
      <c r="D4" s="923" t="s">
        <v>1639</v>
      </c>
      <c r="E4" s="919" t="s">
        <v>1827</v>
      </c>
      <c r="F4" s="920"/>
      <c r="G4" s="819"/>
      <c r="H4" s="867"/>
      <c r="I4" s="819"/>
      <c r="J4" s="822" t="s">
        <v>574</v>
      </c>
      <c r="K4" s="819"/>
      <c r="L4" s="821"/>
    </row>
    <row r="5" spans="1:36" s="6" customFormat="1" ht="51.75" thickBot="1" x14ac:dyDescent="0.25">
      <c r="A5" s="811" t="s">
        <v>1644</v>
      </c>
      <c r="B5" s="921" t="s">
        <v>919</v>
      </c>
      <c r="C5" s="922" t="s">
        <v>919</v>
      </c>
      <c r="D5" s="921" t="s">
        <v>919</v>
      </c>
      <c r="E5" s="921" t="s">
        <v>919</v>
      </c>
      <c r="F5" s="862" t="s">
        <v>1806</v>
      </c>
      <c r="G5" s="819" t="s">
        <v>576</v>
      </c>
      <c r="H5" s="822" t="s">
        <v>576</v>
      </c>
      <c r="I5" s="822" t="s">
        <v>537</v>
      </c>
      <c r="J5" s="872"/>
      <c r="K5" s="819"/>
      <c r="L5" s="821" t="s">
        <v>1648</v>
      </c>
    </row>
    <row r="6" spans="1:36" ht="54" customHeight="1" x14ac:dyDescent="0.2">
      <c r="A6" s="830" t="s">
        <v>1653</v>
      </c>
      <c r="B6" s="1006" t="s">
        <v>1674</v>
      </c>
      <c r="C6" s="1008" t="s">
        <v>1797</v>
      </c>
      <c r="D6" s="1007" t="s">
        <v>1666</v>
      </c>
      <c r="E6" s="1007" t="s">
        <v>1798</v>
      </c>
      <c r="F6" s="1009" t="s">
        <v>1873</v>
      </c>
      <c r="G6" s="1007" t="s">
        <v>1874</v>
      </c>
      <c r="H6" s="1007" t="s">
        <v>1875</v>
      </c>
      <c r="I6" s="1007" t="s">
        <v>1876</v>
      </c>
      <c r="J6" s="1007" t="s">
        <v>448</v>
      </c>
      <c r="K6" s="1006" t="s">
        <v>1664</v>
      </c>
      <c r="L6" s="1008" t="s">
        <v>1663</v>
      </c>
    </row>
    <row r="7" spans="1:36" s="6" customFormat="1" ht="26.25" thickBot="1" x14ac:dyDescent="0.25">
      <c r="A7" s="870" t="s">
        <v>1808</v>
      </c>
      <c r="B7" s="1043" t="s">
        <v>1791</v>
      </c>
      <c r="C7" s="1044" t="s">
        <v>1792</v>
      </c>
      <c r="D7" s="1044" t="s">
        <v>1575</v>
      </c>
      <c r="E7" s="1044" t="s">
        <v>1578</v>
      </c>
      <c r="F7" s="1044" t="s">
        <v>1877</v>
      </c>
      <c r="G7" s="1044" t="s">
        <v>1878</v>
      </c>
      <c r="H7" s="1044" t="s">
        <v>1864</v>
      </c>
      <c r="I7" s="1044" t="s">
        <v>1879</v>
      </c>
      <c r="J7" s="1044" t="s">
        <v>1563</v>
      </c>
      <c r="K7" s="1044" t="s">
        <v>1573</v>
      </c>
      <c r="L7" s="1045" t="s">
        <v>1572</v>
      </c>
      <c r="M7" s="899" t="s">
        <v>1692</v>
      </c>
      <c r="N7" s="899" t="s">
        <v>1693</v>
      </c>
      <c r="O7" s="899" t="s">
        <v>1694</v>
      </c>
      <c r="P7" s="899" t="s">
        <v>1695</v>
      </c>
      <c r="Q7" s="899" t="s">
        <v>1696</v>
      </c>
      <c r="R7" s="899" t="s">
        <v>1697</v>
      </c>
      <c r="S7" s="899" t="s">
        <v>1698</v>
      </c>
      <c r="T7" s="899" t="s">
        <v>1699</v>
      </c>
      <c r="U7" s="899" t="s">
        <v>1700</v>
      </c>
      <c r="V7" s="899" t="s">
        <v>1701</v>
      </c>
      <c r="W7" s="899" t="s">
        <v>1702</v>
      </c>
      <c r="X7" s="899" t="s">
        <v>1703</v>
      </c>
      <c r="Y7" s="899" t="s">
        <v>1704</v>
      </c>
      <c r="Z7" s="899" t="s">
        <v>1705</v>
      </c>
      <c r="AA7" s="899" t="s">
        <v>1707</v>
      </c>
      <c r="AB7" s="899" t="s">
        <v>1708</v>
      </c>
      <c r="AC7" s="899" t="s">
        <v>1709</v>
      </c>
      <c r="AD7" s="899" t="s">
        <v>1710</v>
      </c>
      <c r="AE7" s="899" t="s">
        <v>1711</v>
      </c>
      <c r="AF7" s="899" t="s">
        <v>1712</v>
      </c>
      <c r="AG7" s="899" t="s">
        <v>1713</v>
      </c>
      <c r="AH7" s="899" t="s">
        <v>1714</v>
      </c>
      <c r="AI7" s="899" t="s">
        <v>1715</v>
      </c>
      <c r="AJ7" s="899" t="s">
        <v>1716</v>
      </c>
    </row>
    <row r="8" spans="1:36" x14ac:dyDescent="0.2">
      <c r="A8" s="832" t="s">
        <v>1621</v>
      </c>
      <c r="B8" s="932" t="str">
        <f>IF(D8="","",IF(E8="","",'Design Data'!H10))</f>
        <v/>
      </c>
      <c r="C8" s="938" t="str">
        <f>IF(B8="","","SUP")</f>
        <v/>
      </c>
      <c r="D8" s="940" t="str">
        <f>IF('Design Data'!C20="","",'Design Data'!C20)</f>
        <v/>
      </c>
      <c r="E8" s="935" t="str">
        <f>IF('Design Data'!H18="","",'Design Data'!H18)</f>
        <v/>
      </c>
      <c r="F8" s="933" t="s">
        <v>74</v>
      </c>
      <c r="G8" s="935">
        <f>IF('Design Data'!O63="",0,ROUND('Design Data'!O63,1))</f>
        <v>0</v>
      </c>
      <c r="H8" s="935">
        <f>ROUND('Design Data'!O25,3)</f>
        <v>1.03</v>
      </c>
      <c r="I8" s="941" t="s">
        <v>1130</v>
      </c>
      <c r="J8" s="961" t="str">
        <f>IF('Design Data'!N127="","",IF('Design Data'!N127="N/A","",'Design Data'!N127))</f>
        <v/>
      </c>
      <c r="K8" s="935">
        <f>'Design Data'!S82</f>
        <v>0</v>
      </c>
      <c r="L8" s="933"/>
      <c r="M8" s="930"/>
      <c r="N8" s="930"/>
      <c r="O8" s="930"/>
      <c r="P8" s="930"/>
      <c r="Q8" s="930"/>
      <c r="R8" s="930"/>
      <c r="S8" s="930"/>
      <c r="T8" s="930"/>
      <c r="U8" s="930"/>
      <c r="V8" s="930"/>
      <c r="W8" s="930"/>
      <c r="X8" s="930"/>
      <c r="Y8" s="930"/>
      <c r="Z8" s="930"/>
      <c r="AA8" s="930"/>
      <c r="AB8" s="930"/>
      <c r="AC8" s="930"/>
      <c r="AD8" s="930"/>
      <c r="AE8" s="930"/>
      <c r="AF8" s="930"/>
      <c r="AG8" s="930"/>
      <c r="AH8" s="930"/>
      <c r="AI8" s="930"/>
      <c r="AJ8" s="930"/>
    </row>
    <row r="9" spans="1:36" x14ac:dyDescent="0.2">
      <c r="A9" s="832" t="s">
        <v>1622</v>
      </c>
      <c r="B9" s="937" t="str">
        <f>IF(D9="","",IF(E9="","",'Design Data'!H10))</f>
        <v/>
      </c>
      <c r="C9" s="939" t="str">
        <f t="shared" ref="C9:C14" si="0">IF(B9="","","SUP")</f>
        <v/>
      </c>
      <c r="D9" s="936" t="str">
        <f>IF('Design Data'!H23="","",'Design Data'!H23)</f>
        <v/>
      </c>
      <c r="E9" s="864" t="str">
        <f>IF('Design Data'!A23="","",'Design Data'!A23)</f>
        <v/>
      </c>
      <c r="F9" s="934" t="s">
        <v>74</v>
      </c>
      <c r="G9" s="864">
        <f>IF('Design Data'!M23="",0,ROUND('Design Data'!M23,0))</f>
        <v>0</v>
      </c>
      <c r="H9" s="864">
        <f>IF('Design Data'!L23="",0,ROUND('Design Data'!L23,2))</f>
        <v>0</v>
      </c>
      <c r="I9" s="864" t="str">
        <f>IF('Design Data'!M113="","",'Design Data'!M113)</f>
        <v/>
      </c>
      <c r="J9" s="962" t="str">
        <f>IF('Design Data'!N113="","",IF('Design Data'!N113="N/A","",'Design Data'!N113))</f>
        <v/>
      </c>
      <c r="K9" s="864">
        <f t="shared" ref="K9:K14" si="1">K8</f>
        <v>0</v>
      </c>
      <c r="L9" s="934"/>
      <c r="M9" s="930"/>
      <c r="N9" s="930"/>
      <c r="O9" s="930"/>
      <c r="P9" s="930"/>
      <c r="Q9" s="930"/>
      <c r="R9" s="930"/>
      <c r="S9" s="930"/>
      <c r="T9" s="930"/>
      <c r="U9" s="930"/>
      <c r="V9" s="930"/>
      <c r="W9" s="930"/>
      <c r="X9" s="930"/>
      <c r="Y9" s="930"/>
      <c r="Z9" s="930"/>
      <c r="AA9" s="930"/>
      <c r="AB9" s="930"/>
      <c r="AC9" s="930"/>
      <c r="AD9" s="930"/>
      <c r="AE9" s="930"/>
      <c r="AF9" s="930"/>
      <c r="AG9" s="930"/>
      <c r="AH9" s="930"/>
      <c r="AI9" s="930"/>
      <c r="AJ9" s="930"/>
    </row>
    <row r="10" spans="1:36" x14ac:dyDescent="0.2">
      <c r="A10" s="871" t="s">
        <v>1623</v>
      </c>
      <c r="B10" s="937" t="str">
        <f>IF(D10="","",IF(E10="","",'Design Data'!H10))</f>
        <v/>
      </c>
      <c r="C10" s="939" t="str">
        <f t="shared" si="0"/>
        <v/>
      </c>
      <c r="D10" s="936" t="str">
        <f>IF('Design Data'!H24="","",'Design Data'!H24)</f>
        <v/>
      </c>
      <c r="E10" s="864" t="str">
        <f>IF('Design Data'!A24="","",'Design Data'!A24)</f>
        <v/>
      </c>
      <c r="F10" s="934" t="s">
        <v>74</v>
      </c>
      <c r="G10" s="864">
        <f>IF('Design Data'!M24="",0,ROUND('Design Data'!M24,0))</f>
        <v>0</v>
      </c>
      <c r="H10" s="864">
        <f>IF('Design Data'!L24="",0,ROUND('Design Data'!L24,2))</f>
        <v>0</v>
      </c>
      <c r="I10" s="864" t="str">
        <f>IF('Design Data'!M114="","",'Design Data'!M114)</f>
        <v/>
      </c>
      <c r="J10" s="962" t="str">
        <f>IF('Design Data'!N114="","",IF('Design Data'!N114="N/A","",'Design Data'!N114))</f>
        <v/>
      </c>
      <c r="K10" s="864">
        <f t="shared" si="1"/>
        <v>0</v>
      </c>
      <c r="L10" s="934"/>
      <c r="M10" s="930"/>
      <c r="N10" s="930"/>
      <c r="O10" s="930"/>
      <c r="P10" s="930"/>
      <c r="Q10" s="930"/>
      <c r="R10" s="930"/>
      <c r="S10" s="930"/>
      <c r="T10" s="930"/>
      <c r="U10" s="930"/>
      <c r="V10" s="930"/>
      <c r="W10" s="930"/>
      <c r="X10" s="930"/>
      <c r="Y10" s="930"/>
      <c r="Z10" s="930"/>
      <c r="AA10" s="930"/>
      <c r="AB10" s="930"/>
      <c r="AC10" s="930"/>
      <c r="AD10" s="930"/>
      <c r="AE10" s="930"/>
      <c r="AF10" s="930"/>
      <c r="AG10" s="930"/>
      <c r="AH10" s="930"/>
      <c r="AI10" s="930"/>
      <c r="AJ10" s="930"/>
    </row>
    <row r="11" spans="1:36" x14ac:dyDescent="0.2">
      <c r="A11" s="871" t="s">
        <v>1624</v>
      </c>
      <c r="B11" s="937" t="str">
        <f>IF(D11="","",IF(E11="","",'Design Data'!H10))</f>
        <v/>
      </c>
      <c r="C11" s="939" t="str">
        <f t="shared" si="0"/>
        <v/>
      </c>
      <c r="D11" s="936" t="str">
        <f>IF('Design Data'!H25="","",'Design Data'!H25)</f>
        <v/>
      </c>
      <c r="E11" s="864" t="str">
        <f>IF('Design Data'!A25="","",'Design Data'!A25)</f>
        <v/>
      </c>
      <c r="F11" s="934" t="s">
        <v>74</v>
      </c>
      <c r="G11" s="864">
        <f>IF('Design Data'!M25="",0,ROUND('Design Data'!M25,0))</f>
        <v>0</v>
      </c>
      <c r="H11" s="864">
        <f>IF('Design Data'!L25="",0,ROUND('Design Data'!L25,2))</f>
        <v>0</v>
      </c>
      <c r="I11" s="864" t="str">
        <f>IF('Design Data'!M115="","",'Design Data'!M115)</f>
        <v/>
      </c>
      <c r="J11" s="962" t="str">
        <f>IF('Design Data'!N115="","",IF('Design Data'!N115="N/A","",'Design Data'!N115))</f>
        <v/>
      </c>
      <c r="K11" s="864">
        <f t="shared" si="1"/>
        <v>0</v>
      </c>
      <c r="L11" s="934"/>
      <c r="M11" s="930"/>
      <c r="N11" s="930"/>
      <c r="O11" s="930"/>
      <c r="P11" s="930"/>
      <c r="Q11" s="930"/>
      <c r="R11" s="930"/>
      <c r="S11" s="930"/>
      <c r="T11" s="930"/>
      <c r="U11" s="930"/>
      <c r="V11" s="930"/>
      <c r="W11" s="930"/>
      <c r="X11" s="930"/>
      <c r="Y11" s="930"/>
      <c r="Z11" s="930"/>
      <c r="AA11" s="930"/>
      <c r="AB11" s="930"/>
      <c r="AC11" s="930"/>
      <c r="AD11" s="930"/>
      <c r="AE11" s="930"/>
      <c r="AF11" s="930"/>
      <c r="AG11" s="930"/>
      <c r="AH11" s="930"/>
      <c r="AI11" s="930"/>
      <c r="AJ11" s="930"/>
    </row>
    <row r="12" spans="1:36" x14ac:dyDescent="0.2">
      <c r="A12" s="871" t="s">
        <v>1625</v>
      </c>
      <c r="B12" s="937" t="str">
        <f>IF(D12="","",IF(E12="","",'Design Data'!H10))</f>
        <v/>
      </c>
      <c r="C12" s="939" t="str">
        <f t="shared" si="0"/>
        <v/>
      </c>
      <c r="D12" s="936" t="str">
        <f>IF('Design Data'!H26="","",'Design Data'!H26)</f>
        <v/>
      </c>
      <c r="E12" s="864" t="str">
        <f>IF('Design Data'!A26="","",'Design Data'!A26)</f>
        <v/>
      </c>
      <c r="F12" s="934" t="s">
        <v>74</v>
      </c>
      <c r="G12" s="864">
        <f>IF('Design Data'!M26="",0,ROUND('Design Data'!M26,0))</f>
        <v>0</v>
      </c>
      <c r="H12" s="864">
        <f>IF('Design Data'!L26="",0,ROUND('Design Data'!L26,2))</f>
        <v>0</v>
      </c>
      <c r="I12" s="864" t="str">
        <f>IF('Design Data'!M116="","",'Design Data'!M116)</f>
        <v/>
      </c>
      <c r="J12" s="962" t="str">
        <f>IF('Design Data'!N116="","",IF('Design Data'!N116="N/A","",'Design Data'!N116))</f>
        <v/>
      </c>
      <c r="K12" s="864">
        <f t="shared" si="1"/>
        <v>0</v>
      </c>
      <c r="L12" s="934"/>
      <c r="M12" s="930"/>
      <c r="N12" s="930"/>
      <c r="O12" s="930"/>
      <c r="P12" s="930"/>
      <c r="Q12" s="930"/>
      <c r="R12" s="930"/>
      <c r="S12" s="930"/>
      <c r="T12" s="930"/>
      <c r="U12" s="930"/>
      <c r="V12" s="930"/>
      <c r="W12" s="930"/>
      <c r="X12" s="930"/>
      <c r="Y12" s="930"/>
      <c r="Z12" s="930"/>
      <c r="AA12" s="930"/>
      <c r="AB12" s="930"/>
      <c r="AC12" s="930"/>
      <c r="AD12" s="930"/>
      <c r="AE12" s="930"/>
      <c r="AF12" s="930"/>
      <c r="AG12" s="930"/>
      <c r="AH12" s="930"/>
      <c r="AI12" s="930"/>
      <c r="AJ12" s="930"/>
    </row>
    <row r="13" spans="1:36" x14ac:dyDescent="0.2">
      <c r="A13" s="871" t="s">
        <v>1626</v>
      </c>
      <c r="B13" s="937" t="str">
        <f>IF(D13="","",IF(E13="","",'Design Data'!H10))</f>
        <v/>
      </c>
      <c r="C13" s="939" t="str">
        <f t="shared" si="0"/>
        <v/>
      </c>
      <c r="D13" s="936" t="str">
        <f>IF('Design Data'!H27="","",'Design Data'!H27)</f>
        <v/>
      </c>
      <c r="E13" s="864" t="str">
        <f>IF('Design Data'!A27="","",'Design Data'!A27)</f>
        <v/>
      </c>
      <c r="F13" s="934" t="s">
        <v>74</v>
      </c>
      <c r="G13" s="864">
        <f>IF('Design Data'!M27="",0,ROUND('Design Data'!M27,0))</f>
        <v>0</v>
      </c>
      <c r="H13" s="864">
        <f>IF('Design Data'!L27="",0,ROUND('Design Data'!L27,2))</f>
        <v>0</v>
      </c>
      <c r="I13" s="864" t="str">
        <f>IF('Design Data'!M117="","",'Design Data'!M117)</f>
        <v/>
      </c>
      <c r="J13" s="962" t="str">
        <f>IF('Design Data'!N117="","",IF('Design Data'!N117="N/A","",'Design Data'!N117))</f>
        <v/>
      </c>
      <c r="K13" s="864">
        <f t="shared" si="1"/>
        <v>0</v>
      </c>
      <c r="L13" s="934"/>
      <c r="M13" s="930"/>
      <c r="N13" s="930"/>
      <c r="O13" s="930"/>
      <c r="P13" s="930"/>
      <c r="Q13" s="930"/>
      <c r="R13" s="930"/>
      <c r="S13" s="930"/>
      <c r="T13" s="930"/>
      <c r="U13" s="930"/>
      <c r="V13" s="930"/>
      <c r="W13" s="930"/>
      <c r="X13" s="930"/>
      <c r="Y13" s="930"/>
      <c r="Z13" s="930"/>
      <c r="AA13" s="930"/>
      <c r="AB13" s="930"/>
      <c r="AC13" s="930"/>
      <c r="AD13" s="930"/>
      <c r="AE13" s="930"/>
      <c r="AF13" s="930"/>
      <c r="AG13" s="930"/>
      <c r="AH13" s="930"/>
      <c r="AI13" s="930"/>
      <c r="AJ13" s="930"/>
    </row>
    <row r="14" spans="1:36" x14ac:dyDescent="0.2">
      <c r="A14" s="871" t="s">
        <v>1627</v>
      </c>
      <c r="B14" s="1046" t="str">
        <f>IF(D14="","",IF(E14="","",'Design Data'!H10))</f>
        <v/>
      </c>
      <c r="C14" s="1040" t="str">
        <f t="shared" si="0"/>
        <v/>
      </c>
      <c r="D14" s="1047" t="str">
        <f>IF('Design Data'!H28="","",'Design Data'!H28)</f>
        <v/>
      </c>
      <c r="E14" s="1048" t="str">
        <f>IF('Design Data'!A28="","",'Design Data'!A28)</f>
        <v/>
      </c>
      <c r="F14" s="1039" t="s">
        <v>74</v>
      </c>
      <c r="G14" s="1048">
        <f>IF('Design Data'!M28="",0,ROUND('Design Data'!M28,0))</f>
        <v>0</v>
      </c>
      <c r="H14" s="1048">
        <f>IF('Design Data'!L28="",0,ROUND('Design Data'!L28,2))</f>
        <v>0</v>
      </c>
      <c r="I14" s="1048" t="str">
        <f>IF('Design Data'!M118="","",'Design Data'!M118)</f>
        <v/>
      </c>
      <c r="J14" s="1049" t="str">
        <f>IF('Design Data'!N118="","",IF('Design Data'!N118="N/A","",'Design Data'!N118))</f>
        <v/>
      </c>
      <c r="K14" s="1048">
        <f t="shared" si="1"/>
        <v>0</v>
      </c>
      <c r="L14" s="1039"/>
      <c r="M14" s="930"/>
      <c r="N14" s="930"/>
      <c r="O14" s="930"/>
      <c r="P14" s="930"/>
      <c r="Q14" s="930"/>
      <c r="R14" s="930"/>
      <c r="S14" s="930"/>
      <c r="T14" s="930"/>
      <c r="U14" s="930"/>
      <c r="V14" s="930"/>
      <c r="W14" s="930"/>
      <c r="X14" s="930"/>
      <c r="Y14" s="930"/>
      <c r="Z14" s="930"/>
      <c r="AA14" s="930"/>
      <c r="AB14" s="930"/>
      <c r="AC14" s="930"/>
      <c r="AD14" s="930"/>
      <c r="AE14" s="930"/>
      <c r="AF14" s="930"/>
      <c r="AG14" s="930"/>
      <c r="AH14" s="930"/>
      <c r="AI14" s="930"/>
      <c r="AJ14" s="930"/>
    </row>
  </sheetData>
  <phoneticPr fontId="16" type="noConversion"/>
  <pageMargins left="0.4" right="0.26" top="1" bottom="1" header="0.5" footer="0.5"/>
  <pageSetup paperSize="17" fitToWidth="0" orientation="landscape" r:id="rId1"/>
  <headerFooter alignWithMargins="0">
    <oddHeader>&amp;F</oddHeader>
    <oddFooter>&amp;L&amp;A&amp;CPage &amp;P of &amp;N</oddFooter>
  </headerFooter>
  <legacy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3CF659712926249932A081BEC423588" ma:contentTypeVersion="8" ma:contentTypeDescription="Create a new document." ma:contentTypeScope="" ma:versionID="3a0487c2c11703537ecb8d2fd5144c03">
  <xsd:schema xmlns:xsd="http://www.w3.org/2001/XMLSchema" xmlns:xs="http://www.w3.org/2001/XMLSchema" xmlns:p="http://schemas.microsoft.com/office/2006/metadata/properties" xmlns:ns1="http://schemas.microsoft.com/sharepoint/v3" xmlns:ns2="36644ac8-d00d-4a23-acd5-011baa1a4b01" xmlns:ns3="9c16dc54-5a24-4afd-a61c-664ec7eab416" targetNamespace="http://schemas.microsoft.com/office/2006/metadata/properties" ma:root="true" ma:fieldsID="68a5245281c067ed5091e6e56f6319e3" ns1:_="" ns2:_="" ns3:_="">
    <xsd:import namespace="http://schemas.microsoft.com/sharepoint/v3"/>
    <xsd:import namespace="36644ac8-d00d-4a23-acd5-011baa1a4b01"/>
    <xsd:import namespace="9c16dc54-5a24-4afd-a61c-664ec7eab416"/>
    <xsd:element name="properties">
      <xsd:complexType>
        <xsd:sequence>
          <xsd:element name="documentManagement">
            <xsd:complexType>
              <xsd:all>
                <xsd:element ref="ns1:PublishingStartDate" minOccurs="0"/>
                <xsd:element ref="ns1:PublishingExpirationDate" minOccurs="0"/>
                <xsd:element ref="ns2:Area" minOccurs="0"/>
                <xsd:element ref="ns2:Description0" minOccurs="0"/>
                <xsd:element ref="ns2:Lab" minOccurs="0"/>
                <xsd:element ref="ns2:Document_x0020_Version"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4" nillable="true" ma:displayName="Scheduling Start Date" ma:description="Scheduling Start Date is a site column created by the Publishing feature. It is used to specify the date and time on which this page will first appear to site visitors." ma:hidden="true" ma:internalName="PublishingStartDate">
      <xsd:simpleType>
        <xsd:restriction base="dms:Unknown"/>
      </xsd:simpleType>
    </xsd:element>
    <xsd:element name="PublishingExpirationDate" ma:index="5"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6644ac8-d00d-4a23-acd5-011baa1a4b01" elementFormDefault="qualified">
    <xsd:import namespace="http://schemas.microsoft.com/office/2006/documentManagement/types"/>
    <xsd:import namespace="http://schemas.microsoft.com/office/infopath/2007/PartnerControls"/>
    <xsd:element name="Area" ma:index="6" nillable="true" ma:displayName="Area" ma:default="N/A" ma:format="Dropdown" ma:internalName="Area" ma:readOnly="false">
      <xsd:simpleType>
        <xsd:restriction base="dms:Choice">
          <xsd:enumeration value="Aggregates"/>
          <xsd:enumeration value="AMAW"/>
          <xsd:enumeration value="Asphalt Plant Approval"/>
          <xsd:enumeration value="Chemistry"/>
          <xsd:enumeration value="Concrete Mix Design"/>
          <xsd:enumeration value="Concrete Plant Application"/>
          <xsd:enumeration value="F &amp; T Comparison"/>
          <xsd:enumeration value="Guidance Manual"/>
          <xsd:enumeration value="IAS"/>
          <xsd:enumeration value="KQTL"/>
          <xsd:enumeration value="Kentucky Methods"/>
          <xsd:enumeration value="List of Appoved Materials"/>
          <xsd:enumeration value="Manual"/>
          <xsd:enumeration value="Materials Roles"/>
          <xsd:enumeration value="Maturity Meter"/>
          <xsd:enumeration value="MixPack"/>
          <xsd:enumeration value="PC-PS Concrete Manual"/>
          <xsd:enumeration value="Quality Assurance Program"/>
          <xsd:enumeration value="Reference Mix Design Approval"/>
          <xsd:enumeration value="Sampling Manual"/>
          <xsd:enumeration value="SiteManager"/>
          <xsd:enumeration value="Superpave Study Material"/>
          <xsd:enumeration value="Asphalt Warrants &amp; Guidelines"/>
          <xsd:enumeration value="Concrete Maturity Meter"/>
          <xsd:enumeration value="N/A"/>
        </xsd:restriction>
      </xsd:simpleType>
    </xsd:element>
    <xsd:element name="Description0" ma:index="7" nillable="true" ma:displayName="Description" ma:internalName="Description0" ma:readOnly="false">
      <xsd:simpleType>
        <xsd:restriction base="dms:Text">
          <xsd:maxLength value="255"/>
        </xsd:restriction>
      </xsd:simpleType>
    </xsd:element>
    <xsd:element name="Lab" ma:index="8" nillable="true" ma:displayName="Section" ma:default="N/A" ma:format="Dropdown" ma:internalName="Lab" ma:readOnly="false">
      <xsd:simpleType>
        <xsd:restriction base="dms:Choice">
          <xsd:enumeration value="Aggregate"/>
          <xsd:enumeration value="Asphalt"/>
          <xsd:enumeration value="Chemistry"/>
          <xsd:enumeration value="Concrete &amp; Cement"/>
          <xsd:enumeration value="Geotechnical"/>
          <xsd:enumeration value="Miscellaneous"/>
          <xsd:enumeration value="Physical"/>
          <xsd:enumeration value="N/A"/>
        </xsd:restriction>
      </xsd:simpleType>
    </xsd:element>
    <xsd:element name="Document_x0020_Version" ma:index="9" nillable="true" ma:displayName="Document Version" ma:default="N/A" ma:format="Dropdown" ma:internalName="Document_x0020_Version" ma:readOnly="false">
      <xsd:simpleType>
        <xsd:restriction base="dms:Choice">
          <xsd:enumeration value="Final"/>
          <xsd:enumeration value="With Edits"/>
          <xsd:enumeration value="N/A"/>
        </xsd:restriction>
      </xsd:simpleType>
    </xsd:element>
  </xsd:schema>
  <xsd:schema xmlns:xsd="http://www.w3.org/2001/XMLSchema" xmlns:xs="http://www.w3.org/2001/XMLSchema" xmlns:dms="http://schemas.microsoft.com/office/2006/documentManagement/types" xmlns:pc="http://schemas.microsoft.com/office/infopath/2007/PartnerControls" targetNamespace="9c16dc54-5a24-4afd-a61c-664ec7eab41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escription0 xmlns="36644ac8-d00d-4a23-acd5-011baa1a4b01" xsi:nil="true"/>
    <Lab xmlns="36644ac8-d00d-4a23-acd5-011baa1a4b01">N/A</Lab>
    <Document_x0020_Version xmlns="36644ac8-d00d-4a23-acd5-011baa1a4b01">N/A</Document_x0020_Version>
    <PublishingExpirationDate xmlns="http://schemas.microsoft.com/sharepoint/v3" xsi:nil="true"/>
    <PublishingStartDate xmlns="http://schemas.microsoft.com/sharepoint/v3" xsi:nil="true"/>
    <Area xmlns="36644ac8-d00d-4a23-acd5-011baa1a4b01">MixPack</Area>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260A826-6B12-49B1-B4CF-D0DA6F51D113}">
  <ds:schemaRefs>
    <ds:schemaRef ds:uri="http://schemas.microsoft.com/office/2006/metadata/longProperties"/>
  </ds:schemaRefs>
</ds:datastoreItem>
</file>

<file path=customXml/itemProps2.xml><?xml version="1.0" encoding="utf-8"?>
<ds:datastoreItem xmlns:ds="http://schemas.openxmlformats.org/officeDocument/2006/customXml" ds:itemID="{A145A672-2288-4D12-8B3A-65224C21DA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6644ac8-d00d-4a23-acd5-011baa1a4b01"/>
    <ds:schemaRef ds:uri="9c16dc54-5a24-4afd-a61c-664ec7eab41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E46856C-DFF1-4E22-9A72-E2E200C1701D}">
  <ds:schemaRefs>
    <ds:schemaRef ds:uri="http://schemas.microsoft.com/sharepoint/v3"/>
    <ds:schemaRef ds:uri="http://purl.org/dc/terms/"/>
    <ds:schemaRef ds:uri="http://purl.org/dc/dcmitype/"/>
    <ds:schemaRef ds:uri="http://schemas.microsoft.com/office/infopath/2007/PartnerControls"/>
    <ds:schemaRef ds:uri="http://www.w3.org/XML/1998/namespace"/>
    <ds:schemaRef ds:uri="http://schemas.microsoft.com/office/2006/documentManagement/types"/>
    <ds:schemaRef ds:uri="http://purl.org/dc/elements/1.1/"/>
    <ds:schemaRef ds:uri="http://schemas.openxmlformats.org/package/2006/metadata/core-properties"/>
    <ds:schemaRef ds:uri="36644ac8-d00d-4a23-acd5-011baa1a4b01"/>
    <ds:schemaRef ds:uri="http://schemas.microsoft.com/office/2006/metadata/properties"/>
  </ds:schemaRefs>
</ds:datastoreItem>
</file>

<file path=customXml/itemProps4.xml><?xml version="1.0" encoding="utf-8"?>
<ds:datastoreItem xmlns:ds="http://schemas.openxmlformats.org/officeDocument/2006/customXml" ds:itemID="{20E40772-D97E-4BCC-B375-6E13E128A65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Design Data</vt:lpstr>
      <vt:lpstr>Project Items</vt:lpstr>
      <vt:lpstr>1-Pt. Check</vt:lpstr>
      <vt:lpstr>Graphs</vt:lpstr>
      <vt:lpstr>TSR</vt:lpstr>
      <vt:lpstr>AggMatCode</vt:lpstr>
      <vt:lpstr>t_tst_rslt_dtl!Aggsize</vt:lpstr>
      <vt:lpstr>Aggsize</vt:lpstr>
      <vt:lpstr>AirVoids</vt:lpstr>
      <vt:lpstr>COM_Port</vt:lpstr>
      <vt:lpstr>COM_Settings</vt:lpstr>
      <vt:lpstr>CT_Index</vt:lpstr>
      <vt:lpstr>disp75</vt:lpstr>
      <vt:lpstr>EnergyOfFailure</vt:lpstr>
      <vt:lpstr>First_Data_Point</vt:lpstr>
      <vt:lpstr>'KYCT Data'!FirstRow</vt:lpstr>
      <vt:lpstr>l_at_PeakStability</vt:lpstr>
      <vt:lpstr>t_tst_rslt_dtl!LabUnits</vt:lpstr>
      <vt:lpstr>LabUnits</vt:lpstr>
      <vt:lpstr>MaxStability</vt:lpstr>
      <vt:lpstr>PeakStability</vt:lpstr>
      <vt:lpstr>'1-Pt. Check'!Print_Area</vt:lpstr>
      <vt:lpstr>AMMIXPACK!Print_Area</vt:lpstr>
      <vt:lpstr>'Chart Data'!Print_Area</vt:lpstr>
      <vt:lpstr>'Design Data'!Print_Area</vt:lpstr>
      <vt:lpstr>Graphs!Print_Area</vt:lpstr>
      <vt:lpstr>'Hamburg Data'!Print_Area</vt:lpstr>
      <vt:lpstr>'Performance Specimens'!Print_Area</vt:lpstr>
      <vt:lpstr>'Polish-Resistant Data'!Print_Area</vt:lpstr>
      <vt:lpstr>'Project Items'!Print_Area</vt:lpstr>
      <vt:lpstr>'Rand. #''s (cont.)'!Print_Area</vt:lpstr>
      <vt:lpstr>TSR!Print_Area</vt:lpstr>
      <vt:lpstr>AMMIXPACK!Print_Titles</vt:lpstr>
      <vt:lpstr>Project_ID</vt:lpstr>
      <vt:lpstr>RowsAtTop</vt:lpstr>
      <vt:lpstr>SelectedSpecimen_X</vt:lpstr>
      <vt:lpstr>SelectedSpecimen_Y</vt:lpstr>
      <vt:lpstr>SelectedTest</vt:lpstr>
      <vt:lpstr>Series1_Name</vt:lpstr>
      <vt:lpstr>Series2_Name</vt:lpstr>
      <vt:lpstr>Series3_Name</vt:lpstr>
      <vt:lpstr>Series4_Name</vt:lpstr>
      <vt:lpstr>Series5_Name</vt:lpstr>
      <vt:lpstr>Series6_Name</vt:lpstr>
      <vt:lpstr>Series7_Name</vt:lpstr>
      <vt:lpstr>Series8_Name</vt:lpstr>
      <vt:lpstr>SeriesName</vt:lpstr>
      <vt:lpstr>slope75</vt:lpstr>
      <vt:lpstr>Spec_diam</vt:lpstr>
      <vt:lpstr>Spec_t</vt:lpstr>
      <vt:lpstr>Spec_temp</vt:lpstr>
      <vt:lpstr>'KYCT Data'!SpringLimitsData</vt:lpstr>
      <vt:lpstr>SpringLimitsFirstCell</vt:lpstr>
      <vt:lpstr>WorkOfFailure</vt:lpstr>
    </vt:vector>
  </TitlesOfParts>
  <Company>KYTC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MixPack2019</dc:title>
  <dc:subject>Version 11.03</dc:subject>
  <dc:creator>Michael T. Black</dc:creator>
  <cp:lastModifiedBy>Denmark, Andrew G (KYTC-WSC)</cp:lastModifiedBy>
  <cp:lastPrinted>2026-02-10T13:21:55Z</cp:lastPrinted>
  <dcterms:created xsi:type="dcterms:W3CDTF">1998-03-19T13:34:06Z</dcterms:created>
  <dcterms:modified xsi:type="dcterms:W3CDTF">2026-07-14T11:52:43Z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aterialDisciplines_Map">
    <vt:lpwstr>D:\My Documents\Materials\Current\Maps\Disciplines_20060919_Map.xsd</vt:lpwstr>
  </property>
  <property fmtid="{D5CDD505-2E9C-101B-9397-08002B2CF9AE}" pid="3" name="ContentTypeId">
    <vt:lpwstr>0x010100B3CF659712926249932A081BEC423588</vt:lpwstr>
  </property>
</Properties>
</file>